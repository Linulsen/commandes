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ocuments\DEL ARTE - Commandes\"/>
    </mc:Choice>
  </mc:AlternateContent>
  <xr:revisionPtr revIDLastSave="0" documentId="13_ncr:1_{6D59C0A2-D9F6-4CC2-B71E-0B4DE7EDEBD2}" xr6:coauthVersionLast="47" xr6:coauthVersionMax="47" xr10:uidLastSave="{00000000-0000-0000-0000-000000000000}"/>
  <bookViews>
    <workbookView xWindow="-120" yWindow="-120" windowWidth="20730" windowHeight="11160" firstSheet="1" activeTab="5" xr2:uid="{C4FD3697-F415-452F-9D49-0F7BD1A2D5DC}"/>
  </bookViews>
  <sheets>
    <sheet name="Cave" sheetId="12" r:id="rId1"/>
    <sheet name="Chambre froide boisson" sheetId="11" r:id="rId2"/>
    <sheet name="Reserve seche" sheetId="14" r:id="rId3"/>
    <sheet name="Economat" sheetId="3" r:id="rId4"/>
    <sheet name="Chambre froide" sheetId="5" r:id="rId5"/>
    <sheet name="Chambre negative" sheetId="2" r:id="rId6"/>
    <sheet name="France Boissons" sheetId="6" r:id="rId7"/>
    <sheet name="Cledor" sheetId="8" r:id="rId8"/>
  </sheets>
  <definedNames>
    <definedName name="_xlnm._FilterDatabase" localSheetId="0" hidden="1">Cave!$A$2:$CC$18</definedName>
    <definedName name="_xlnm._FilterDatabase" localSheetId="4" hidden="1">'Chambre froide'!$A$1:$CG$39</definedName>
    <definedName name="_xlnm._FilterDatabase" localSheetId="1" hidden="1">'Chambre froide boisson'!$A$2:$BU$15</definedName>
    <definedName name="_xlnm._FilterDatabase" localSheetId="5" hidden="1">'Chambre negative'!$A$1:$CK$72</definedName>
    <definedName name="_xlnm._FilterDatabase" localSheetId="7" hidden="1">Cledor!$CX$1:$CX$66</definedName>
    <definedName name="_xlnm._FilterDatabase" localSheetId="3" hidden="1">Economat!$A$1:$CC$70</definedName>
    <definedName name="_xlnm._FilterDatabase" localSheetId="6" hidden="1">'France Boissons'!$A$1:$CX$65</definedName>
    <definedName name="_xlnm._FilterDatabase" localSheetId="2" hidden="1">'Reserve seche'!$A$1:$CC$63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63" i="2" l="1"/>
  <c r="BG63" i="2" s="1"/>
  <c r="BK63" i="2"/>
  <c r="BM63" i="2"/>
  <c r="BO63" i="2" s="1"/>
  <c r="BK64" i="2"/>
  <c r="BM64" i="2"/>
  <c r="BO64" i="2" s="1"/>
  <c r="BK65" i="2"/>
  <c r="BM65" i="2"/>
  <c r="BO65" i="2" s="1"/>
  <c r="BK57" i="14"/>
  <c r="BG57" i="14"/>
  <c r="BF26" i="5"/>
  <c r="CX65" i="6"/>
  <c r="CT65" i="6"/>
  <c r="CV65" i="6" s="1"/>
  <c r="CP65" i="6"/>
  <c r="CR65" i="6" s="1"/>
  <c r="CL65" i="6"/>
  <c r="CN65" i="6" s="1"/>
  <c r="CX64" i="6"/>
  <c r="CT64" i="6"/>
  <c r="CV64" i="6" s="1"/>
  <c r="CP64" i="6"/>
  <c r="CR64" i="6" s="1"/>
  <c r="CL64" i="6"/>
  <c r="CN64" i="6" s="1"/>
  <c r="CX63" i="6"/>
  <c r="CT63" i="6"/>
  <c r="CV63" i="6" s="1"/>
  <c r="CR63" i="6"/>
  <c r="CP63" i="6"/>
  <c r="CL63" i="6"/>
  <c r="CN63" i="6" s="1"/>
  <c r="CX62" i="6"/>
  <c r="CT62" i="6"/>
  <c r="CV62" i="6" s="1"/>
  <c r="CP62" i="6"/>
  <c r="CR62" i="6" s="1"/>
  <c r="CL62" i="6"/>
  <c r="CN62" i="6" s="1"/>
  <c r="CX61" i="6"/>
  <c r="CT61" i="6"/>
  <c r="CV61" i="6" s="1"/>
  <c r="CP61" i="6"/>
  <c r="CR61" i="6" s="1"/>
  <c r="CL61" i="6"/>
  <c r="CN61" i="6" s="1"/>
  <c r="CX60" i="6"/>
  <c r="CT60" i="6"/>
  <c r="CV60" i="6" s="1"/>
  <c r="CP60" i="6"/>
  <c r="CR60" i="6" s="1"/>
  <c r="CL60" i="6"/>
  <c r="CN60" i="6" s="1"/>
  <c r="CX59" i="6"/>
  <c r="CT59" i="6"/>
  <c r="CV59" i="6" s="1"/>
  <c r="CP59" i="6"/>
  <c r="CR59" i="6" s="1"/>
  <c r="CL59" i="6"/>
  <c r="CN59" i="6" s="1"/>
  <c r="CX58" i="6"/>
  <c r="CT58" i="6"/>
  <c r="CV58" i="6" s="1"/>
  <c r="CP58" i="6"/>
  <c r="CR58" i="6" s="1"/>
  <c r="CL58" i="6"/>
  <c r="CN58" i="6" s="1"/>
  <c r="CX57" i="6"/>
  <c r="CT57" i="6"/>
  <c r="CV57" i="6" s="1"/>
  <c r="CP57" i="6"/>
  <c r="CR57" i="6" s="1"/>
  <c r="CL57" i="6"/>
  <c r="CN57" i="6" s="1"/>
  <c r="CX56" i="6"/>
  <c r="CT56" i="6"/>
  <c r="CV56" i="6" s="1"/>
  <c r="CP56" i="6"/>
  <c r="CR56" i="6" s="1"/>
  <c r="CL56" i="6"/>
  <c r="CN56" i="6" s="1"/>
  <c r="CX55" i="6"/>
  <c r="CT55" i="6"/>
  <c r="CV55" i="6" s="1"/>
  <c r="CP55" i="6"/>
  <c r="CR55" i="6" s="1"/>
  <c r="CL55" i="6"/>
  <c r="CN55" i="6" s="1"/>
  <c r="CX54" i="6"/>
  <c r="CT54" i="6"/>
  <c r="CV54" i="6" s="1"/>
  <c r="CP54" i="6"/>
  <c r="CR54" i="6" s="1"/>
  <c r="CL54" i="6"/>
  <c r="CN54" i="6" s="1"/>
  <c r="CX53" i="6"/>
  <c r="CT53" i="6"/>
  <c r="CV53" i="6" s="1"/>
  <c r="CP53" i="6"/>
  <c r="CR53" i="6" s="1"/>
  <c r="CL53" i="6"/>
  <c r="CN53" i="6" s="1"/>
  <c r="CX52" i="6"/>
  <c r="CT52" i="6"/>
  <c r="CV52" i="6" s="1"/>
  <c r="CP52" i="6"/>
  <c r="CR52" i="6" s="1"/>
  <c r="CL52" i="6"/>
  <c r="CN52" i="6" s="1"/>
  <c r="CX51" i="6"/>
  <c r="CT51" i="6"/>
  <c r="CV51" i="6" s="1"/>
  <c r="CP51" i="6"/>
  <c r="CR51" i="6" s="1"/>
  <c r="CL51" i="6"/>
  <c r="CN51" i="6" s="1"/>
  <c r="CX50" i="6"/>
  <c r="CT50" i="6"/>
  <c r="CV50" i="6" s="1"/>
  <c r="CP50" i="6"/>
  <c r="CR50" i="6" s="1"/>
  <c r="CL50" i="6"/>
  <c r="CN50" i="6" s="1"/>
  <c r="CX49" i="6"/>
  <c r="CT49" i="6"/>
  <c r="CV49" i="6" s="1"/>
  <c r="CP49" i="6"/>
  <c r="CR49" i="6" s="1"/>
  <c r="CL49" i="6"/>
  <c r="CN49" i="6" s="1"/>
  <c r="CX48" i="6"/>
  <c r="CT48" i="6"/>
  <c r="CV48" i="6" s="1"/>
  <c r="CP48" i="6"/>
  <c r="CR48" i="6" s="1"/>
  <c r="CL48" i="6"/>
  <c r="CN48" i="6" s="1"/>
  <c r="CX47" i="6"/>
  <c r="CT47" i="6"/>
  <c r="CV47" i="6" s="1"/>
  <c r="CP47" i="6"/>
  <c r="CR47" i="6" s="1"/>
  <c r="CL47" i="6"/>
  <c r="CN47" i="6" s="1"/>
  <c r="CX46" i="6"/>
  <c r="CT46" i="6"/>
  <c r="CV46" i="6" s="1"/>
  <c r="CP46" i="6"/>
  <c r="CR46" i="6" s="1"/>
  <c r="CL46" i="6"/>
  <c r="CN46" i="6" s="1"/>
  <c r="CX45" i="6"/>
  <c r="CT45" i="6"/>
  <c r="CV45" i="6" s="1"/>
  <c r="CP45" i="6"/>
  <c r="CR45" i="6" s="1"/>
  <c r="CL45" i="6"/>
  <c r="CN45" i="6" s="1"/>
  <c r="CX44" i="6"/>
  <c r="CT44" i="6"/>
  <c r="CV44" i="6" s="1"/>
  <c r="CP44" i="6"/>
  <c r="CR44" i="6" s="1"/>
  <c r="CL44" i="6"/>
  <c r="CN44" i="6" s="1"/>
  <c r="CX43" i="6"/>
  <c r="CT43" i="6"/>
  <c r="CV43" i="6" s="1"/>
  <c r="CP43" i="6"/>
  <c r="CR43" i="6" s="1"/>
  <c r="CL43" i="6"/>
  <c r="CN43" i="6" s="1"/>
  <c r="CX42" i="6"/>
  <c r="CT42" i="6"/>
  <c r="CV42" i="6" s="1"/>
  <c r="CP42" i="6"/>
  <c r="CR42" i="6" s="1"/>
  <c r="CL42" i="6"/>
  <c r="CN42" i="6" s="1"/>
  <c r="CX41" i="6"/>
  <c r="CT41" i="6"/>
  <c r="CV41" i="6" s="1"/>
  <c r="CP41" i="6"/>
  <c r="CR41" i="6" s="1"/>
  <c r="CL41" i="6"/>
  <c r="CN41" i="6" s="1"/>
  <c r="CX40" i="6"/>
  <c r="CT40" i="6"/>
  <c r="CV40" i="6" s="1"/>
  <c r="CR40" i="6"/>
  <c r="CP40" i="6"/>
  <c r="CL40" i="6"/>
  <c r="CN40" i="6" s="1"/>
  <c r="CX39" i="6"/>
  <c r="CT39" i="6"/>
  <c r="CV39" i="6" s="1"/>
  <c r="CP39" i="6"/>
  <c r="CR39" i="6" s="1"/>
  <c r="CL39" i="6"/>
  <c r="CN39" i="6" s="1"/>
  <c r="CX38" i="6"/>
  <c r="CT38" i="6"/>
  <c r="CV38" i="6" s="1"/>
  <c r="CP38" i="6"/>
  <c r="CR38" i="6" s="1"/>
  <c r="CL38" i="6"/>
  <c r="CN38" i="6" s="1"/>
  <c r="CJ38" i="6"/>
  <c r="CX37" i="6"/>
  <c r="CT37" i="6"/>
  <c r="CV37" i="6" s="1"/>
  <c r="CP37" i="6"/>
  <c r="CR37" i="6" s="1"/>
  <c r="CL37" i="6"/>
  <c r="CN37" i="6" s="1"/>
  <c r="CX36" i="6"/>
  <c r="CT36" i="6"/>
  <c r="CV36" i="6" s="1"/>
  <c r="CP36" i="6"/>
  <c r="CR36" i="6" s="1"/>
  <c r="CL36" i="6"/>
  <c r="CN36" i="6" s="1"/>
  <c r="CX35" i="6"/>
  <c r="CT35" i="6"/>
  <c r="CV35" i="6" s="1"/>
  <c r="CP35" i="6"/>
  <c r="CR35" i="6" s="1"/>
  <c r="CL35" i="6"/>
  <c r="CN35" i="6" s="1"/>
  <c r="CX34" i="6"/>
  <c r="CT34" i="6"/>
  <c r="CV34" i="6" s="1"/>
  <c r="CP34" i="6"/>
  <c r="CR34" i="6" s="1"/>
  <c r="CL34" i="6"/>
  <c r="CN34" i="6" s="1"/>
  <c r="CX33" i="6"/>
  <c r="CT33" i="6"/>
  <c r="CV33" i="6" s="1"/>
  <c r="CP33" i="6"/>
  <c r="CR33" i="6" s="1"/>
  <c r="CL33" i="6"/>
  <c r="CN33" i="6" s="1"/>
  <c r="CX32" i="6"/>
  <c r="CT32" i="6"/>
  <c r="CV32" i="6" s="1"/>
  <c r="CP32" i="6"/>
  <c r="CR32" i="6" s="1"/>
  <c r="CL32" i="6"/>
  <c r="CN32" i="6" s="1"/>
  <c r="CJ32" i="6"/>
  <c r="CX31" i="6"/>
  <c r="CT31" i="6"/>
  <c r="CV31" i="6" s="1"/>
  <c r="CP31" i="6"/>
  <c r="CR31" i="6" s="1"/>
  <c r="CL31" i="6"/>
  <c r="CN31" i="6" s="1"/>
  <c r="CX30" i="6"/>
  <c r="CT30" i="6"/>
  <c r="CV30" i="6" s="1"/>
  <c r="CP30" i="6"/>
  <c r="CR30" i="6" s="1"/>
  <c r="CL30" i="6"/>
  <c r="CN30" i="6" s="1"/>
  <c r="CX29" i="6"/>
  <c r="CT29" i="6"/>
  <c r="CV29" i="6" s="1"/>
  <c r="CP29" i="6"/>
  <c r="CR29" i="6" s="1"/>
  <c r="CL29" i="6"/>
  <c r="CN29" i="6" s="1"/>
  <c r="CX28" i="6"/>
  <c r="CT28" i="6"/>
  <c r="CV28" i="6" s="1"/>
  <c r="CP28" i="6"/>
  <c r="CR28" i="6" s="1"/>
  <c r="CL28" i="6"/>
  <c r="CN28" i="6" s="1"/>
  <c r="CJ28" i="6"/>
  <c r="CX27" i="6"/>
  <c r="CT27" i="6"/>
  <c r="CV27" i="6" s="1"/>
  <c r="CP27" i="6"/>
  <c r="CR27" i="6" s="1"/>
  <c r="CL27" i="6"/>
  <c r="CN27" i="6" s="1"/>
  <c r="CX26" i="6"/>
  <c r="CT26" i="6"/>
  <c r="CV26" i="6" s="1"/>
  <c r="CP26" i="6"/>
  <c r="CR26" i="6" s="1"/>
  <c r="CL26" i="6"/>
  <c r="CN26" i="6" s="1"/>
  <c r="CX25" i="6"/>
  <c r="CT25" i="6"/>
  <c r="CV25" i="6" s="1"/>
  <c r="CP25" i="6"/>
  <c r="CR25" i="6" s="1"/>
  <c r="CL25" i="6"/>
  <c r="CN25" i="6" s="1"/>
  <c r="CX24" i="6"/>
  <c r="CT24" i="6"/>
  <c r="CV24" i="6" s="1"/>
  <c r="CP24" i="6"/>
  <c r="CR24" i="6" s="1"/>
  <c r="CL24" i="6"/>
  <c r="CN24" i="6" s="1"/>
  <c r="CX23" i="6"/>
  <c r="CT23" i="6"/>
  <c r="CV23" i="6" s="1"/>
  <c r="CP23" i="6"/>
  <c r="CR23" i="6" s="1"/>
  <c r="CL23" i="6"/>
  <c r="CN23" i="6" s="1"/>
  <c r="CX22" i="6"/>
  <c r="CT22" i="6"/>
  <c r="CV22" i="6" s="1"/>
  <c r="CP22" i="6"/>
  <c r="CR22" i="6" s="1"/>
  <c r="CL22" i="6"/>
  <c r="CN22" i="6" s="1"/>
  <c r="CX21" i="6"/>
  <c r="CT21" i="6"/>
  <c r="CV21" i="6" s="1"/>
  <c r="CP21" i="6"/>
  <c r="CR21" i="6" s="1"/>
  <c r="CL21" i="6"/>
  <c r="CN21" i="6" s="1"/>
  <c r="CX20" i="6"/>
  <c r="CT20" i="6"/>
  <c r="CV20" i="6" s="1"/>
  <c r="CP20" i="6"/>
  <c r="CR20" i="6" s="1"/>
  <c r="CL20" i="6"/>
  <c r="CN20" i="6" s="1"/>
  <c r="CX19" i="6"/>
  <c r="CT19" i="6"/>
  <c r="CV19" i="6" s="1"/>
  <c r="CP19" i="6"/>
  <c r="CR19" i="6" s="1"/>
  <c r="CL19" i="6"/>
  <c r="CN19" i="6" s="1"/>
  <c r="CJ19" i="6"/>
  <c r="CX18" i="6"/>
  <c r="CT18" i="6"/>
  <c r="CV18" i="6" s="1"/>
  <c r="CP18" i="6"/>
  <c r="CR18" i="6" s="1"/>
  <c r="CL18" i="6"/>
  <c r="CN18" i="6" s="1"/>
  <c r="CX17" i="6"/>
  <c r="CT17" i="6"/>
  <c r="CV17" i="6" s="1"/>
  <c r="CP17" i="6"/>
  <c r="CR17" i="6" s="1"/>
  <c r="CN17" i="6"/>
  <c r="CL17" i="6"/>
  <c r="CX16" i="6"/>
  <c r="CT16" i="6"/>
  <c r="CV16" i="6" s="1"/>
  <c r="CP16" i="6"/>
  <c r="CR16" i="6" s="1"/>
  <c r="CL16" i="6"/>
  <c r="CN16" i="6" s="1"/>
  <c r="CX15" i="6"/>
  <c r="CT15" i="6"/>
  <c r="CV15" i="6" s="1"/>
  <c r="CP15" i="6"/>
  <c r="CR15" i="6" s="1"/>
  <c r="CL15" i="6"/>
  <c r="CN15" i="6" s="1"/>
  <c r="CJ15" i="6"/>
  <c r="CX14" i="6"/>
  <c r="CT14" i="6"/>
  <c r="CV14" i="6" s="1"/>
  <c r="CP14" i="6"/>
  <c r="CR14" i="6" s="1"/>
  <c r="CL14" i="6"/>
  <c r="CN14" i="6" s="1"/>
  <c r="CX13" i="6"/>
  <c r="CT13" i="6"/>
  <c r="CV13" i="6" s="1"/>
  <c r="CP13" i="6"/>
  <c r="CR13" i="6" s="1"/>
  <c r="CL13" i="6"/>
  <c r="CN13" i="6" s="1"/>
  <c r="CX12" i="6"/>
  <c r="CT12" i="6"/>
  <c r="CV12" i="6" s="1"/>
  <c r="CP12" i="6"/>
  <c r="CR12" i="6" s="1"/>
  <c r="CL12" i="6"/>
  <c r="CN12" i="6" s="1"/>
  <c r="CX11" i="6"/>
  <c r="CT11" i="6"/>
  <c r="CV11" i="6" s="1"/>
  <c r="CP11" i="6"/>
  <c r="CR11" i="6" s="1"/>
  <c r="CL11" i="6"/>
  <c r="CN11" i="6" s="1"/>
  <c r="CX10" i="6"/>
  <c r="CT10" i="6"/>
  <c r="CV10" i="6" s="1"/>
  <c r="CP10" i="6"/>
  <c r="CR10" i="6" s="1"/>
  <c r="CL10" i="6"/>
  <c r="CN10" i="6" s="1"/>
  <c r="CX9" i="6"/>
  <c r="CT9" i="6"/>
  <c r="CV9" i="6" s="1"/>
  <c r="CP9" i="6"/>
  <c r="CR9" i="6" s="1"/>
  <c r="CL9" i="6"/>
  <c r="CN9" i="6" s="1"/>
  <c r="CX8" i="6"/>
  <c r="CT8" i="6"/>
  <c r="CV8" i="6" s="1"/>
  <c r="CP8" i="6"/>
  <c r="CR8" i="6" s="1"/>
  <c r="CN8" i="6"/>
  <c r="CL8" i="6"/>
  <c r="CX7" i="6"/>
  <c r="CT7" i="6"/>
  <c r="CV7" i="6" s="1"/>
  <c r="CP7" i="6"/>
  <c r="CR7" i="6" s="1"/>
  <c r="CL7" i="6"/>
  <c r="CN7" i="6" s="1"/>
  <c r="CJ7" i="6"/>
  <c r="CX6" i="6"/>
  <c r="CT6" i="6"/>
  <c r="CV6" i="6" s="1"/>
  <c r="CP6" i="6"/>
  <c r="CR6" i="6" s="1"/>
  <c r="CL6" i="6"/>
  <c r="CN6" i="6" s="1"/>
  <c r="CX5" i="6"/>
  <c r="CT5" i="6"/>
  <c r="CV5" i="6" s="1"/>
  <c r="CP5" i="6"/>
  <c r="CR5" i="6" s="1"/>
  <c r="CL5" i="6"/>
  <c r="CN5" i="6" s="1"/>
  <c r="CX4" i="6"/>
  <c r="CT4" i="6"/>
  <c r="CV4" i="6" s="1"/>
  <c r="CP4" i="6"/>
  <c r="CR4" i="6" s="1"/>
  <c r="CL4" i="6"/>
  <c r="CN4" i="6" s="1"/>
  <c r="CH65" i="6"/>
  <c r="CJ65" i="6" s="1"/>
  <c r="CD65" i="6"/>
  <c r="CF65" i="6" s="1"/>
  <c r="CH64" i="6"/>
  <c r="CJ64" i="6" s="1"/>
  <c r="CD64" i="6"/>
  <c r="CF64" i="6" s="1"/>
  <c r="CH63" i="6"/>
  <c r="CJ63" i="6" s="1"/>
  <c r="CD63" i="6"/>
  <c r="CF63" i="6" s="1"/>
  <c r="CH62" i="6"/>
  <c r="CJ62" i="6" s="1"/>
  <c r="CD62" i="6"/>
  <c r="CF62" i="6" s="1"/>
  <c r="CH61" i="6"/>
  <c r="CJ61" i="6" s="1"/>
  <c r="CD61" i="6"/>
  <c r="CF61" i="6" s="1"/>
  <c r="CH60" i="6"/>
  <c r="CJ60" i="6" s="1"/>
  <c r="CD60" i="6"/>
  <c r="CF60" i="6" s="1"/>
  <c r="CH59" i="6"/>
  <c r="CJ59" i="6" s="1"/>
  <c r="CD59" i="6"/>
  <c r="CF59" i="6" s="1"/>
  <c r="CH58" i="6"/>
  <c r="CJ58" i="6" s="1"/>
  <c r="CD58" i="6"/>
  <c r="CF58" i="6" s="1"/>
  <c r="CH57" i="6"/>
  <c r="CJ57" i="6" s="1"/>
  <c r="CD57" i="6"/>
  <c r="CF57" i="6" s="1"/>
  <c r="CH56" i="6"/>
  <c r="CJ56" i="6" s="1"/>
  <c r="CD56" i="6"/>
  <c r="CF56" i="6" s="1"/>
  <c r="CH55" i="6"/>
  <c r="CJ55" i="6" s="1"/>
  <c r="CD55" i="6"/>
  <c r="CF55" i="6" s="1"/>
  <c r="CH54" i="6"/>
  <c r="CJ54" i="6" s="1"/>
  <c r="CD54" i="6"/>
  <c r="CF54" i="6" s="1"/>
  <c r="CH53" i="6"/>
  <c r="CJ53" i="6" s="1"/>
  <c r="CD53" i="6"/>
  <c r="CF53" i="6" s="1"/>
  <c r="CH52" i="6"/>
  <c r="CJ52" i="6" s="1"/>
  <c r="CD52" i="6"/>
  <c r="CF52" i="6" s="1"/>
  <c r="CH51" i="6"/>
  <c r="CJ51" i="6" s="1"/>
  <c r="CD51" i="6"/>
  <c r="CF51" i="6" s="1"/>
  <c r="CH50" i="6"/>
  <c r="CJ50" i="6" s="1"/>
  <c r="CD50" i="6"/>
  <c r="CF50" i="6" s="1"/>
  <c r="CH49" i="6"/>
  <c r="CJ49" i="6" s="1"/>
  <c r="CD49" i="6"/>
  <c r="CF49" i="6" s="1"/>
  <c r="CH48" i="6"/>
  <c r="CJ48" i="6" s="1"/>
  <c r="CD48" i="6"/>
  <c r="CF48" i="6" s="1"/>
  <c r="CH47" i="6"/>
  <c r="CJ47" i="6" s="1"/>
  <c r="CD47" i="6"/>
  <c r="CF47" i="6" s="1"/>
  <c r="CH46" i="6"/>
  <c r="CJ46" i="6" s="1"/>
  <c r="CD46" i="6"/>
  <c r="CF46" i="6" s="1"/>
  <c r="CH45" i="6"/>
  <c r="CJ45" i="6" s="1"/>
  <c r="CD45" i="6"/>
  <c r="CF45" i="6" s="1"/>
  <c r="CH44" i="6"/>
  <c r="CJ44" i="6" s="1"/>
  <c r="CD44" i="6"/>
  <c r="CF44" i="6" s="1"/>
  <c r="CH43" i="6"/>
  <c r="CJ43" i="6" s="1"/>
  <c r="CD43" i="6"/>
  <c r="CF43" i="6" s="1"/>
  <c r="CH42" i="6"/>
  <c r="CJ42" i="6" s="1"/>
  <c r="CD42" i="6"/>
  <c r="CF42" i="6" s="1"/>
  <c r="CH41" i="6"/>
  <c r="CJ41" i="6" s="1"/>
  <c r="CD41" i="6"/>
  <c r="CF41" i="6" s="1"/>
  <c r="CH40" i="6"/>
  <c r="CJ40" i="6" s="1"/>
  <c r="CD40" i="6"/>
  <c r="CF40" i="6" s="1"/>
  <c r="CH39" i="6"/>
  <c r="CJ39" i="6" s="1"/>
  <c r="CD39" i="6"/>
  <c r="CF39" i="6" s="1"/>
  <c r="CH38" i="6"/>
  <c r="CD38" i="6"/>
  <c r="CF38" i="6" s="1"/>
  <c r="CH37" i="6"/>
  <c r="CJ37" i="6" s="1"/>
  <c r="CD37" i="6"/>
  <c r="CF37" i="6" s="1"/>
  <c r="CH36" i="6"/>
  <c r="CJ36" i="6" s="1"/>
  <c r="CD36" i="6"/>
  <c r="CF36" i="6" s="1"/>
  <c r="CH35" i="6"/>
  <c r="CJ35" i="6" s="1"/>
  <c r="CD35" i="6"/>
  <c r="CF35" i="6" s="1"/>
  <c r="CH34" i="6"/>
  <c r="CJ34" i="6" s="1"/>
  <c r="CD34" i="6"/>
  <c r="CF34" i="6" s="1"/>
  <c r="CH33" i="6"/>
  <c r="CJ33" i="6" s="1"/>
  <c r="CD33" i="6"/>
  <c r="CF33" i="6" s="1"/>
  <c r="CH32" i="6"/>
  <c r="CD32" i="6"/>
  <c r="CF32" i="6" s="1"/>
  <c r="CH31" i="6"/>
  <c r="CJ31" i="6" s="1"/>
  <c r="CD31" i="6"/>
  <c r="CF31" i="6" s="1"/>
  <c r="CH30" i="6"/>
  <c r="CJ30" i="6" s="1"/>
  <c r="CD30" i="6"/>
  <c r="CF30" i="6" s="1"/>
  <c r="CH29" i="6"/>
  <c r="CJ29" i="6" s="1"/>
  <c r="CD29" i="6"/>
  <c r="CF29" i="6" s="1"/>
  <c r="CH28" i="6"/>
  <c r="CD28" i="6"/>
  <c r="CF28" i="6" s="1"/>
  <c r="CH27" i="6"/>
  <c r="CJ27" i="6" s="1"/>
  <c r="CD27" i="6"/>
  <c r="CF27" i="6" s="1"/>
  <c r="CH26" i="6"/>
  <c r="CJ26" i="6" s="1"/>
  <c r="CD26" i="6"/>
  <c r="CF26" i="6" s="1"/>
  <c r="CH25" i="6"/>
  <c r="CJ25" i="6" s="1"/>
  <c r="CD25" i="6"/>
  <c r="CF25" i="6" s="1"/>
  <c r="CH24" i="6"/>
  <c r="CJ24" i="6" s="1"/>
  <c r="CD24" i="6"/>
  <c r="CF24" i="6" s="1"/>
  <c r="CH23" i="6"/>
  <c r="CJ23" i="6" s="1"/>
  <c r="CD23" i="6"/>
  <c r="CF23" i="6" s="1"/>
  <c r="CH22" i="6"/>
  <c r="CJ22" i="6" s="1"/>
  <c r="CD22" i="6"/>
  <c r="CF22" i="6" s="1"/>
  <c r="CB22" i="6"/>
  <c r="CH21" i="6"/>
  <c r="CJ21" i="6" s="1"/>
  <c r="CD21" i="6"/>
  <c r="CF21" i="6" s="1"/>
  <c r="CH20" i="6"/>
  <c r="CJ20" i="6" s="1"/>
  <c r="CD20" i="6"/>
  <c r="CF20" i="6" s="1"/>
  <c r="CH19" i="6"/>
  <c r="CD19" i="6"/>
  <c r="CF19" i="6" s="1"/>
  <c r="CH18" i="6"/>
  <c r="CJ18" i="6" s="1"/>
  <c r="CD18" i="6"/>
  <c r="CF18" i="6" s="1"/>
  <c r="CH17" i="6"/>
  <c r="CJ17" i="6" s="1"/>
  <c r="CD17" i="6"/>
  <c r="CF17" i="6" s="1"/>
  <c r="CH16" i="6"/>
  <c r="CJ16" i="6" s="1"/>
  <c r="CD16" i="6"/>
  <c r="CF16" i="6" s="1"/>
  <c r="CH15" i="6"/>
  <c r="CD15" i="6"/>
  <c r="CF15" i="6" s="1"/>
  <c r="CH14" i="6"/>
  <c r="CJ14" i="6" s="1"/>
  <c r="CD14" i="6"/>
  <c r="CF14" i="6" s="1"/>
  <c r="CH13" i="6"/>
  <c r="CJ13" i="6" s="1"/>
  <c r="CD13" i="6"/>
  <c r="CF13" i="6" s="1"/>
  <c r="CH12" i="6"/>
  <c r="CJ12" i="6" s="1"/>
  <c r="CD12" i="6"/>
  <c r="CF12" i="6" s="1"/>
  <c r="CH11" i="6"/>
  <c r="CJ11" i="6" s="1"/>
  <c r="CD11" i="6"/>
  <c r="CF11" i="6" s="1"/>
  <c r="CH10" i="6"/>
  <c r="CJ10" i="6" s="1"/>
  <c r="CD10" i="6"/>
  <c r="CF10" i="6" s="1"/>
  <c r="CH9" i="6"/>
  <c r="CJ9" i="6" s="1"/>
  <c r="CD9" i="6"/>
  <c r="CF9" i="6" s="1"/>
  <c r="CH8" i="6"/>
  <c r="CJ8" i="6" s="1"/>
  <c r="CD8" i="6"/>
  <c r="CF8" i="6" s="1"/>
  <c r="CH7" i="6"/>
  <c r="CD7" i="6"/>
  <c r="CF7" i="6" s="1"/>
  <c r="CH6" i="6"/>
  <c r="CJ6" i="6" s="1"/>
  <c r="CD6" i="6"/>
  <c r="CF6" i="6" s="1"/>
  <c r="CH5" i="6"/>
  <c r="CJ5" i="6" s="1"/>
  <c r="CD5" i="6"/>
  <c r="CF5" i="6" s="1"/>
  <c r="CH4" i="6"/>
  <c r="CJ4" i="6" s="1"/>
  <c r="CD4" i="6"/>
  <c r="CF4" i="6" s="1"/>
  <c r="BZ65" i="6"/>
  <c r="CB65" i="6" s="1"/>
  <c r="BZ64" i="6"/>
  <c r="CB64" i="6" s="1"/>
  <c r="BZ63" i="6"/>
  <c r="CB63" i="6" s="1"/>
  <c r="BZ62" i="6"/>
  <c r="CB62" i="6" s="1"/>
  <c r="BZ61" i="6"/>
  <c r="CB61" i="6" s="1"/>
  <c r="BZ60" i="6"/>
  <c r="CB60" i="6" s="1"/>
  <c r="BZ59" i="6"/>
  <c r="CB59" i="6" s="1"/>
  <c r="BZ58" i="6"/>
  <c r="CB58" i="6" s="1"/>
  <c r="BZ57" i="6"/>
  <c r="CB57" i="6" s="1"/>
  <c r="BZ56" i="6"/>
  <c r="CB56" i="6" s="1"/>
  <c r="BZ55" i="6"/>
  <c r="CB55" i="6" s="1"/>
  <c r="BZ54" i="6"/>
  <c r="CB54" i="6" s="1"/>
  <c r="BZ53" i="6"/>
  <c r="CB53" i="6" s="1"/>
  <c r="BZ52" i="6"/>
  <c r="CB52" i="6" s="1"/>
  <c r="BZ51" i="6"/>
  <c r="CB51" i="6" s="1"/>
  <c r="BZ50" i="6"/>
  <c r="CB50" i="6" s="1"/>
  <c r="BZ49" i="6"/>
  <c r="CB49" i="6" s="1"/>
  <c r="BZ48" i="6"/>
  <c r="CB48" i="6" s="1"/>
  <c r="BZ47" i="6"/>
  <c r="CB47" i="6" s="1"/>
  <c r="BZ46" i="6"/>
  <c r="CB46" i="6" s="1"/>
  <c r="BZ45" i="6"/>
  <c r="CB45" i="6" s="1"/>
  <c r="BZ44" i="6"/>
  <c r="CB44" i="6" s="1"/>
  <c r="BZ43" i="6"/>
  <c r="CB43" i="6" s="1"/>
  <c r="BZ42" i="6"/>
  <c r="CB42" i="6" s="1"/>
  <c r="BZ41" i="6"/>
  <c r="CB41" i="6" s="1"/>
  <c r="BZ40" i="6"/>
  <c r="CB40" i="6" s="1"/>
  <c r="BZ39" i="6"/>
  <c r="CB39" i="6" s="1"/>
  <c r="BZ38" i="6"/>
  <c r="CB38" i="6" s="1"/>
  <c r="BZ37" i="6"/>
  <c r="CB37" i="6" s="1"/>
  <c r="BZ36" i="6"/>
  <c r="CB36" i="6" s="1"/>
  <c r="BZ35" i="6"/>
  <c r="CB35" i="6" s="1"/>
  <c r="BZ34" i="6"/>
  <c r="CB34" i="6" s="1"/>
  <c r="BZ33" i="6"/>
  <c r="CB33" i="6" s="1"/>
  <c r="BZ32" i="6"/>
  <c r="CB32" i="6" s="1"/>
  <c r="BZ31" i="6"/>
  <c r="CB31" i="6" s="1"/>
  <c r="BZ30" i="6"/>
  <c r="CB30" i="6" s="1"/>
  <c r="BZ29" i="6"/>
  <c r="CB29" i="6" s="1"/>
  <c r="BZ28" i="6"/>
  <c r="CB28" i="6" s="1"/>
  <c r="BZ27" i="6"/>
  <c r="CB27" i="6" s="1"/>
  <c r="BZ26" i="6"/>
  <c r="CB26" i="6" s="1"/>
  <c r="BZ25" i="6"/>
  <c r="CB25" i="6" s="1"/>
  <c r="BZ24" i="6"/>
  <c r="CB24" i="6" s="1"/>
  <c r="BZ23" i="6"/>
  <c r="CB23" i="6" s="1"/>
  <c r="BZ22" i="6"/>
  <c r="BZ21" i="6"/>
  <c r="CB21" i="6" s="1"/>
  <c r="BZ20" i="6"/>
  <c r="CB20" i="6" s="1"/>
  <c r="BZ19" i="6"/>
  <c r="CB19" i="6" s="1"/>
  <c r="BZ18" i="6"/>
  <c r="CB18" i="6" s="1"/>
  <c r="BZ17" i="6"/>
  <c r="CB17" i="6" s="1"/>
  <c r="BZ16" i="6"/>
  <c r="CB16" i="6" s="1"/>
  <c r="BZ15" i="6"/>
  <c r="CB15" i="6" s="1"/>
  <c r="BZ14" i="6"/>
  <c r="CB14" i="6" s="1"/>
  <c r="BZ13" i="6"/>
  <c r="CB13" i="6" s="1"/>
  <c r="BZ12" i="6"/>
  <c r="CB12" i="6" s="1"/>
  <c r="BZ11" i="6"/>
  <c r="CB11" i="6" s="1"/>
  <c r="BZ10" i="6"/>
  <c r="CB10" i="6" s="1"/>
  <c r="BZ9" i="6"/>
  <c r="CB9" i="6" s="1"/>
  <c r="BZ8" i="6"/>
  <c r="CB8" i="6" s="1"/>
  <c r="BZ7" i="6"/>
  <c r="CB7" i="6" s="1"/>
  <c r="BZ6" i="6"/>
  <c r="CB6" i="6" s="1"/>
  <c r="BZ5" i="6"/>
  <c r="CB5" i="6" s="1"/>
  <c r="BZ4" i="6"/>
  <c r="CB4" i="6" s="1"/>
  <c r="BV65" i="6"/>
  <c r="BX65" i="6" s="1"/>
  <c r="BV64" i="6"/>
  <c r="BX64" i="6" s="1"/>
  <c r="BV63" i="6"/>
  <c r="BX63" i="6" s="1"/>
  <c r="BV62" i="6"/>
  <c r="BX62" i="6" s="1"/>
  <c r="BV61" i="6"/>
  <c r="BX61" i="6" s="1"/>
  <c r="BV60" i="6"/>
  <c r="BX60" i="6" s="1"/>
  <c r="BV59" i="6"/>
  <c r="BX59" i="6" s="1"/>
  <c r="BV58" i="6"/>
  <c r="BX58" i="6" s="1"/>
  <c r="BV57" i="6"/>
  <c r="BX57" i="6" s="1"/>
  <c r="BV56" i="6"/>
  <c r="BX56" i="6" s="1"/>
  <c r="BV55" i="6"/>
  <c r="BX55" i="6" s="1"/>
  <c r="BV54" i="6"/>
  <c r="BX54" i="6" s="1"/>
  <c r="BV53" i="6"/>
  <c r="BX53" i="6" s="1"/>
  <c r="BV52" i="6"/>
  <c r="BX52" i="6" s="1"/>
  <c r="BV51" i="6"/>
  <c r="BX51" i="6" s="1"/>
  <c r="BV50" i="6"/>
  <c r="BX50" i="6" s="1"/>
  <c r="BV49" i="6"/>
  <c r="BX49" i="6" s="1"/>
  <c r="BV48" i="6"/>
  <c r="BX48" i="6" s="1"/>
  <c r="BV47" i="6"/>
  <c r="BX47" i="6" s="1"/>
  <c r="BV46" i="6"/>
  <c r="BX46" i="6" s="1"/>
  <c r="BV45" i="6"/>
  <c r="BX45" i="6" s="1"/>
  <c r="BV44" i="6"/>
  <c r="BX44" i="6" s="1"/>
  <c r="BV43" i="6"/>
  <c r="BX43" i="6" s="1"/>
  <c r="BV42" i="6"/>
  <c r="BX42" i="6" s="1"/>
  <c r="BV41" i="6"/>
  <c r="BX41" i="6" s="1"/>
  <c r="BV40" i="6"/>
  <c r="BX40" i="6" s="1"/>
  <c r="BV39" i="6"/>
  <c r="BX39" i="6" s="1"/>
  <c r="BV38" i="6"/>
  <c r="BX38" i="6" s="1"/>
  <c r="BV37" i="6"/>
  <c r="BX37" i="6" s="1"/>
  <c r="BV36" i="6"/>
  <c r="BX36" i="6" s="1"/>
  <c r="BV35" i="6"/>
  <c r="BX35" i="6" s="1"/>
  <c r="BV34" i="6"/>
  <c r="BX34" i="6" s="1"/>
  <c r="BV33" i="6"/>
  <c r="BX33" i="6" s="1"/>
  <c r="BV32" i="6"/>
  <c r="BX32" i="6" s="1"/>
  <c r="BV31" i="6"/>
  <c r="BX31" i="6" s="1"/>
  <c r="BV30" i="6"/>
  <c r="BX30" i="6" s="1"/>
  <c r="BV29" i="6"/>
  <c r="BX29" i="6" s="1"/>
  <c r="BV28" i="6"/>
  <c r="BX28" i="6" s="1"/>
  <c r="BV27" i="6"/>
  <c r="BX27" i="6" s="1"/>
  <c r="BV26" i="6"/>
  <c r="BX26" i="6" s="1"/>
  <c r="BV25" i="6"/>
  <c r="BX25" i="6" s="1"/>
  <c r="BV24" i="6"/>
  <c r="BX24" i="6" s="1"/>
  <c r="BV23" i="6"/>
  <c r="BX23" i="6" s="1"/>
  <c r="BV22" i="6"/>
  <c r="BX22" i="6" s="1"/>
  <c r="BV21" i="6"/>
  <c r="BX21" i="6" s="1"/>
  <c r="BV20" i="6"/>
  <c r="BX20" i="6" s="1"/>
  <c r="BV19" i="6"/>
  <c r="BX19" i="6" s="1"/>
  <c r="BV18" i="6"/>
  <c r="BX18" i="6" s="1"/>
  <c r="BV17" i="6"/>
  <c r="BX17" i="6" s="1"/>
  <c r="BV16" i="6"/>
  <c r="BX16" i="6" s="1"/>
  <c r="BV15" i="6"/>
  <c r="BX15" i="6" s="1"/>
  <c r="BV14" i="6"/>
  <c r="BX14" i="6" s="1"/>
  <c r="BV13" i="6"/>
  <c r="BX13" i="6" s="1"/>
  <c r="BV12" i="6"/>
  <c r="BX12" i="6" s="1"/>
  <c r="BV11" i="6"/>
  <c r="BX11" i="6" s="1"/>
  <c r="BV10" i="6"/>
  <c r="BX10" i="6" s="1"/>
  <c r="BV9" i="6"/>
  <c r="BX9" i="6" s="1"/>
  <c r="BV8" i="6"/>
  <c r="BX8" i="6" s="1"/>
  <c r="BV7" i="6"/>
  <c r="BX7" i="6" s="1"/>
  <c r="BV6" i="6"/>
  <c r="BX6" i="6" s="1"/>
  <c r="BV5" i="6"/>
  <c r="BX5" i="6" s="1"/>
  <c r="BV4" i="6"/>
  <c r="BX4" i="6" s="1"/>
  <c r="BM28" i="5"/>
  <c r="BO28" i="5" s="1"/>
  <c r="BQ28" i="5"/>
  <c r="BS28" i="5" s="1"/>
  <c r="BU28" i="5"/>
  <c r="BW28" i="5" s="1"/>
  <c r="BY28" i="5"/>
  <c r="CA28" i="5" s="1"/>
  <c r="CC28" i="5"/>
  <c r="CE28" i="5" s="1"/>
  <c r="CG28" i="5"/>
  <c r="BM29" i="5"/>
  <c r="BO29" i="5" s="1"/>
  <c r="BQ29" i="5"/>
  <c r="BS29" i="5" s="1"/>
  <c r="BU29" i="5"/>
  <c r="BW29" i="5" s="1"/>
  <c r="BY29" i="5"/>
  <c r="CA29" i="5" s="1"/>
  <c r="CC29" i="5"/>
  <c r="CE29" i="5" s="1"/>
  <c r="CG29" i="5"/>
  <c r="BQ65" i="2"/>
  <c r="BS65" i="2" s="1"/>
  <c r="BU65" i="2"/>
  <c r="BW65" i="2" s="1"/>
  <c r="BY65" i="2"/>
  <c r="CA65" i="2"/>
  <c r="CC65" i="2"/>
  <c r="CE65" i="2" s="1"/>
  <c r="CG65" i="2"/>
  <c r="CI65" i="2" s="1"/>
  <c r="CK65" i="2"/>
  <c r="BQ63" i="2"/>
  <c r="BS63" i="2" s="1"/>
  <c r="BU63" i="2"/>
  <c r="BW63" i="2" s="1"/>
  <c r="BY63" i="2"/>
  <c r="CA63" i="2" s="1"/>
  <c r="CC63" i="2"/>
  <c r="CE63" i="2" s="1"/>
  <c r="CG63" i="2"/>
  <c r="CI63" i="2" s="1"/>
  <c r="CK63" i="2"/>
  <c r="BQ64" i="2"/>
  <c r="BS64" i="2" s="1"/>
  <c r="BU64" i="2"/>
  <c r="BW64" i="2" s="1"/>
  <c r="BY64" i="2"/>
  <c r="CA64" i="2" s="1"/>
  <c r="CC64" i="2"/>
  <c r="CE64" i="2" s="1"/>
  <c r="CG64" i="2"/>
  <c r="CI64" i="2" s="1"/>
  <c r="CK64" i="2"/>
  <c r="BI64" i="2"/>
  <c r="BE64" i="2"/>
  <c r="BG64" i="2" s="1"/>
  <c r="CK72" i="2"/>
  <c r="CG72" i="2"/>
  <c r="CI72" i="2" s="1"/>
  <c r="CC72" i="2"/>
  <c r="CE72" i="2" s="1"/>
  <c r="BY72" i="2"/>
  <c r="CA72" i="2" s="1"/>
  <c r="CK71" i="2"/>
  <c r="CG71" i="2"/>
  <c r="CI71" i="2" s="1"/>
  <c r="CC71" i="2"/>
  <c r="CE71" i="2" s="1"/>
  <c r="BY71" i="2"/>
  <c r="CA71" i="2" s="1"/>
  <c r="CK70" i="2"/>
  <c r="CG70" i="2"/>
  <c r="CI70" i="2" s="1"/>
  <c r="CC70" i="2"/>
  <c r="CE70" i="2" s="1"/>
  <c r="BY70" i="2"/>
  <c r="CA70" i="2" s="1"/>
  <c r="CK69" i="2"/>
  <c r="CG69" i="2"/>
  <c r="CI69" i="2" s="1"/>
  <c r="CC69" i="2"/>
  <c r="CE69" i="2" s="1"/>
  <c r="BY69" i="2"/>
  <c r="CA69" i="2" s="1"/>
  <c r="CK68" i="2"/>
  <c r="CG68" i="2"/>
  <c r="CI68" i="2" s="1"/>
  <c r="CC68" i="2"/>
  <c r="CE68" i="2" s="1"/>
  <c r="BY68" i="2"/>
  <c r="CA68" i="2" s="1"/>
  <c r="CK67" i="2"/>
  <c r="CG67" i="2"/>
  <c r="CI67" i="2" s="1"/>
  <c r="CC67" i="2"/>
  <c r="CE67" i="2" s="1"/>
  <c r="BY67" i="2"/>
  <c r="CA67" i="2" s="1"/>
  <c r="CK66" i="2"/>
  <c r="CG66" i="2"/>
  <c r="CI66" i="2" s="1"/>
  <c r="CC66" i="2"/>
  <c r="CE66" i="2" s="1"/>
  <c r="BY66" i="2"/>
  <c r="CA66" i="2" s="1"/>
  <c r="CK62" i="2"/>
  <c r="CG62" i="2"/>
  <c r="CI62" i="2" s="1"/>
  <c r="CC62" i="2"/>
  <c r="CE62" i="2" s="1"/>
  <c r="BY62" i="2"/>
  <c r="CA62" i="2" s="1"/>
  <c r="CK61" i="2"/>
  <c r="CG61" i="2"/>
  <c r="CI61" i="2" s="1"/>
  <c r="CC61" i="2"/>
  <c r="CE61" i="2" s="1"/>
  <c r="BY61" i="2"/>
  <c r="CA61" i="2" s="1"/>
  <c r="CK60" i="2"/>
  <c r="CG60" i="2"/>
  <c r="CI60" i="2" s="1"/>
  <c r="CC60" i="2"/>
  <c r="CE60" i="2" s="1"/>
  <c r="BY60" i="2"/>
  <c r="CA60" i="2" s="1"/>
  <c r="CK59" i="2"/>
  <c r="CG59" i="2"/>
  <c r="CI59" i="2" s="1"/>
  <c r="CC59" i="2"/>
  <c r="CE59" i="2" s="1"/>
  <c r="BY59" i="2"/>
  <c r="CA59" i="2" s="1"/>
  <c r="CK58" i="2"/>
  <c r="CG58" i="2"/>
  <c r="CI58" i="2" s="1"/>
  <c r="CC58" i="2"/>
  <c r="CE58" i="2" s="1"/>
  <c r="BY58" i="2"/>
  <c r="CA58" i="2" s="1"/>
  <c r="CK57" i="2"/>
  <c r="CG57" i="2"/>
  <c r="CI57" i="2" s="1"/>
  <c r="CC57" i="2"/>
  <c r="CE57" i="2" s="1"/>
  <c r="BY57" i="2"/>
  <c r="CA57" i="2" s="1"/>
  <c r="CK56" i="2"/>
  <c r="CG56" i="2"/>
  <c r="CI56" i="2" s="1"/>
  <c r="CC56" i="2"/>
  <c r="CE56" i="2" s="1"/>
  <c r="BY56" i="2"/>
  <c r="CA56" i="2" s="1"/>
  <c r="CK55" i="2"/>
  <c r="CG55" i="2"/>
  <c r="CI55" i="2" s="1"/>
  <c r="CC55" i="2"/>
  <c r="CE55" i="2" s="1"/>
  <c r="BY55" i="2"/>
  <c r="CA55" i="2" s="1"/>
  <c r="CK54" i="2"/>
  <c r="CG54" i="2"/>
  <c r="CI54" i="2" s="1"/>
  <c r="CC54" i="2"/>
  <c r="CE54" i="2" s="1"/>
  <c r="BY54" i="2"/>
  <c r="CA54" i="2" s="1"/>
  <c r="CK53" i="2"/>
  <c r="CG53" i="2"/>
  <c r="CI53" i="2" s="1"/>
  <c r="CC53" i="2"/>
  <c r="CE53" i="2" s="1"/>
  <c r="BY53" i="2"/>
  <c r="CA53" i="2" s="1"/>
  <c r="CK52" i="2"/>
  <c r="CG52" i="2"/>
  <c r="CI52" i="2" s="1"/>
  <c r="CC52" i="2"/>
  <c r="CE52" i="2" s="1"/>
  <c r="BY52" i="2"/>
  <c r="CA52" i="2" s="1"/>
  <c r="CK51" i="2"/>
  <c r="CG51" i="2"/>
  <c r="CI51" i="2" s="1"/>
  <c r="CC51" i="2"/>
  <c r="CE51" i="2" s="1"/>
  <c r="BY51" i="2"/>
  <c r="CA51" i="2" s="1"/>
  <c r="CK50" i="2"/>
  <c r="CG50" i="2"/>
  <c r="CI50" i="2" s="1"/>
  <c r="CC50" i="2"/>
  <c r="CE50" i="2" s="1"/>
  <c r="BY50" i="2"/>
  <c r="CA50" i="2" s="1"/>
  <c r="CK49" i="2"/>
  <c r="CG49" i="2"/>
  <c r="CI49" i="2" s="1"/>
  <c r="CC49" i="2"/>
  <c r="CE49" i="2" s="1"/>
  <c r="BY49" i="2"/>
  <c r="CA49" i="2" s="1"/>
  <c r="CK48" i="2"/>
  <c r="CG48" i="2"/>
  <c r="CI48" i="2" s="1"/>
  <c r="CC48" i="2"/>
  <c r="CE48" i="2" s="1"/>
  <c r="BY48" i="2"/>
  <c r="CA48" i="2" s="1"/>
  <c r="CK47" i="2"/>
  <c r="CG47" i="2"/>
  <c r="CI47" i="2" s="1"/>
  <c r="CC47" i="2"/>
  <c r="CE47" i="2" s="1"/>
  <c r="BY47" i="2"/>
  <c r="CA47" i="2" s="1"/>
  <c r="CK46" i="2"/>
  <c r="CG46" i="2"/>
  <c r="CI46" i="2" s="1"/>
  <c r="CC46" i="2"/>
  <c r="CE46" i="2" s="1"/>
  <c r="BY46" i="2"/>
  <c r="CA46" i="2" s="1"/>
  <c r="CK45" i="2"/>
  <c r="CG45" i="2"/>
  <c r="CI45" i="2" s="1"/>
  <c r="CC45" i="2"/>
  <c r="CE45" i="2" s="1"/>
  <c r="BY45" i="2"/>
  <c r="CA45" i="2" s="1"/>
  <c r="CK44" i="2"/>
  <c r="CG44" i="2"/>
  <c r="CI44" i="2" s="1"/>
  <c r="CC44" i="2"/>
  <c r="CE44" i="2" s="1"/>
  <c r="BY44" i="2"/>
  <c r="CA44" i="2" s="1"/>
  <c r="CK43" i="2"/>
  <c r="CG43" i="2"/>
  <c r="CI43" i="2" s="1"/>
  <c r="CC43" i="2"/>
  <c r="CE43" i="2" s="1"/>
  <c r="BY43" i="2"/>
  <c r="CA43" i="2" s="1"/>
  <c r="CK42" i="2"/>
  <c r="CG42" i="2"/>
  <c r="CI42" i="2" s="1"/>
  <c r="CC42" i="2"/>
  <c r="CE42" i="2" s="1"/>
  <c r="BY42" i="2"/>
  <c r="CA42" i="2" s="1"/>
  <c r="CK41" i="2"/>
  <c r="CG41" i="2"/>
  <c r="CI41" i="2" s="1"/>
  <c r="CC41" i="2"/>
  <c r="CE41" i="2" s="1"/>
  <c r="BY41" i="2"/>
  <c r="CA41" i="2" s="1"/>
  <c r="CK40" i="2"/>
  <c r="CG40" i="2"/>
  <c r="CI40" i="2" s="1"/>
  <c r="CC40" i="2"/>
  <c r="CE40" i="2" s="1"/>
  <c r="BY40" i="2"/>
  <c r="CA40" i="2" s="1"/>
  <c r="CK39" i="2"/>
  <c r="CG39" i="2"/>
  <c r="CI39" i="2" s="1"/>
  <c r="CC39" i="2"/>
  <c r="CE39" i="2" s="1"/>
  <c r="BY39" i="2"/>
  <c r="CA39" i="2" s="1"/>
  <c r="CK38" i="2"/>
  <c r="CG38" i="2"/>
  <c r="CI38" i="2" s="1"/>
  <c r="CC38" i="2"/>
  <c r="CE38" i="2" s="1"/>
  <c r="BY38" i="2"/>
  <c r="CA38" i="2" s="1"/>
  <c r="CK37" i="2"/>
  <c r="CG37" i="2"/>
  <c r="CI37" i="2" s="1"/>
  <c r="CC37" i="2"/>
  <c r="CE37" i="2" s="1"/>
  <c r="BY37" i="2"/>
  <c r="CA37" i="2" s="1"/>
  <c r="CK36" i="2"/>
  <c r="CG36" i="2"/>
  <c r="CI36" i="2" s="1"/>
  <c r="CC36" i="2"/>
  <c r="CE36" i="2" s="1"/>
  <c r="BY36" i="2"/>
  <c r="CA36" i="2" s="1"/>
  <c r="CK35" i="2"/>
  <c r="CG35" i="2"/>
  <c r="CI35" i="2" s="1"/>
  <c r="CC35" i="2"/>
  <c r="CE35" i="2" s="1"/>
  <c r="BY35" i="2"/>
  <c r="CA35" i="2" s="1"/>
  <c r="CK34" i="2"/>
  <c r="CG34" i="2"/>
  <c r="CI34" i="2" s="1"/>
  <c r="CC34" i="2"/>
  <c r="CE34" i="2" s="1"/>
  <c r="BY34" i="2"/>
  <c r="CA34" i="2" s="1"/>
  <c r="CK33" i="2"/>
  <c r="CG33" i="2"/>
  <c r="CI33" i="2" s="1"/>
  <c r="CC33" i="2"/>
  <c r="CE33" i="2" s="1"/>
  <c r="BY33" i="2"/>
  <c r="CA33" i="2" s="1"/>
  <c r="CK32" i="2"/>
  <c r="CG32" i="2"/>
  <c r="CI32" i="2" s="1"/>
  <c r="CC32" i="2"/>
  <c r="CE32" i="2" s="1"/>
  <c r="BY32" i="2"/>
  <c r="CA32" i="2" s="1"/>
  <c r="CK31" i="2"/>
  <c r="CG31" i="2"/>
  <c r="CI31" i="2" s="1"/>
  <c r="CC31" i="2"/>
  <c r="CE31" i="2" s="1"/>
  <c r="BY31" i="2"/>
  <c r="CA31" i="2" s="1"/>
  <c r="CK30" i="2"/>
  <c r="CG30" i="2"/>
  <c r="CI30" i="2" s="1"/>
  <c r="CC30" i="2"/>
  <c r="CE30" i="2" s="1"/>
  <c r="BY30" i="2"/>
  <c r="CA30" i="2" s="1"/>
  <c r="CK29" i="2"/>
  <c r="CG29" i="2"/>
  <c r="CI29" i="2" s="1"/>
  <c r="CC29" i="2"/>
  <c r="CE29" i="2" s="1"/>
  <c r="BY29" i="2"/>
  <c r="CA29" i="2" s="1"/>
  <c r="CK28" i="2"/>
  <c r="CG28" i="2"/>
  <c r="CI28" i="2" s="1"/>
  <c r="CC28" i="2"/>
  <c r="CE28" i="2" s="1"/>
  <c r="BY28" i="2"/>
  <c r="CA28" i="2" s="1"/>
  <c r="CK27" i="2"/>
  <c r="CG27" i="2"/>
  <c r="CI27" i="2" s="1"/>
  <c r="CC27" i="2"/>
  <c r="CE27" i="2" s="1"/>
  <c r="BY27" i="2"/>
  <c r="CA27" i="2" s="1"/>
  <c r="CK26" i="2"/>
  <c r="CG26" i="2"/>
  <c r="CI26" i="2" s="1"/>
  <c r="CC26" i="2"/>
  <c r="CE26" i="2" s="1"/>
  <c r="BY26" i="2"/>
  <c r="CA26" i="2" s="1"/>
  <c r="CK25" i="2"/>
  <c r="CG25" i="2"/>
  <c r="CI25" i="2" s="1"/>
  <c r="CC25" i="2"/>
  <c r="CE25" i="2" s="1"/>
  <c r="BY25" i="2"/>
  <c r="CA25" i="2" s="1"/>
  <c r="CK24" i="2"/>
  <c r="CG24" i="2"/>
  <c r="CI24" i="2" s="1"/>
  <c r="CC24" i="2"/>
  <c r="CE24" i="2" s="1"/>
  <c r="BY24" i="2"/>
  <c r="CA24" i="2" s="1"/>
  <c r="CK23" i="2"/>
  <c r="CG23" i="2"/>
  <c r="CI23" i="2" s="1"/>
  <c r="CC23" i="2"/>
  <c r="CE23" i="2" s="1"/>
  <c r="BY23" i="2"/>
  <c r="CA23" i="2" s="1"/>
  <c r="CK22" i="2"/>
  <c r="CG22" i="2"/>
  <c r="CI22" i="2" s="1"/>
  <c r="CC22" i="2"/>
  <c r="CE22" i="2" s="1"/>
  <c r="BY22" i="2"/>
  <c r="CA22" i="2" s="1"/>
  <c r="CK21" i="2"/>
  <c r="CG21" i="2"/>
  <c r="CI21" i="2" s="1"/>
  <c r="CC21" i="2"/>
  <c r="CE21" i="2" s="1"/>
  <c r="BY21" i="2"/>
  <c r="CA21" i="2" s="1"/>
  <c r="CK20" i="2"/>
  <c r="CG20" i="2"/>
  <c r="CI20" i="2" s="1"/>
  <c r="CC20" i="2"/>
  <c r="CE20" i="2" s="1"/>
  <c r="BY20" i="2"/>
  <c r="CA20" i="2" s="1"/>
  <c r="CK19" i="2"/>
  <c r="CG19" i="2"/>
  <c r="CI19" i="2" s="1"/>
  <c r="CC19" i="2"/>
  <c r="CE19" i="2" s="1"/>
  <c r="BY19" i="2"/>
  <c r="CA19" i="2" s="1"/>
  <c r="CK18" i="2"/>
  <c r="CG18" i="2"/>
  <c r="CI18" i="2" s="1"/>
  <c r="CC18" i="2"/>
  <c r="CE18" i="2" s="1"/>
  <c r="BY18" i="2"/>
  <c r="CA18" i="2" s="1"/>
  <c r="CK17" i="2"/>
  <c r="CG17" i="2"/>
  <c r="CI17" i="2" s="1"/>
  <c r="CC17" i="2"/>
  <c r="CE17" i="2" s="1"/>
  <c r="BY17" i="2"/>
  <c r="CA17" i="2" s="1"/>
  <c r="CK16" i="2"/>
  <c r="CG16" i="2"/>
  <c r="CI16" i="2" s="1"/>
  <c r="CC16" i="2"/>
  <c r="CE16" i="2" s="1"/>
  <c r="BY16" i="2"/>
  <c r="CA16" i="2" s="1"/>
  <c r="CK15" i="2"/>
  <c r="CG15" i="2"/>
  <c r="CI15" i="2" s="1"/>
  <c r="CC15" i="2"/>
  <c r="CE15" i="2" s="1"/>
  <c r="BY15" i="2"/>
  <c r="CA15" i="2" s="1"/>
  <c r="CK14" i="2"/>
  <c r="CG14" i="2"/>
  <c r="CI14" i="2" s="1"/>
  <c r="CC14" i="2"/>
  <c r="CE14" i="2" s="1"/>
  <c r="BY14" i="2"/>
  <c r="CA14" i="2" s="1"/>
  <c r="CK13" i="2"/>
  <c r="CG13" i="2"/>
  <c r="CI13" i="2" s="1"/>
  <c r="CC13" i="2"/>
  <c r="CE13" i="2" s="1"/>
  <c r="BY13" i="2"/>
  <c r="CA13" i="2" s="1"/>
  <c r="CK12" i="2"/>
  <c r="CG12" i="2"/>
  <c r="CI12" i="2" s="1"/>
  <c r="CC12" i="2"/>
  <c r="CE12" i="2" s="1"/>
  <c r="BY12" i="2"/>
  <c r="CA12" i="2" s="1"/>
  <c r="CK11" i="2"/>
  <c r="CG11" i="2"/>
  <c r="CI11" i="2" s="1"/>
  <c r="CC11" i="2"/>
  <c r="CE11" i="2" s="1"/>
  <c r="BY11" i="2"/>
  <c r="CA11" i="2" s="1"/>
  <c r="CK10" i="2"/>
  <c r="CG10" i="2"/>
  <c r="CI10" i="2" s="1"/>
  <c r="CC10" i="2"/>
  <c r="CE10" i="2" s="1"/>
  <c r="BY10" i="2"/>
  <c r="CA10" i="2" s="1"/>
  <c r="CK9" i="2"/>
  <c r="CG9" i="2"/>
  <c r="CI9" i="2" s="1"/>
  <c r="CC9" i="2"/>
  <c r="CE9" i="2" s="1"/>
  <c r="BY9" i="2"/>
  <c r="CA9" i="2" s="1"/>
  <c r="CK8" i="2"/>
  <c r="CG8" i="2"/>
  <c r="CI8" i="2" s="1"/>
  <c r="CC8" i="2"/>
  <c r="CE8" i="2" s="1"/>
  <c r="BY8" i="2"/>
  <c r="CA8" i="2" s="1"/>
  <c r="CK7" i="2"/>
  <c r="CG7" i="2"/>
  <c r="CI7" i="2" s="1"/>
  <c r="CC7" i="2"/>
  <c r="CE7" i="2" s="1"/>
  <c r="BY7" i="2"/>
  <c r="CA7" i="2" s="1"/>
  <c r="CK6" i="2"/>
  <c r="CG6" i="2"/>
  <c r="CI6" i="2" s="1"/>
  <c r="CC6" i="2"/>
  <c r="CE6" i="2" s="1"/>
  <c r="BY6" i="2"/>
  <c r="CA6" i="2" s="1"/>
  <c r="CK5" i="2"/>
  <c r="CG5" i="2"/>
  <c r="CI5" i="2" s="1"/>
  <c r="CC5" i="2"/>
  <c r="CE5" i="2" s="1"/>
  <c r="BY5" i="2"/>
  <c r="CA5" i="2" s="1"/>
  <c r="CK4" i="2"/>
  <c r="CG4" i="2"/>
  <c r="CI4" i="2" s="1"/>
  <c r="CC4" i="2"/>
  <c r="CE4" i="2" s="1"/>
  <c r="BY4" i="2"/>
  <c r="CA4" i="2" s="1"/>
  <c r="BU72" i="2"/>
  <c r="BW72" i="2" s="1"/>
  <c r="BQ72" i="2"/>
  <c r="BS72" i="2" s="1"/>
  <c r="BU71" i="2"/>
  <c r="BW71" i="2" s="1"/>
  <c r="BQ71" i="2"/>
  <c r="BS71" i="2" s="1"/>
  <c r="BU70" i="2"/>
  <c r="BW70" i="2" s="1"/>
  <c r="BQ70" i="2"/>
  <c r="BS70" i="2" s="1"/>
  <c r="BU69" i="2"/>
  <c r="BW69" i="2" s="1"/>
  <c r="BQ69" i="2"/>
  <c r="BS69" i="2" s="1"/>
  <c r="BU68" i="2"/>
  <c r="BW68" i="2" s="1"/>
  <c r="BQ68" i="2"/>
  <c r="BS68" i="2" s="1"/>
  <c r="BU67" i="2"/>
  <c r="BW67" i="2" s="1"/>
  <c r="BQ67" i="2"/>
  <c r="BS67" i="2" s="1"/>
  <c r="BU66" i="2"/>
  <c r="BW66" i="2" s="1"/>
  <c r="BQ66" i="2"/>
  <c r="BS66" i="2" s="1"/>
  <c r="BU62" i="2"/>
  <c r="BW62" i="2" s="1"/>
  <c r="BQ62" i="2"/>
  <c r="BS62" i="2" s="1"/>
  <c r="BU61" i="2"/>
  <c r="BW61" i="2" s="1"/>
  <c r="BQ61" i="2"/>
  <c r="BS61" i="2" s="1"/>
  <c r="BU60" i="2"/>
  <c r="BW60" i="2" s="1"/>
  <c r="BQ60" i="2"/>
  <c r="BS60" i="2" s="1"/>
  <c r="BU59" i="2"/>
  <c r="BW59" i="2" s="1"/>
  <c r="BQ59" i="2"/>
  <c r="BS59" i="2" s="1"/>
  <c r="BU58" i="2"/>
  <c r="BW58" i="2" s="1"/>
  <c r="BQ58" i="2"/>
  <c r="BS58" i="2" s="1"/>
  <c r="BU57" i="2"/>
  <c r="BW57" i="2" s="1"/>
  <c r="BQ57" i="2"/>
  <c r="BS57" i="2" s="1"/>
  <c r="BU56" i="2"/>
  <c r="BW56" i="2" s="1"/>
  <c r="BQ56" i="2"/>
  <c r="BS56" i="2" s="1"/>
  <c r="BU55" i="2"/>
  <c r="BW55" i="2" s="1"/>
  <c r="BQ55" i="2"/>
  <c r="BS55" i="2" s="1"/>
  <c r="BU54" i="2"/>
  <c r="BW54" i="2" s="1"/>
  <c r="BQ54" i="2"/>
  <c r="BS54" i="2" s="1"/>
  <c r="BU53" i="2"/>
  <c r="BW53" i="2" s="1"/>
  <c r="BQ53" i="2"/>
  <c r="BS53" i="2" s="1"/>
  <c r="BU52" i="2"/>
  <c r="BW52" i="2" s="1"/>
  <c r="BQ52" i="2"/>
  <c r="BS52" i="2" s="1"/>
  <c r="BU51" i="2"/>
  <c r="BW51" i="2" s="1"/>
  <c r="BQ51" i="2"/>
  <c r="BS51" i="2" s="1"/>
  <c r="BU50" i="2"/>
  <c r="BW50" i="2" s="1"/>
  <c r="BQ50" i="2"/>
  <c r="BS50" i="2" s="1"/>
  <c r="BU49" i="2"/>
  <c r="BW49" i="2" s="1"/>
  <c r="BQ49" i="2"/>
  <c r="BS49" i="2" s="1"/>
  <c r="BU48" i="2"/>
  <c r="BW48" i="2" s="1"/>
  <c r="BQ48" i="2"/>
  <c r="BS48" i="2" s="1"/>
  <c r="BU47" i="2"/>
  <c r="BW47" i="2" s="1"/>
  <c r="BQ47" i="2"/>
  <c r="BS47" i="2" s="1"/>
  <c r="BU46" i="2"/>
  <c r="BW46" i="2" s="1"/>
  <c r="BQ46" i="2"/>
  <c r="BS46" i="2" s="1"/>
  <c r="BU45" i="2"/>
  <c r="BW45" i="2" s="1"/>
  <c r="BQ45" i="2"/>
  <c r="BS45" i="2" s="1"/>
  <c r="BU44" i="2"/>
  <c r="BW44" i="2" s="1"/>
  <c r="BQ44" i="2"/>
  <c r="BS44" i="2" s="1"/>
  <c r="BU43" i="2"/>
  <c r="BW43" i="2" s="1"/>
  <c r="BQ43" i="2"/>
  <c r="BS43" i="2" s="1"/>
  <c r="BU42" i="2"/>
  <c r="BW42" i="2" s="1"/>
  <c r="BQ42" i="2"/>
  <c r="BS42" i="2" s="1"/>
  <c r="BU41" i="2"/>
  <c r="BW41" i="2" s="1"/>
  <c r="BQ41" i="2"/>
  <c r="BS41" i="2" s="1"/>
  <c r="BU40" i="2"/>
  <c r="BW40" i="2" s="1"/>
  <c r="BQ40" i="2"/>
  <c r="BS40" i="2" s="1"/>
  <c r="BU39" i="2"/>
  <c r="BW39" i="2" s="1"/>
  <c r="BQ39" i="2"/>
  <c r="BS39" i="2" s="1"/>
  <c r="BU38" i="2"/>
  <c r="BW38" i="2" s="1"/>
  <c r="BQ38" i="2"/>
  <c r="BS38" i="2" s="1"/>
  <c r="BU37" i="2"/>
  <c r="BW37" i="2" s="1"/>
  <c r="BQ37" i="2"/>
  <c r="BS37" i="2" s="1"/>
  <c r="BU36" i="2"/>
  <c r="BW36" i="2" s="1"/>
  <c r="BQ36" i="2"/>
  <c r="BS36" i="2" s="1"/>
  <c r="BU35" i="2"/>
  <c r="BW35" i="2" s="1"/>
  <c r="BQ35" i="2"/>
  <c r="BS35" i="2" s="1"/>
  <c r="BU34" i="2"/>
  <c r="BW34" i="2" s="1"/>
  <c r="BQ34" i="2"/>
  <c r="BS34" i="2" s="1"/>
  <c r="BU33" i="2"/>
  <c r="BW33" i="2" s="1"/>
  <c r="BQ33" i="2"/>
  <c r="BS33" i="2" s="1"/>
  <c r="BU32" i="2"/>
  <c r="BW32" i="2" s="1"/>
  <c r="BQ32" i="2"/>
  <c r="BS32" i="2" s="1"/>
  <c r="BU31" i="2"/>
  <c r="BW31" i="2" s="1"/>
  <c r="BQ31" i="2"/>
  <c r="BS31" i="2" s="1"/>
  <c r="BU30" i="2"/>
  <c r="BW30" i="2" s="1"/>
  <c r="BQ30" i="2"/>
  <c r="BS30" i="2" s="1"/>
  <c r="BU29" i="2"/>
  <c r="BW29" i="2" s="1"/>
  <c r="BQ29" i="2"/>
  <c r="BS29" i="2" s="1"/>
  <c r="BU28" i="2"/>
  <c r="BW28" i="2" s="1"/>
  <c r="BQ28" i="2"/>
  <c r="BS28" i="2" s="1"/>
  <c r="BU27" i="2"/>
  <c r="BW27" i="2" s="1"/>
  <c r="BQ27" i="2"/>
  <c r="BS27" i="2" s="1"/>
  <c r="BU26" i="2"/>
  <c r="BW26" i="2" s="1"/>
  <c r="BQ26" i="2"/>
  <c r="BS26" i="2" s="1"/>
  <c r="BU25" i="2"/>
  <c r="BW25" i="2" s="1"/>
  <c r="BQ25" i="2"/>
  <c r="BS25" i="2" s="1"/>
  <c r="BU24" i="2"/>
  <c r="BW24" i="2" s="1"/>
  <c r="BQ24" i="2"/>
  <c r="BS24" i="2" s="1"/>
  <c r="BU23" i="2"/>
  <c r="BW23" i="2" s="1"/>
  <c r="BQ23" i="2"/>
  <c r="BS23" i="2" s="1"/>
  <c r="BU22" i="2"/>
  <c r="BW22" i="2" s="1"/>
  <c r="BQ22" i="2"/>
  <c r="BS22" i="2" s="1"/>
  <c r="BU21" i="2"/>
  <c r="BW21" i="2" s="1"/>
  <c r="BQ21" i="2"/>
  <c r="BS21" i="2" s="1"/>
  <c r="BU20" i="2"/>
  <c r="BW20" i="2" s="1"/>
  <c r="BQ20" i="2"/>
  <c r="BS20" i="2" s="1"/>
  <c r="BU19" i="2"/>
  <c r="BW19" i="2" s="1"/>
  <c r="BQ19" i="2"/>
  <c r="BS19" i="2" s="1"/>
  <c r="BU18" i="2"/>
  <c r="BW18" i="2" s="1"/>
  <c r="BQ18" i="2"/>
  <c r="BS18" i="2" s="1"/>
  <c r="BU17" i="2"/>
  <c r="BW17" i="2" s="1"/>
  <c r="BQ17" i="2"/>
  <c r="BS17" i="2" s="1"/>
  <c r="BU16" i="2"/>
  <c r="BW16" i="2" s="1"/>
  <c r="BQ16" i="2"/>
  <c r="BS16" i="2" s="1"/>
  <c r="BU15" i="2"/>
  <c r="BW15" i="2" s="1"/>
  <c r="BQ15" i="2"/>
  <c r="BS15" i="2" s="1"/>
  <c r="BU14" i="2"/>
  <c r="BW14" i="2" s="1"/>
  <c r="BQ14" i="2"/>
  <c r="BS14" i="2" s="1"/>
  <c r="BU13" i="2"/>
  <c r="BW13" i="2" s="1"/>
  <c r="BQ13" i="2"/>
  <c r="BS13" i="2" s="1"/>
  <c r="BU12" i="2"/>
  <c r="BW12" i="2" s="1"/>
  <c r="BQ12" i="2"/>
  <c r="BS12" i="2" s="1"/>
  <c r="BU11" i="2"/>
  <c r="BW11" i="2" s="1"/>
  <c r="BQ11" i="2"/>
  <c r="BS11" i="2" s="1"/>
  <c r="BU10" i="2"/>
  <c r="BW10" i="2" s="1"/>
  <c r="BQ10" i="2"/>
  <c r="BS10" i="2" s="1"/>
  <c r="BU9" i="2"/>
  <c r="BW9" i="2" s="1"/>
  <c r="BQ9" i="2"/>
  <c r="BS9" i="2" s="1"/>
  <c r="BU8" i="2"/>
  <c r="BW8" i="2" s="1"/>
  <c r="BQ8" i="2"/>
  <c r="BS8" i="2" s="1"/>
  <c r="BU7" i="2"/>
  <c r="BW7" i="2" s="1"/>
  <c r="BQ7" i="2"/>
  <c r="BS7" i="2" s="1"/>
  <c r="BU6" i="2"/>
  <c r="BW6" i="2" s="1"/>
  <c r="BQ6" i="2"/>
  <c r="BS6" i="2" s="1"/>
  <c r="BU5" i="2"/>
  <c r="BW5" i="2" s="1"/>
  <c r="BQ5" i="2"/>
  <c r="BS5" i="2" s="1"/>
  <c r="BU4" i="2"/>
  <c r="BW4" i="2" s="1"/>
  <c r="BQ4" i="2"/>
  <c r="BS4" i="2" s="1"/>
  <c r="BM72" i="2"/>
  <c r="BO72" i="2" s="1"/>
  <c r="BM71" i="2"/>
  <c r="BO71" i="2" s="1"/>
  <c r="BM70" i="2"/>
  <c r="BO70" i="2" s="1"/>
  <c r="BM69" i="2"/>
  <c r="BO69" i="2" s="1"/>
  <c r="BM68" i="2"/>
  <c r="BO68" i="2" s="1"/>
  <c r="BM67" i="2"/>
  <c r="BO67" i="2" s="1"/>
  <c r="BM66" i="2"/>
  <c r="BO66" i="2" s="1"/>
  <c r="BM62" i="2"/>
  <c r="BO62" i="2" s="1"/>
  <c r="BM61" i="2"/>
  <c r="BO61" i="2" s="1"/>
  <c r="BM60" i="2"/>
  <c r="BO60" i="2" s="1"/>
  <c r="BM59" i="2"/>
  <c r="BO59" i="2" s="1"/>
  <c r="BM58" i="2"/>
  <c r="BO58" i="2" s="1"/>
  <c r="BM57" i="2"/>
  <c r="BO57" i="2" s="1"/>
  <c r="BM56" i="2"/>
  <c r="BO56" i="2" s="1"/>
  <c r="BM55" i="2"/>
  <c r="BO55" i="2" s="1"/>
  <c r="BM54" i="2"/>
  <c r="BO54" i="2" s="1"/>
  <c r="BM53" i="2"/>
  <c r="BO53" i="2" s="1"/>
  <c r="BM52" i="2"/>
  <c r="BO52" i="2" s="1"/>
  <c r="BM51" i="2"/>
  <c r="BO51" i="2" s="1"/>
  <c r="BM50" i="2"/>
  <c r="BO50" i="2" s="1"/>
  <c r="BM49" i="2"/>
  <c r="BO49" i="2" s="1"/>
  <c r="BM48" i="2"/>
  <c r="BO48" i="2" s="1"/>
  <c r="BM47" i="2"/>
  <c r="BO47" i="2" s="1"/>
  <c r="BM46" i="2"/>
  <c r="BO46" i="2" s="1"/>
  <c r="BM45" i="2"/>
  <c r="BO45" i="2" s="1"/>
  <c r="BM44" i="2"/>
  <c r="BO44" i="2" s="1"/>
  <c r="BM43" i="2"/>
  <c r="BO43" i="2" s="1"/>
  <c r="BM42" i="2"/>
  <c r="BO42" i="2" s="1"/>
  <c r="BM41" i="2"/>
  <c r="BO41" i="2" s="1"/>
  <c r="BM40" i="2"/>
  <c r="BO40" i="2" s="1"/>
  <c r="BM39" i="2"/>
  <c r="BO39" i="2" s="1"/>
  <c r="BM38" i="2"/>
  <c r="BO38" i="2" s="1"/>
  <c r="BM37" i="2"/>
  <c r="BO37" i="2" s="1"/>
  <c r="BM36" i="2"/>
  <c r="BO36" i="2" s="1"/>
  <c r="BM35" i="2"/>
  <c r="BO35" i="2" s="1"/>
  <c r="BM34" i="2"/>
  <c r="BO34" i="2" s="1"/>
  <c r="BM33" i="2"/>
  <c r="BO33" i="2" s="1"/>
  <c r="BM32" i="2"/>
  <c r="BO32" i="2" s="1"/>
  <c r="BM31" i="2"/>
  <c r="BO31" i="2" s="1"/>
  <c r="BM30" i="2"/>
  <c r="BO30" i="2" s="1"/>
  <c r="BM29" i="2"/>
  <c r="BO29" i="2" s="1"/>
  <c r="BM28" i="2"/>
  <c r="BO28" i="2" s="1"/>
  <c r="BM27" i="2"/>
  <c r="BO27" i="2" s="1"/>
  <c r="BM26" i="2"/>
  <c r="BO26" i="2" s="1"/>
  <c r="BM25" i="2"/>
  <c r="BO25" i="2" s="1"/>
  <c r="BM24" i="2"/>
  <c r="BO24" i="2" s="1"/>
  <c r="BM23" i="2"/>
  <c r="BO23" i="2" s="1"/>
  <c r="BM22" i="2"/>
  <c r="BO22" i="2" s="1"/>
  <c r="BM21" i="2"/>
  <c r="BO21" i="2" s="1"/>
  <c r="BM20" i="2"/>
  <c r="BO20" i="2" s="1"/>
  <c r="BM19" i="2"/>
  <c r="BO19" i="2" s="1"/>
  <c r="BM18" i="2"/>
  <c r="BO18" i="2" s="1"/>
  <c r="BM17" i="2"/>
  <c r="BO17" i="2" s="1"/>
  <c r="BM16" i="2"/>
  <c r="BO16" i="2" s="1"/>
  <c r="BM15" i="2"/>
  <c r="BO15" i="2" s="1"/>
  <c r="BM14" i="2"/>
  <c r="BO14" i="2" s="1"/>
  <c r="BM13" i="2"/>
  <c r="BO13" i="2" s="1"/>
  <c r="BM12" i="2"/>
  <c r="BO12" i="2" s="1"/>
  <c r="BM11" i="2"/>
  <c r="BO11" i="2" s="1"/>
  <c r="BM10" i="2"/>
  <c r="BO10" i="2" s="1"/>
  <c r="BM9" i="2"/>
  <c r="BO9" i="2" s="1"/>
  <c r="BM8" i="2"/>
  <c r="BO8" i="2" s="1"/>
  <c r="BM7" i="2"/>
  <c r="BO7" i="2" s="1"/>
  <c r="BM6" i="2"/>
  <c r="BO6" i="2" s="1"/>
  <c r="BM5" i="2"/>
  <c r="BO5" i="2" s="1"/>
  <c r="BM4" i="2"/>
  <c r="BO4" i="2" s="1"/>
  <c r="BI72" i="2"/>
  <c r="BK72" i="2" s="1"/>
  <c r="BI71" i="2"/>
  <c r="BK71" i="2" s="1"/>
  <c r="BI70" i="2"/>
  <c r="BK70" i="2" s="1"/>
  <c r="BI69" i="2"/>
  <c r="BK69" i="2" s="1"/>
  <c r="BI68" i="2"/>
  <c r="BK68" i="2" s="1"/>
  <c r="BI67" i="2"/>
  <c r="BK67" i="2" s="1"/>
  <c r="BI66" i="2"/>
  <c r="BK66" i="2" s="1"/>
  <c r="BI62" i="2"/>
  <c r="BK62" i="2" s="1"/>
  <c r="BI61" i="2"/>
  <c r="BK61" i="2" s="1"/>
  <c r="BI60" i="2"/>
  <c r="BK60" i="2" s="1"/>
  <c r="BI59" i="2"/>
  <c r="BK59" i="2" s="1"/>
  <c r="BI58" i="2"/>
  <c r="BK58" i="2" s="1"/>
  <c r="BI57" i="2"/>
  <c r="BK57" i="2" s="1"/>
  <c r="BI56" i="2"/>
  <c r="BK56" i="2" s="1"/>
  <c r="BI55" i="2"/>
  <c r="BK55" i="2" s="1"/>
  <c r="BI54" i="2"/>
  <c r="BK54" i="2" s="1"/>
  <c r="BI53" i="2"/>
  <c r="BK53" i="2" s="1"/>
  <c r="BI52" i="2"/>
  <c r="BK52" i="2" s="1"/>
  <c r="BI51" i="2"/>
  <c r="BK51" i="2" s="1"/>
  <c r="BI50" i="2"/>
  <c r="BK50" i="2" s="1"/>
  <c r="BI49" i="2"/>
  <c r="BK49" i="2" s="1"/>
  <c r="BI48" i="2"/>
  <c r="BK48" i="2" s="1"/>
  <c r="BI47" i="2"/>
  <c r="BK47" i="2" s="1"/>
  <c r="BI46" i="2"/>
  <c r="BK46" i="2" s="1"/>
  <c r="BI45" i="2"/>
  <c r="BK45" i="2" s="1"/>
  <c r="BI44" i="2"/>
  <c r="BK44" i="2" s="1"/>
  <c r="BI43" i="2"/>
  <c r="BK43" i="2" s="1"/>
  <c r="BI42" i="2"/>
  <c r="BK42" i="2" s="1"/>
  <c r="BI41" i="2"/>
  <c r="BK41" i="2" s="1"/>
  <c r="BI40" i="2"/>
  <c r="BK40" i="2" s="1"/>
  <c r="BI39" i="2"/>
  <c r="BK39" i="2" s="1"/>
  <c r="BI38" i="2"/>
  <c r="BK38" i="2" s="1"/>
  <c r="BI37" i="2"/>
  <c r="BK37" i="2" s="1"/>
  <c r="BI36" i="2"/>
  <c r="BK36" i="2" s="1"/>
  <c r="BI35" i="2"/>
  <c r="BK35" i="2" s="1"/>
  <c r="BI34" i="2"/>
  <c r="BK34" i="2" s="1"/>
  <c r="BI33" i="2"/>
  <c r="BK33" i="2" s="1"/>
  <c r="BI32" i="2"/>
  <c r="BK32" i="2" s="1"/>
  <c r="BI31" i="2"/>
  <c r="BK31" i="2" s="1"/>
  <c r="BI30" i="2"/>
  <c r="BK30" i="2" s="1"/>
  <c r="BI29" i="2"/>
  <c r="BK29" i="2" s="1"/>
  <c r="BI28" i="2"/>
  <c r="BK28" i="2" s="1"/>
  <c r="BI27" i="2"/>
  <c r="BK27" i="2" s="1"/>
  <c r="BI26" i="2"/>
  <c r="BK26" i="2" s="1"/>
  <c r="BK25" i="2"/>
  <c r="BI24" i="2"/>
  <c r="BK24" i="2" s="1"/>
  <c r="BI23" i="2"/>
  <c r="BK23" i="2" s="1"/>
  <c r="BI22" i="2"/>
  <c r="BK22" i="2" s="1"/>
  <c r="BI21" i="2"/>
  <c r="BK21" i="2" s="1"/>
  <c r="BI20" i="2"/>
  <c r="BK20" i="2" s="1"/>
  <c r="BI19" i="2"/>
  <c r="BK19" i="2" s="1"/>
  <c r="BI18" i="2"/>
  <c r="BK18" i="2" s="1"/>
  <c r="BI17" i="2"/>
  <c r="BK17" i="2" s="1"/>
  <c r="BI16" i="2"/>
  <c r="BK16" i="2" s="1"/>
  <c r="BI15" i="2"/>
  <c r="BK15" i="2" s="1"/>
  <c r="BI14" i="2"/>
  <c r="BK14" i="2" s="1"/>
  <c r="BI13" i="2"/>
  <c r="BK13" i="2" s="1"/>
  <c r="BI12" i="2"/>
  <c r="BK12" i="2" s="1"/>
  <c r="BI11" i="2"/>
  <c r="BK11" i="2" s="1"/>
  <c r="BI10" i="2"/>
  <c r="BK10" i="2" s="1"/>
  <c r="BI9" i="2"/>
  <c r="BK9" i="2" s="1"/>
  <c r="BI8" i="2"/>
  <c r="BK8" i="2" s="1"/>
  <c r="BI7" i="2"/>
  <c r="BK7" i="2" s="1"/>
  <c r="BI6" i="2"/>
  <c r="BK6" i="2" s="1"/>
  <c r="BI5" i="2"/>
  <c r="BK5" i="2" s="1"/>
  <c r="BI4" i="2"/>
  <c r="BK4" i="2" s="1"/>
  <c r="BO57" i="6"/>
  <c r="BR57" i="6" s="1"/>
  <c r="BT57" i="6" s="1"/>
  <c r="BO45" i="6"/>
  <c r="BR45" i="6" s="1"/>
  <c r="BT45" i="6" s="1"/>
  <c r="BO43" i="6"/>
  <c r="BR43" i="6" s="1"/>
  <c r="BT43" i="6" s="1"/>
  <c r="BO42" i="6"/>
  <c r="BR42" i="6" s="1"/>
  <c r="BT42" i="6" s="1"/>
  <c r="BO31" i="6"/>
  <c r="BR31" i="6" s="1"/>
  <c r="BT31" i="6" s="1"/>
  <c r="BO30" i="6"/>
  <c r="BR30" i="6" s="1"/>
  <c r="BT30" i="6" s="1"/>
  <c r="BR65" i="6"/>
  <c r="BT65" i="6" s="1"/>
  <c r="BR64" i="6"/>
  <c r="BT64" i="6" s="1"/>
  <c r="BR63" i="6"/>
  <c r="BT63" i="6" s="1"/>
  <c r="BR62" i="6"/>
  <c r="BT62" i="6" s="1"/>
  <c r="BR61" i="6"/>
  <c r="BT61" i="6" s="1"/>
  <c r="BR60" i="6"/>
  <c r="BT60" i="6" s="1"/>
  <c r="BR59" i="6"/>
  <c r="BT59" i="6" s="1"/>
  <c r="BR58" i="6"/>
  <c r="BT58" i="6" s="1"/>
  <c r="BR56" i="6"/>
  <c r="BT56" i="6" s="1"/>
  <c r="BR55" i="6"/>
  <c r="BT55" i="6" s="1"/>
  <c r="BR54" i="6"/>
  <c r="BT54" i="6" s="1"/>
  <c r="BR53" i="6"/>
  <c r="BT53" i="6" s="1"/>
  <c r="BR52" i="6"/>
  <c r="BT52" i="6" s="1"/>
  <c r="BR51" i="6"/>
  <c r="BT51" i="6" s="1"/>
  <c r="BR50" i="6"/>
  <c r="BT50" i="6" s="1"/>
  <c r="BR49" i="6"/>
  <c r="BT49" i="6" s="1"/>
  <c r="BR48" i="6"/>
  <c r="BT48" i="6" s="1"/>
  <c r="BR47" i="6"/>
  <c r="BT47" i="6" s="1"/>
  <c r="BR46" i="6"/>
  <c r="BT46" i="6" s="1"/>
  <c r="BR44" i="6"/>
  <c r="BT44" i="6" s="1"/>
  <c r="BR41" i="6"/>
  <c r="BT41" i="6" s="1"/>
  <c r="BR40" i="6"/>
  <c r="BT40" i="6" s="1"/>
  <c r="BR39" i="6"/>
  <c r="BT39" i="6" s="1"/>
  <c r="BR38" i="6"/>
  <c r="BT38" i="6" s="1"/>
  <c r="BR37" i="6"/>
  <c r="BT37" i="6" s="1"/>
  <c r="BR36" i="6"/>
  <c r="BT36" i="6" s="1"/>
  <c r="BR35" i="6"/>
  <c r="BT35" i="6" s="1"/>
  <c r="BR34" i="6"/>
  <c r="BT34" i="6" s="1"/>
  <c r="BR33" i="6"/>
  <c r="BT33" i="6" s="1"/>
  <c r="BR32" i="6"/>
  <c r="BT32" i="6" s="1"/>
  <c r="BR29" i="6"/>
  <c r="BT29" i="6" s="1"/>
  <c r="BR28" i="6"/>
  <c r="BT28" i="6" s="1"/>
  <c r="BR27" i="6"/>
  <c r="BT27" i="6" s="1"/>
  <c r="BR26" i="6"/>
  <c r="BT26" i="6" s="1"/>
  <c r="BR25" i="6"/>
  <c r="BT25" i="6" s="1"/>
  <c r="BR24" i="6"/>
  <c r="BT24" i="6" s="1"/>
  <c r="BR23" i="6"/>
  <c r="BT23" i="6" s="1"/>
  <c r="BR22" i="6"/>
  <c r="BT22" i="6" s="1"/>
  <c r="BR21" i="6"/>
  <c r="BT21" i="6" s="1"/>
  <c r="BR20" i="6"/>
  <c r="BT20" i="6" s="1"/>
  <c r="BR19" i="6"/>
  <c r="BT19" i="6" s="1"/>
  <c r="BR18" i="6"/>
  <c r="BT18" i="6" s="1"/>
  <c r="BR17" i="6"/>
  <c r="BT17" i="6" s="1"/>
  <c r="BR16" i="6"/>
  <c r="BT16" i="6" s="1"/>
  <c r="BR15" i="6"/>
  <c r="BT15" i="6" s="1"/>
  <c r="BR14" i="6"/>
  <c r="BT14" i="6" s="1"/>
  <c r="BR13" i="6"/>
  <c r="BT13" i="6" s="1"/>
  <c r="BR12" i="6"/>
  <c r="BT12" i="6" s="1"/>
  <c r="BR11" i="6"/>
  <c r="BT11" i="6" s="1"/>
  <c r="BR10" i="6"/>
  <c r="BT10" i="6" s="1"/>
  <c r="BR9" i="6"/>
  <c r="BT9" i="6" s="1"/>
  <c r="BR8" i="6"/>
  <c r="BT8" i="6" s="1"/>
  <c r="BR7" i="6"/>
  <c r="BT7" i="6" s="1"/>
  <c r="BR6" i="6"/>
  <c r="BT6" i="6" s="1"/>
  <c r="BR5" i="6"/>
  <c r="BT5" i="6" s="1"/>
  <c r="BR4" i="6"/>
  <c r="BT4" i="6" s="1"/>
  <c r="BC14" i="3"/>
  <c r="BB61" i="14"/>
  <c r="BA27" i="14"/>
  <c r="BQ4" i="11"/>
  <c r="BS4" i="11" s="1"/>
  <c r="BU4" i="11"/>
  <c r="BQ5" i="11"/>
  <c r="BS5" i="11" s="1"/>
  <c r="BU5" i="11"/>
  <c r="BQ6" i="11"/>
  <c r="BS6" i="11" s="1"/>
  <c r="BU6" i="11"/>
  <c r="BQ7" i="11"/>
  <c r="BS7" i="11" s="1"/>
  <c r="BU7" i="11"/>
  <c r="BQ8" i="11"/>
  <c r="BS8" i="11" s="1"/>
  <c r="BU8" i="11"/>
  <c r="BQ9" i="11"/>
  <c r="BS9" i="11" s="1"/>
  <c r="BU9" i="11"/>
  <c r="BQ10" i="11"/>
  <c r="BS10" i="11" s="1"/>
  <c r="BU10" i="11"/>
  <c r="BQ11" i="11"/>
  <c r="BS11" i="11" s="1"/>
  <c r="BU11" i="11"/>
  <c r="BQ12" i="11"/>
  <c r="BS12" i="11" s="1"/>
  <c r="BU12" i="11"/>
  <c r="BQ13" i="11"/>
  <c r="BS13" i="11" s="1"/>
  <c r="BU13" i="11"/>
  <c r="BQ14" i="11"/>
  <c r="BS14" i="11" s="1"/>
  <c r="BU14" i="11"/>
  <c r="BQ15" i="11"/>
  <c r="BS15" i="11" s="1"/>
  <c r="BU15" i="11"/>
  <c r="BM4" i="11"/>
  <c r="BO4" i="11" s="1"/>
  <c r="BM5" i="11"/>
  <c r="BO5" i="11" s="1"/>
  <c r="BM6" i="11"/>
  <c r="BO6" i="11" s="1"/>
  <c r="BM7" i="11"/>
  <c r="BO7" i="11" s="1"/>
  <c r="BM8" i="11"/>
  <c r="BO8" i="11" s="1"/>
  <c r="BM9" i="11"/>
  <c r="BO9" i="11" s="1"/>
  <c r="BM10" i="11"/>
  <c r="BO10" i="11" s="1"/>
  <c r="BM11" i="11"/>
  <c r="BO11" i="11" s="1"/>
  <c r="BM12" i="11"/>
  <c r="BO12" i="11" s="1"/>
  <c r="BM13" i="11"/>
  <c r="BO13" i="11" s="1"/>
  <c r="BM14" i="11"/>
  <c r="BO14" i="11" s="1"/>
  <c r="BM15" i="11"/>
  <c r="BO15" i="11" s="1"/>
  <c r="BI15" i="11"/>
  <c r="BK15" i="11" s="1"/>
  <c r="BI14" i="11"/>
  <c r="BK14" i="11" s="1"/>
  <c r="BI13" i="11"/>
  <c r="BK13" i="11" s="1"/>
  <c r="BI12" i="11"/>
  <c r="BK12" i="11" s="1"/>
  <c r="BI11" i="11"/>
  <c r="BK11" i="11" s="1"/>
  <c r="BI10" i="11"/>
  <c r="BK10" i="11" s="1"/>
  <c r="BI9" i="11"/>
  <c r="BK9" i="11" s="1"/>
  <c r="BI8" i="11"/>
  <c r="BK8" i="11" s="1"/>
  <c r="BI7" i="11"/>
  <c r="BK7" i="11" s="1"/>
  <c r="BI6" i="11"/>
  <c r="BK6" i="11" s="1"/>
  <c r="BI5" i="11"/>
  <c r="BK5" i="11" s="1"/>
  <c r="BI4" i="11"/>
  <c r="BK4" i="11" s="1"/>
  <c r="BE15" i="11"/>
  <c r="BG15" i="11" s="1"/>
  <c r="BE14" i="11"/>
  <c r="BG14" i="11" s="1"/>
  <c r="BE13" i="11"/>
  <c r="BG13" i="11" s="1"/>
  <c r="BE12" i="11"/>
  <c r="BG12" i="11" s="1"/>
  <c r="BE11" i="11"/>
  <c r="BG11" i="11" s="1"/>
  <c r="BE10" i="11"/>
  <c r="BG10" i="11" s="1"/>
  <c r="BE9" i="11"/>
  <c r="BG9" i="11" s="1"/>
  <c r="BE8" i="11"/>
  <c r="BG8" i="11" s="1"/>
  <c r="BE7" i="11"/>
  <c r="BG7" i="11" s="1"/>
  <c r="BE6" i="11"/>
  <c r="BG6" i="11" s="1"/>
  <c r="BE5" i="11"/>
  <c r="BG5" i="11" s="1"/>
  <c r="BE4" i="11"/>
  <c r="BG4" i="11" s="1"/>
  <c r="BB5" i="5"/>
  <c r="BB70" i="2"/>
  <c r="BE70" i="2" s="1"/>
  <c r="BG70" i="2" s="1"/>
  <c r="BB54" i="2"/>
  <c r="BE54" i="2" s="1"/>
  <c r="BG54" i="2" s="1"/>
  <c r="BE60" i="2"/>
  <c r="AX60" i="2"/>
  <c r="BA60" i="2" s="1"/>
  <c r="BC60" i="2" s="1"/>
  <c r="AW60" i="2"/>
  <c r="AS60" i="2"/>
  <c r="AU60" i="2" s="1"/>
  <c r="AL60" i="2"/>
  <c r="AO60" i="2" s="1"/>
  <c r="AQ60" i="2" s="1"/>
  <c r="AK60" i="2"/>
  <c r="AG60" i="2"/>
  <c r="AI60" i="2" s="1"/>
  <c r="AC60" i="2"/>
  <c r="AE60" i="2" s="1"/>
  <c r="Y60" i="2"/>
  <c r="AA60" i="2" s="1"/>
  <c r="U60" i="2"/>
  <c r="W60" i="2" s="1"/>
  <c r="Q60" i="2"/>
  <c r="S60" i="2" s="1"/>
  <c r="M60" i="2"/>
  <c r="I60" i="2"/>
  <c r="K60" i="2" s="1"/>
  <c r="BB47" i="2"/>
  <c r="BE47" i="2" s="1"/>
  <c r="BG47" i="2" s="1"/>
  <c r="BB46" i="2"/>
  <c r="BE46" i="2" s="1"/>
  <c r="BG46" i="2" s="1"/>
  <c r="BB45" i="2"/>
  <c r="BE45" i="2" s="1"/>
  <c r="BG45" i="2" s="1"/>
  <c r="BB24" i="2"/>
  <c r="BE24" i="2" s="1"/>
  <c r="BG24" i="2" s="1"/>
  <c r="BB15" i="2"/>
  <c r="BE15" i="2" s="1"/>
  <c r="BG15" i="2" s="1"/>
  <c r="BB13" i="2"/>
  <c r="BE13" i="2" s="1"/>
  <c r="BG13" i="2" s="1"/>
  <c r="BB11" i="2"/>
  <c r="BE11" i="2" s="1"/>
  <c r="BG11" i="2" s="1"/>
  <c r="BB9" i="2"/>
  <c r="BE9" i="2" s="1"/>
  <c r="BG9" i="2" s="1"/>
  <c r="BE72" i="2"/>
  <c r="BG72" i="2" s="1"/>
  <c r="BE71" i="2"/>
  <c r="BG71" i="2" s="1"/>
  <c r="BE69" i="2"/>
  <c r="BG69" i="2" s="1"/>
  <c r="BE68" i="2"/>
  <c r="BG68" i="2" s="1"/>
  <c r="BE67" i="2"/>
  <c r="BG67" i="2" s="1"/>
  <c r="BE66" i="2"/>
  <c r="BG66" i="2" s="1"/>
  <c r="BE62" i="2"/>
  <c r="BG62" i="2" s="1"/>
  <c r="BE61" i="2"/>
  <c r="BG61" i="2" s="1"/>
  <c r="BE59" i="2"/>
  <c r="BG59" i="2" s="1"/>
  <c r="BE58" i="2"/>
  <c r="BG58" i="2" s="1"/>
  <c r="BE57" i="2"/>
  <c r="BG57" i="2" s="1"/>
  <c r="BE56" i="2"/>
  <c r="BG56" i="2" s="1"/>
  <c r="BE55" i="2"/>
  <c r="BG55" i="2" s="1"/>
  <c r="BE53" i="2"/>
  <c r="BG53" i="2" s="1"/>
  <c r="BE52" i="2"/>
  <c r="BG52" i="2" s="1"/>
  <c r="BE51" i="2"/>
  <c r="BG51" i="2" s="1"/>
  <c r="BE50" i="2"/>
  <c r="BG50" i="2" s="1"/>
  <c r="BE49" i="2"/>
  <c r="BG49" i="2" s="1"/>
  <c r="BE48" i="2"/>
  <c r="BG48" i="2" s="1"/>
  <c r="BE44" i="2"/>
  <c r="BG44" i="2" s="1"/>
  <c r="BE43" i="2"/>
  <c r="BG43" i="2" s="1"/>
  <c r="BE42" i="2"/>
  <c r="BG42" i="2" s="1"/>
  <c r="BE41" i="2"/>
  <c r="BG41" i="2" s="1"/>
  <c r="BE40" i="2"/>
  <c r="BG40" i="2" s="1"/>
  <c r="BE39" i="2"/>
  <c r="BG39" i="2" s="1"/>
  <c r="BE38" i="2"/>
  <c r="BG38" i="2" s="1"/>
  <c r="BE37" i="2"/>
  <c r="BG37" i="2" s="1"/>
  <c r="BE36" i="2"/>
  <c r="BG36" i="2" s="1"/>
  <c r="BE35" i="2"/>
  <c r="BG35" i="2" s="1"/>
  <c r="BE34" i="2"/>
  <c r="BG34" i="2" s="1"/>
  <c r="BE33" i="2"/>
  <c r="BG33" i="2" s="1"/>
  <c r="BE32" i="2"/>
  <c r="BG32" i="2" s="1"/>
  <c r="BE31" i="2"/>
  <c r="BG31" i="2" s="1"/>
  <c r="BE30" i="2"/>
  <c r="BG30" i="2" s="1"/>
  <c r="BE29" i="2"/>
  <c r="BG29" i="2" s="1"/>
  <c r="BE28" i="2"/>
  <c r="BG28" i="2" s="1"/>
  <c r="BE27" i="2"/>
  <c r="BG27" i="2" s="1"/>
  <c r="BE26" i="2"/>
  <c r="BG26" i="2" s="1"/>
  <c r="BE25" i="2"/>
  <c r="BG25" i="2" s="1"/>
  <c r="BE23" i="2"/>
  <c r="BG23" i="2" s="1"/>
  <c r="BE22" i="2"/>
  <c r="BG22" i="2" s="1"/>
  <c r="BE21" i="2"/>
  <c r="BG21" i="2" s="1"/>
  <c r="BE20" i="2"/>
  <c r="BG20" i="2" s="1"/>
  <c r="BE19" i="2"/>
  <c r="BG19" i="2" s="1"/>
  <c r="BE18" i="2"/>
  <c r="BG18" i="2" s="1"/>
  <c r="BE17" i="2"/>
  <c r="BG17" i="2" s="1"/>
  <c r="BE16" i="2"/>
  <c r="BG16" i="2" s="1"/>
  <c r="BE14" i="2"/>
  <c r="BG14" i="2" s="1"/>
  <c r="BE12" i="2"/>
  <c r="BG12" i="2" s="1"/>
  <c r="BE10" i="2"/>
  <c r="BG10" i="2" s="1"/>
  <c r="BE8" i="2"/>
  <c r="BG8" i="2" s="1"/>
  <c r="BE7" i="2"/>
  <c r="BG7" i="2" s="1"/>
  <c r="BE6" i="2"/>
  <c r="BG6" i="2" s="1"/>
  <c r="BE5" i="2"/>
  <c r="BG5" i="2" s="1"/>
  <c r="BE4" i="2"/>
  <c r="BG4" i="2" s="1"/>
  <c r="BK30" i="6"/>
  <c r="BN30" i="6" s="1"/>
  <c r="BN65" i="6"/>
  <c r="BP65" i="6" s="1"/>
  <c r="BN64" i="6"/>
  <c r="BP64" i="6" s="1"/>
  <c r="BN63" i="6"/>
  <c r="BP63" i="6" s="1"/>
  <c r="BN62" i="6"/>
  <c r="BP62" i="6" s="1"/>
  <c r="BN61" i="6"/>
  <c r="BP61" i="6" s="1"/>
  <c r="BN60" i="6"/>
  <c r="BP60" i="6" s="1"/>
  <c r="BN59" i="6"/>
  <c r="BP59" i="6" s="1"/>
  <c r="BN58" i="6"/>
  <c r="BP58" i="6" s="1"/>
  <c r="BN57" i="6"/>
  <c r="BP57" i="6" s="1"/>
  <c r="BN56" i="6"/>
  <c r="BP56" i="6" s="1"/>
  <c r="BN55" i="6"/>
  <c r="BN54" i="6"/>
  <c r="BP54" i="6" s="1"/>
  <c r="BN53" i="6"/>
  <c r="BP53" i="6" s="1"/>
  <c r="BN52" i="6"/>
  <c r="BP52" i="6" s="1"/>
  <c r="BN51" i="6"/>
  <c r="BP51" i="6" s="1"/>
  <c r="BN50" i="6"/>
  <c r="BP50" i="6" s="1"/>
  <c r="BN49" i="6"/>
  <c r="BP49" i="6" s="1"/>
  <c r="BN48" i="6"/>
  <c r="BP48" i="6" s="1"/>
  <c r="BN47" i="6"/>
  <c r="BP47" i="6" s="1"/>
  <c r="BN46" i="6"/>
  <c r="BP46" i="6" s="1"/>
  <c r="BN45" i="6"/>
  <c r="BN44" i="6"/>
  <c r="BP44" i="6" s="1"/>
  <c r="BN43" i="6"/>
  <c r="BN41" i="6"/>
  <c r="BP41" i="6" s="1"/>
  <c r="BN40" i="6"/>
  <c r="BP40" i="6" s="1"/>
  <c r="BN39" i="6"/>
  <c r="BP39" i="6" s="1"/>
  <c r="BN38" i="6"/>
  <c r="BP38" i="6" s="1"/>
  <c r="BN37" i="6"/>
  <c r="BP37" i="6" s="1"/>
  <c r="BN36" i="6"/>
  <c r="BP36" i="6" s="1"/>
  <c r="BN35" i="6"/>
  <c r="BP35" i="6" s="1"/>
  <c r="BN34" i="6"/>
  <c r="BP34" i="6" s="1"/>
  <c r="BN33" i="6"/>
  <c r="BP33" i="6" s="1"/>
  <c r="BN32" i="6"/>
  <c r="BP32" i="6" s="1"/>
  <c r="BN31" i="6"/>
  <c r="BN29" i="6"/>
  <c r="BP29" i="6" s="1"/>
  <c r="BN28" i="6"/>
  <c r="BN27" i="6"/>
  <c r="BP27" i="6" s="1"/>
  <c r="BN26" i="6"/>
  <c r="BP26" i="6" s="1"/>
  <c r="BN25" i="6"/>
  <c r="BP25" i="6" s="1"/>
  <c r="BN24" i="6"/>
  <c r="BP24" i="6" s="1"/>
  <c r="BN23" i="6"/>
  <c r="BP23" i="6" s="1"/>
  <c r="BN22" i="6"/>
  <c r="BP22" i="6" s="1"/>
  <c r="BN21" i="6"/>
  <c r="BP21" i="6" s="1"/>
  <c r="BN20" i="6"/>
  <c r="BP20" i="6" s="1"/>
  <c r="BN19" i="6"/>
  <c r="BP19" i="6" s="1"/>
  <c r="BN18" i="6"/>
  <c r="BP18" i="6" s="1"/>
  <c r="BN17" i="6"/>
  <c r="BP17" i="6" s="1"/>
  <c r="BN16" i="6"/>
  <c r="BP16" i="6" s="1"/>
  <c r="BN15" i="6"/>
  <c r="BP15" i="6" s="1"/>
  <c r="BN14" i="6"/>
  <c r="BP14" i="6" s="1"/>
  <c r="BN13" i="6"/>
  <c r="BP13" i="6" s="1"/>
  <c r="BN12" i="6"/>
  <c r="BP12" i="6" s="1"/>
  <c r="BN11" i="6"/>
  <c r="BP11" i="6" s="1"/>
  <c r="BN10" i="6"/>
  <c r="BP10" i="6" s="1"/>
  <c r="BN9" i="6"/>
  <c r="BP9" i="6" s="1"/>
  <c r="BN8" i="6"/>
  <c r="BP8" i="6" s="1"/>
  <c r="BN7" i="6"/>
  <c r="BP7" i="6" s="1"/>
  <c r="BN6" i="6"/>
  <c r="BP6" i="6" s="1"/>
  <c r="BN5" i="6"/>
  <c r="BP5" i="6" s="1"/>
  <c r="BN4" i="6"/>
  <c r="BP4" i="6" s="1"/>
  <c r="AX54" i="2"/>
  <c r="AX46" i="2"/>
  <c r="AX24" i="2"/>
  <c r="AX12" i="2"/>
  <c r="AX11" i="2"/>
  <c r="AX37" i="14"/>
  <c r="AY57" i="14"/>
  <c r="AX21" i="14"/>
  <c r="AX19" i="14"/>
  <c r="AX13" i="14"/>
  <c r="AX11" i="14"/>
  <c r="AX61" i="14"/>
  <c r="BG55" i="6"/>
  <c r="BJ55" i="6" s="1"/>
  <c r="BL55" i="6" s="1"/>
  <c r="BG42" i="6"/>
  <c r="BJ42" i="6" s="1"/>
  <c r="BL42" i="6" s="1"/>
  <c r="BG30" i="6"/>
  <c r="BG28" i="6"/>
  <c r="BJ28" i="6" s="1"/>
  <c r="BL28" i="6" s="1"/>
  <c r="BJ65" i="6"/>
  <c r="BL65" i="6" s="1"/>
  <c r="BJ64" i="6"/>
  <c r="BL64" i="6" s="1"/>
  <c r="BJ63" i="6"/>
  <c r="BL63" i="6" s="1"/>
  <c r="BJ62" i="6"/>
  <c r="BL62" i="6" s="1"/>
  <c r="BJ61" i="6"/>
  <c r="BL61" i="6" s="1"/>
  <c r="BJ60" i="6"/>
  <c r="BL60" i="6" s="1"/>
  <c r="BJ59" i="6"/>
  <c r="BL59" i="6" s="1"/>
  <c r="BJ58" i="6"/>
  <c r="BL58" i="6" s="1"/>
  <c r="BJ57" i="6"/>
  <c r="BL57" i="6" s="1"/>
  <c r="BJ56" i="6"/>
  <c r="BL56" i="6" s="1"/>
  <c r="BJ54" i="6"/>
  <c r="BL54" i="6" s="1"/>
  <c r="BJ53" i="6"/>
  <c r="BL53" i="6" s="1"/>
  <c r="BJ52" i="6"/>
  <c r="BL52" i="6" s="1"/>
  <c r="BJ51" i="6"/>
  <c r="BL51" i="6" s="1"/>
  <c r="BJ50" i="6"/>
  <c r="BL50" i="6" s="1"/>
  <c r="BJ49" i="6"/>
  <c r="BL49" i="6" s="1"/>
  <c r="BJ48" i="6"/>
  <c r="BL48" i="6" s="1"/>
  <c r="BJ47" i="6"/>
  <c r="BL47" i="6" s="1"/>
  <c r="BJ46" i="6"/>
  <c r="BL46" i="6" s="1"/>
  <c r="BJ45" i="6"/>
  <c r="BL45" i="6" s="1"/>
  <c r="BJ44" i="6"/>
  <c r="BL44" i="6" s="1"/>
  <c r="BJ43" i="6"/>
  <c r="BL43" i="6" s="1"/>
  <c r="BJ41" i="6"/>
  <c r="BL41" i="6" s="1"/>
  <c r="BJ40" i="6"/>
  <c r="BL40" i="6" s="1"/>
  <c r="BJ39" i="6"/>
  <c r="BL39" i="6" s="1"/>
  <c r="BJ38" i="6"/>
  <c r="BL38" i="6" s="1"/>
  <c r="BJ37" i="6"/>
  <c r="BL37" i="6" s="1"/>
  <c r="BJ36" i="6"/>
  <c r="BL36" i="6" s="1"/>
  <c r="BJ35" i="6"/>
  <c r="BL35" i="6" s="1"/>
  <c r="BJ34" i="6"/>
  <c r="BL34" i="6" s="1"/>
  <c r="BJ33" i="6"/>
  <c r="BL33" i="6" s="1"/>
  <c r="BJ32" i="6"/>
  <c r="BL32" i="6" s="1"/>
  <c r="BJ31" i="6"/>
  <c r="BL31" i="6" s="1"/>
  <c r="BJ30" i="6"/>
  <c r="BJ29" i="6"/>
  <c r="BL29" i="6" s="1"/>
  <c r="BJ27" i="6"/>
  <c r="BL27" i="6" s="1"/>
  <c r="BJ26" i="6"/>
  <c r="BL26" i="6" s="1"/>
  <c r="BJ25" i="6"/>
  <c r="BL25" i="6" s="1"/>
  <c r="BJ24" i="6"/>
  <c r="BL24" i="6" s="1"/>
  <c r="BJ23" i="6"/>
  <c r="BL23" i="6" s="1"/>
  <c r="BJ22" i="6"/>
  <c r="BL22" i="6" s="1"/>
  <c r="BJ21" i="6"/>
  <c r="BL21" i="6" s="1"/>
  <c r="BJ20" i="6"/>
  <c r="BL20" i="6" s="1"/>
  <c r="BJ19" i="6"/>
  <c r="BL19" i="6" s="1"/>
  <c r="BJ18" i="6"/>
  <c r="BL18" i="6" s="1"/>
  <c r="BJ17" i="6"/>
  <c r="BL17" i="6" s="1"/>
  <c r="BJ16" i="6"/>
  <c r="BL16" i="6" s="1"/>
  <c r="BJ15" i="6"/>
  <c r="BL15" i="6" s="1"/>
  <c r="BJ14" i="6"/>
  <c r="BL14" i="6" s="1"/>
  <c r="BJ13" i="6"/>
  <c r="BL13" i="6" s="1"/>
  <c r="BJ12" i="6"/>
  <c r="BL12" i="6" s="1"/>
  <c r="BJ11" i="6"/>
  <c r="BL11" i="6" s="1"/>
  <c r="BJ10" i="6"/>
  <c r="BL10" i="6" s="1"/>
  <c r="BJ9" i="6"/>
  <c r="BL9" i="6" s="1"/>
  <c r="BJ8" i="6"/>
  <c r="BL8" i="6" s="1"/>
  <c r="BJ7" i="6"/>
  <c r="BL7" i="6" s="1"/>
  <c r="BJ6" i="6"/>
  <c r="BL6" i="6" s="1"/>
  <c r="BJ5" i="6"/>
  <c r="BL5" i="6" s="1"/>
  <c r="BJ4" i="6"/>
  <c r="BL4" i="6" s="1"/>
  <c r="AT54" i="2"/>
  <c r="AT24" i="2"/>
  <c r="AT12" i="2"/>
  <c r="AT7" i="2"/>
  <c r="AT5" i="2"/>
  <c r="AT26" i="5"/>
  <c r="AT42" i="14"/>
  <c r="AT21" i="14"/>
  <c r="AT13" i="14"/>
  <c r="AT11" i="14"/>
  <c r="AT6" i="14"/>
  <c r="AP26" i="5"/>
  <c r="AU57" i="14"/>
  <c r="AQ57" i="14"/>
  <c r="AY56" i="6"/>
  <c r="AY55" i="6"/>
  <c r="AY46" i="6"/>
  <c r="AY43" i="6"/>
  <c r="AY42" i="6"/>
  <c r="AY33" i="6"/>
  <c r="AY30" i="6"/>
  <c r="AY29" i="6"/>
  <c r="AY27" i="6"/>
  <c r="AL61" i="2"/>
  <c r="AL54" i="2"/>
  <c r="AL46" i="2"/>
  <c r="AL13" i="2"/>
  <c r="AI14" i="3"/>
  <c r="AL61" i="14"/>
  <c r="AL42" i="14"/>
  <c r="AL37" i="14"/>
  <c r="AL21" i="14"/>
  <c r="AL13" i="14"/>
  <c r="AL12" i="14"/>
  <c r="AL11" i="14"/>
  <c r="AL6" i="14"/>
  <c r="AJ58" i="2"/>
  <c r="BL30" i="6" l="1"/>
  <c r="BP43" i="6"/>
  <c r="BP31" i="6"/>
  <c r="AY60" i="2"/>
  <c r="BP45" i="6"/>
  <c r="BP28" i="6"/>
  <c r="BP30" i="6"/>
  <c r="BP55" i="6"/>
  <c r="AM60" i="2"/>
  <c r="BN42" i="6"/>
  <c r="BP42" i="6" s="1"/>
  <c r="AK58" i="2"/>
  <c r="AM58" i="2" s="1"/>
  <c r="AK12" i="2"/>
  <c r="AM12" i="2" s="1"/>
  <c r="AK13" i="2"/>
  <c r="AM13" i="2" s="1"/>
  <c r="AQ43" i="6"/>
  <c r="AT43" i="6" s="1"/>
  <c r="AV43" i="6" s="1"/>
  <c r="AQ42" i="6"/>
  <c r="AT42" i="6" s="1"/>
  <c r="AV42" i="6" s="1"/>
  <c r="CC17" i="12"/>
  <c r="BY17" i="12"/>
  <c r="BU17" i="12"/>
  <c r="BQ17" i="12"/>
  <c r="CA17" i="12" s="1"/>
  <c r="BM17" i="12"/>
  <c r="BO17" i="12" s="1"/>
  <c r="BI17" i="12"/>
  <c r="BE17" i="12"/>
  <c r="BG17" i="12" s="1"/>
  <c r="BA17" i="12"/>
  <c r="AW17" i="12"/>
  <c r="AY17" i="12" s="1"/>
  <c r="AS17" i="12"/>
  <c r="AU17" i="12" s="1"/>
  <c r="AO17" i="12"/>
  <c r="AQ17" i="12" s="1"/>
  <c r="AK17" i="12"/>
  <c r="AG17" i="12"/>
  <c r="AI17" i="12" s="1"/>
  <c r="AC17" i="12"/>
  <c r="AE17" i="12" s="1"/>
  <c r="Y17" i="12"/>
  <c r="AA17" i="12" s="1"/>
  <c r="U17" i="12"/>
  <c r="W17" i="12" s="1"/>
  <c r="Q17" i="12"/>
  <c r="S17" i="12" s="1"/>
  <c r="M17" i="12"/>
  <c r="O17" i="12" s="1"/>
  <c r="I17" i="12"/>
  <c r="K17" i="12" s="1"/>
  <c r="AD54" i="2"/>
  <c r="AG54" i="2" s="1"/>
  <c r="AI54" i="2" s="1"/>
  <c r="AG46" i="2"/>
  <c r="AI46" i="2" s="1"/>
  <c r="AD12" i="2"/>
  <c r="AG12" i="2" s="1"/>
  <c r="AI12" i="2" s="1"/>
  <c r="AD11" i="2"/>
  <c r="AG11" i="2" s="1"/>
  <c r="AI11" i="2" s="1"/>
  <c r="AD9" i="2"/>
  <c r="AG9" i="2" s="1"/>
  <c r="AI9" i="2" s="1"/>
  <c r="AD26" i="5"/>
  <c r="AG26" i="5" s="1"/>
  <c r="AI26" i="5" s="1"/>
  <c r="AD42" i="14"/>
  <c r="AD37" i="14"/>
  <c r="AD21" i="14"/>
  <c r="AD13" i="14"/>
  <c r="AD12" i="14"/>
  <c r="AD11" i="14"/>
  <c r="AD6" i="14"/>
  <c r="AE14" i="3"/>
  <c r="AE57" i="14"/>
  <c r="AD61" i="14"/>
  <c r="AM64" i="6"/>
  <c r="AP64" i="6" s="1"/>
  <c r="AR64" i="6" s="1"/>
  <c r="AM45" i="6"/>
  <c r="AP45" i="6" s="1"/>
  <c r="AR45" i="6" s="1"/>
  <c r="AM44" i="6"/>
  <c r="AP44" i="6" s="1"/>
  <c r="AR44" i="6" s="1"/>
  <c r="AM43" i="6"/>
  <c r="AP43" i="6" s="1"/>
  <c r="AR43" i="6" s="1"/>
  <c r="AM42" i="6"/>
  <c r="AM28" i="6"/>
  <c r="AP28" i="6" s="1"/>
  <c r="AR28" i="6" s="1"/>
  <c r="AU17" i="8"/>
  <c r="AW17" i="8" s="1"/>
  <c r="AL17" i="8"/>
  <c r="AM17" i="8" s="1"/>
  <c r="AO17" i="8" s="1"/>
  <c r="X30" i="14"/>
  <c r="AA11" i="5"/>
  <c r="AC11" i="5"/>
  <c r="AE11" i="5" s="1"/>
  <c r="AG11" i="5"/>
  <c r="AI11" i="5" s="1"/>
  <c r="AK11" i="5"/>
  <c r="AM11" i="5" s="1"/>
  <c r="AO11" i="5"/>
  <c r="AQ11" i="5" s="1"/>
  <c r="AS11" i="5"/>
  <c r="AU11" i="5" s="1"/>
  <c r="AW11" i="5"/>
  <c r="AY11" i="5" s="1"/>
  <c r="BA11" i="5"/>
  <c r="BC11" i="5" s="1"/>
  <c r="BE11" i="5"/>
  <c r="BG11" i="5" s="1"/>
  <c r="BI11" i="5"/>
  <c r="BK11" i="5" s="1"/>
  <c r="BM11" i="5"/>
  <c r="BO11" i="5" s="1"/>
  <c r="BQ11" i="5"/>
  <c r="BS11" i="5" s="1"/>
  <c r="BU11" i="5"/>
  <c r="BW11" i="5" s="1"/>
  <c r="BY11" i="5"/>
  <c r="CA11" i="5" s="1"/>
  <c r="CC11" i="5"/>
  <c r="CE11" i="5" s="1"/>
  <c r="CG11" i="5"/>
  <c r="AK25" i="2"/>
  <c r="AM25" i="2" s="1"/>
  <c r="AO25" i="2"/>
  <c r="AQ25" i="2" s="1"/>
  <c r="AS25" i="2"/>
  <c r="AU25" i="2" s="1"/>
  <c r="AW25" i="2"/>
  <c r="AY25" i="2" s="1"/>
  <c r="BA25" i="2"/>
  <c r="BC25" i="2" s="1"/>
  <c r="AG25" i="2"/>
  <c r="AI25" i="2" s="1"/>
  <c r="AC25" i="2"/>
  <c r="AE25" i="2" s="1"/>
  <c r="AA25" i="2"/>
  <c r="Z5" i="5"/>
  <c r="AC5" i="5" s="1"/>
  <c r="AE5" i="5" s="1"/>
  <c r="Z70" i="2"/>
  <c r="AC70" i="2" s="1"/>
  <c r="AE70" i="2" s="1"/>
  <c r="Z66" i="2"/>
  <c r="AC66" i="2" s="1"/>
  <c r="AE66" i="2" s="1"/>
  <c r="Z54" i="2"/>
  <c r="AC54" i="2" s="1"/>
  <c r="Z46" i="2"/>
  <c r="AC46" i="2" s="1"/>
  <c r="Z24" i="2"/>
  <c r="AC24" i="2" s="1"/>
  <c r="AE24" i="2" s="1"/>
  <c r="Z12" i="2"/>
  <c r="AC12" i="2" s="1"/>
  <c r="Z11" i="2"/>
  <c r="AC11" i="2" s="1"/>
  <c r="Z42" i="14"/>
  <c r="Z37" i="14"/>
  <c r="Z21" i="14"/>
  <c r="Z13" i="14"/>
  <c r="Z12" i="14"/>
  <c r="V11" i="14"/>
  <c r="Z6" i="14"/>
  <c r="AA57" i="14"/>
  <c r="AA58" i="14"/>
  <c r="Z26" i="5"/>
  <c r="AC26" i="5" s="1"/>
  <c r="AM6" i="8"/>
  <c r="AO6" i="8" s="1"/>
  <c r="AM7" i="8"/>
  <c r="AO7" i="8" s="1"/>
  <c r="AM8" i="8"/>
  <c r="AO8" i="8" s="1"/>
  <c r="AM9" i="8"/>
  <c r="AO9" i="8" s="1"/>
  <c r="AM10" i="8"/>
  <c r="AO10" i="8" s="1"/>
  <c r="AM11" i="8"/>
  <c r="AO11" i="8" s="1"/>
  <c r="AM12" i="8"/>
  <c r="AO12" i="8" s="1"/>
  <c r="AM13" i="8"/>
  <c r="AO13" i="8" s="1"/>
  <c r="AM14" i="8"/>
  <c r="AO14" i="8" s="1"/>
  <c r="AM15" i="8"/>
  <c r="AO15" i="8" s="1"/>
  <c r="AM16" i="8"/>
  <c r="AO16" i="8" s="1"/>
  <c r="AM18" i="8"/>
  <c r="AO18" i="8" s="1"/>
  <c r="AM19" i="8"/>
  <c r="AO19" i="8" s="1"/>
  <c r="AM20" i="8"/>
  <c r="AO20" i="8" s="1"/>
  <c r="AM5" i="8"/>
  <c r="AO5" i="8" s="1"/>
  <c r="AI64" i="6"/>
  <c r="AL64" i="6" s="1"/>
  <c r="AI55" i="6"/>
  <c r="AI45" i="6"/>
  <c r="AL45" i="6" s="1"/>
  <c r="AI44" i="6"/>
  <c r="AL44" i="6" s="1"/>
  <c r="AI42" i="6"/>
  <c r="AL42" i="6" s="1"/>
  <c r="AI30" i="6"/>
  <c r="AL30" i="6" s="1"/>
  <c r="AN30" i="6" s="1"/>
  <c r="AI29" i="6"/>
  <c r="AL29" i="6" s="1"/>
  <c r="AN29" i="6" s="1"/>
  <c r="AI28" i="6"/>
  <c r="AL28" i="6" s="1"/>
  <c r="Y22" i="2"/>
  <c r="AA22" i="2" s="1"/>
  <c r="BA66" i="2"/>
  <c r="BC66" i="2" s="1"/>
  <c r="AW66" i="2"/>
  <c r="AY66" i="2" s="1"/>
  <c r="AS66" i="2"/>
  <c r="AU66" i="2" s="1"/>
  <c r="AO66" i="2"/>
  <c r="AQ66" i="2" s="1"/>
  <c r="AK66" i="2"/>
  <c r="AM66" i="2" s="1"/>
  <c r="AG66" i="2"/>
  <c r="AI66" i="2" s="1"/>
  <c r="Y66" i="2"/>
  <c r="U66" i="2"/>
  <c r="W66" i="2" s="1"/>
  <c r="Q66" i="2"/>
  <c r="S66" i="2" s="1"/>
  <c r="M66" i="2"/>
  <c r="I66" i="2"/>
  <c r="K66" i="2" s="1"/>
  <c r="V54" i="2"/>
  <c r="Y54" i="2" s="1"/>
  <c r="V12" i="2"/>
  <c r="Y12" i="2" s="1"/>
  <c r="V9" i="2"/>
  <c r="Y9" i="2" s="1"/>
  <c r="AA9" i="2" s="1"/>
  <c r="V26" i="5"/>
  <c r="Y26" i="5" s="1"/>
  <c r="V32" i="14"/>
  <c r="U26" i="14"/>
  <c r="U27" i="14"/>
  <c r="V21" i="14"/>
  <c r="V12" i="14"/>
  <c r="V6" i="14"/>
  <c r="AE18" i="8"/>
  <c r="AG18" i="8" s="1"/>
  <c r="AE19" i="8"/>
  <c r="AG19" i="8" s="1"/>
  <c r="AE20" i="8"/>
  <c r="AG20" i="8" s="1"/>
  <c r="AE46" i="6"/>
  <c r="AH46" i="6" s="1"/>
  <c r="AJ46" i="6" s="1"/>
  <c r="AE45" i="6"/>
  <c r="AH45" i="6" s="1"/>
  <c r="AE44" i="6"/>
  <c r="AH44" i="6" s="1"/>
  <c r="AE28" i="6"/>
  <c r="AH28" i="6" s="1"/>
  <c r="P23" i="5"/>
  <c r="BA72" i="2"/>
  <c r="BC72" i="2" s="1"/>
  <c r="AW72" i="2"/>
  <c r="AY72" i="2" s="1"/>
  <c r="AS72" i="2"/>
  <c r="AU72" i="2" s="1"/>
  <c r="AO72" i="2"/>
  <c r="AQ72" i="2" s="1"/>
  <c r="BA71" i="2"/>
  <c r="BC71" i="2" s="1"/>
  <c r="AW71" i="2"/>
  <c r="AY71" i="2" s="1"/>
  <c r="AS71" i="2"/>
  <c r="AU71" i="2" s="1"/>
  <c r="AO71" i="2"/>
  <c r="AQ71" i="2" s="1"/>
  <c r="BA70" i="2"/>
  <c r="BC70" i="2" s="1"/>
  <c r="AW70" i="2"/>
  <c r="AY70" i="2" s="1"/>
  <c r="AS70" i="2"/>
  <c r="AU70" i="2" s="1"/>
  <c r="AO70" i="2"/>
  <c r="AQ70" i="2" s="1"/>
  <c r="BA69" i="2"/>
  <c r="BC69" i="2" s="1"/>
  <c r="AW69" i="2"/>
  <c r="AY69" i="2" s="1"/>
  <c r="AS69" i="2"/>
  <c r="AU69" i="2" s="1"/>
  <c r="AO69" i="2"/>
  <c r="AQ69" i="2" s="1"/>
  <c r="BA68" i="2"/>
  <c r="BC68" i="2" s="1"/>
  <c r="AW68" i="2"/>
  <c r="AY68" i="2" s="1"/>
  <c r="AS68" i="2"/>
  <c r="AU68" i="2" s="1"/>
  <c r="AO68" i="2"/>
  <c r="AQ68" i="2" s="1"/>
  <c r="BA67" i="2"/>
  <c r="BC67" i="2" s="1"/>
  <c r="AW67" i="2"/>
  <c r="AY67" i="2" s="1"/>
  <c r="AS67" i="2"/>
  <c r="AU67" i="2" s="1"/>
  <c r="AO67" i="2"/>
  <c r="AQ67" i="2" s="1"/>
  <c r="BA62" i="2"/>
  <c r="BC62" i="2" s="1"/>
  <c r="AW62" i="2"/>
  <c r="AY62" i="2" s="1"/>
  <c r="AS62" i="2"/>
  <c r="AU62" i="2" s="1"/>
  <c r="AO62" i="2"/>
  <c r="AQ62" i="2" s="1"/>
  <c r="BA61" i="2"/>
  <c r="BC61" i="2" s="1"/>
  <c r="AW61" i="2"/>
  <c r="AY61" i="2" s="1"/>
  <c r="AS61" i="2"/>
  <c r="AU61" i="2" s="1"/>
  <c r="AO61" i="2"/>
  <c r="AQ61" i="2" s="1"/>
  <c r="BA59" i="2"/>
  <c r="BC59" i="2" s="1"/>
  <c r="AW59" i="2"/>
  <c r="AY59" i="2" s="1"/>
  <c r="AS59" i="2"/>
  <c r="AU59" i="2" s="1"/>
  <c r="AO59" i="2"/>
  <c r="AQ59" i="2" s="1"/>
  <c r="BA58" i="2"/>
  <c r="BC58" i="2" s="1"/>
  <c r="AW58" i="2"/>
  <c r="AY58" i="2" s="1"/>
  <c r="AS58" i="2"/>
  <c r="AU58" i="2" s="1"/>
  <c r="AO58" i="2"/>
  <c r="AQ58" i="2" s="1"/>
  <c r="BA57" i="2"/>
  <c r="BC57" i="2" s="1"/>
  <c r="AW57" i="2"/>
  <c r="AY57" i="2" s="1"/>
  <c r="AS57" i="2"/>
  <c r="AU57" i="2" s="1"/>
  <c r="AO57" i="2"/>
  <c r="AQ57" i="2" s="1"/>
  <c r="BA56" i="2"/>
  <c r="BC56" i="2" s="1"/>
  <c r="AW56" i="2"/>
  <c r="AY56" i="2" s="1"/>
  <c r="AS56" i="2"/>
  <c r="AU56" i="2" s="1"/>
  <c r="AO56" i="2"/>
  <c r="AQ56" i="2" s="1"/>
  <c r="BA55" i="2"/>
  <c r="BC55" i="2" s="1"/>
  <c r="AW55" i="2"/>
  <c r="AY55" i="2" s="1"/>
  <c r="AS55" i="2"/>
  <c r="AU55" i="2" s="1"/>
  <c r="AO55" i="2"/>
  <c r="AQ55" i="2" s="1"/>
  <c r="BA54" i="2"/>
  <c r="BC54" i="2" s="1"/>
  <c r="AW54" i="2"/>
  <c r="AY54" i="2" s="1"/>
  <c r="AS54" i="2"/>
  <c r="AU54" i="2" s="1"/>
  <c r="AO54" i="2"/>
  <c r="AQ54" i="2" s="1"/>
  <c r="BA53" i="2"/>
  <c r="BC53" i="2" s="1"/>
  <c r="AW53" i="2"/>
  <c r="AY53" i="2" s="1"/>
  <c r="AS53" i="2"/>
  <c r="AU53" i="2" s="1"/>
  <c r="AO53" i="2"/>
  <c r="AQ53" i="2" s="1"/>
  <c r="BA52" i="2"/>
  <c r="BC52" i="2" s="1"/>
  <c r="AW52" i="2"/>
  <c r="AY52" i="2" s="1"/>
  <c r="AS52" i="2"/>
  <c r="AU52" i="2" s="1"/>
  <c r="AO52" i="2"/>
  <c r="AQ52" i="2" s="1"/>
  <c r="BA51" i="2"/>
  <c r="BC51" i="2" s="1"/>
  <c r="AW51" i="2"/>
  <c r="AY51" i="2" s="1"/>
  <c r="AS51" i="2"/>
  <c r="AU51" i="2" s="1"/>
  <c r="AO51" i="2"/>
  <c r="AQ51" i="2" s="1"/>
  <c r="BA50" i="2"/>
  <c r="BC50" i="2" s="1"/>
  <c r="AW50" i="2"/>
  <c r="AY50" i="2" s="1"/>
  <c r="AS50" i="2"/>
  <c r="AU50" i="2" s="1"/>
  <c r="AO50" i="2"/>
  <c r="AQ50" i="2" s="1"/>
  <c r="BA49" i="2"/>
  <c r="BC49" i="2" s="1"/>
  <c r="AW49" i="2"/>
  <c r="AY49" i="2" s="1"/>
  <c r="AS49" i="2"/>
  <c r="AU49" i="2" s="1"/>
  <c r="AO49" i="2"/>
  <c r="AQ49" i="2" s="1"/>
  <c r="BA48" i="2"/>
  <c r="BC48" i="2" s="1"/>
  <c r="AW48" i="2"/>
  <c r="AY48" i="2" s="1"/>
  <c r="AS48" i="2"/>
  <c r="AU48" i="2" s="1"/>
  <c r="AO48" i="2"/>
  <c r="AQ48" i="2" s="1"/>
  <c r="BA47" i="2"/>
  <c r="BC47" i="2" s="1"/>
  <c r="AW47" i="2"/>
  <c r="AY47" i="2" s="1"/>
  <c r="AS47" i="2"/>
  <c r="AU47" i="2" s="1"/>
  <c r="AO47" i="2"/>
  <c r="AQ47" i="2" s="1"/>
  <c r="BA46" i="2"/>
  <c r="BC46" i="2" s="1"/>
  <c r="AW46" i="2"/>
  <c r="AY46" i="2" s="1"/>
  <c r="AS46" i="2"/>
  <c r="AU46" i="2" s="1"/>
  <c r="AO46" i="2"/>
  <c r="AQ46" i="2" s="1"/>
  <c r="BA45" i="2"/>
  <c r="BC45" i="2" s="1"/>
  <c r="AW45" i="2"/>
  <c r="AY45" i="2" s="1"/>
  <c r="AS45" i="2"/>
  <c r="AU45" i="2" s="1"/>
  <c r="AO45" i="2"/>
  <c r="AQ45" i="2" s="1"/>
  <c r="BA44" i="2"/>
  <c r="BC44" i="2" s="1"/>
  <c r="AW44" i="2"/>
  <c r="AY44" i="2" s="1"/>
  <c r="AS44" i="2"/>
  <c r="AU44" i="2" s="1"/>
  <c r="AO44" i="2"/>
  <c r="AQ44" i="2" s="1"/>
  <c r="BA43" i="2"/>
  <c r="BC43" i="2" s="1"/>
  <c r="AW43" i="2"/>
  <c r="AY43" i="2" s="1"/>
  <c r="AS43" i="2"/>
  <c r="AU43" i="2" s="1"/>
  <c r="AO43" i="2"/>
  <c r="AQ43" i="2" s="1"/>
  <c r="BA42" i="2"/>
  <c r="BC42" i="2" s="1"/>
  <c r="AW42" i="2"/>
  <c r="AY42" i="2" s="1"/>
  <c r="AS42" i="2"/>
  <c r="AU42" i="2" s="1"/>
  <c r="AO42" i="2"/>
  <c r="AQ42" i="2" s="1"/>
  <c r="BA41" i="2"/>
  <c r="BC41" i="2" s="1"/>
  <c r="AW41" i="2"/>
  <c r="AY41" i="2" s="1"/>
  <c r="AS41" i="2"/>
  <c r="AU41" i="2" s="1"/>
  <c r="AO41" i="2"/>
  <c r="AQ41" i="2" s="1"/>
  <c r="BA40" i="2"/>
  <c r="BC40" i="2" s="1"/>
  <c r="AW40" i="2"/>
  <c r="AY40" i="2" s="1"/>
  <c r="AS40" i="2"/>
  <c r="AU40" i="2" s="1"/>
  <c r="AO40" i="2"/>
  <c r="AQ40" i="2" s="1"/>
  <c r="BA39" i="2"/>
  <c r="BC39" i="2" s="1"/>
  <c r="AW39" i="2"/>
  <c r="AY39" i="2" s="1"/>
  <c r="AS39" i="2"/>
  <c r="AU39" i="2" s="1"/>
  <c r="AO39" i="2"/>
  <c r="AQ39" i="2" s="1"/>
  <c r="BA38" i="2"/>
  <c r="BC38" i="2" s="1"/>
  <c r="AW38" i="2"/>
  <c r="AY38" i="2" s="1"/>
  <c r="AS38" i="2"/>
  <c r="AU38" i="2" s="1"/>
  <c r="AO38" i="2"/>
  <c r="AQ38" i="2" s="1"/>
  <c r="BA37" i="2"/>
  <c r="BC37" i="2" s="1"/>
  <c r="AW37" i="2"/>
  <c r="AY37" i="2" s="1"/>
  <c r="AS37" i="2"/>
  <c r="AU37" i="2" s="1"/>
  <c r="AO37" i="2"/>
  <c r="AQ37" i="2" s="1"/>
  <c r="BA36" i="2"/>
  <c r="BC36" i="2" s="1"/>
  <c r="AW36" i="2"/>
  <c r="AY36" i="2" s="1"/>
  <c r="AS36" i="2"/>
  <c r="AU36" i="2" s="1"/>
  <c r="AO36" i="2"/>
  <c r="AQ36" i="2" s="1"/>
  <c r="BA35" i="2"/>
  <c r="BC35" i="2" s="1"/>
  <c r="AW35" i="2"/>
  <c r="AY35" i="2" s="1"/>
  <c r="AS35" i="2"/>
  <c r="AU35" i="2" s="1"/>
  <c r="AO35" i="2"/>
  <c r="AQ35" i="2" s="1"/>
  <c r="BA34" i="2"/>
  <c r="BC34" i="2" s="1"/>
  <c r="AW34" i="2"/>
  <c r="AY34" i="2" s="1"/>
  <c r="AS34" i="2"/>
  <c r="AU34" i="2" s="1"/>
  <c r="AO34" i="2"/>
  <c r="AQ34" i="2" s="1"/>
  <c r="BA33" i="2"/>
  <c r="BC33" i="2" s="1"/>
  <c r="AW33" i="2"/>
  <c r="AY33" i="2" s="1"/>
  <c r="AS33" i="2"/>
  <c r="AU33" i="2" s="1"/>
  <c r="AO33" i="2"/>
  <c r="AQ33" i="2" s="1"/>
  <c r="BA32" i="2"/>
  <c r="BC32" i="2" s="1"/>
  <c r="AW32" i="2"/>
  <c r="AY32" i="2" s="1"/>
  <c r="AS32" i="2"/>
  <c r="AU32" i="2" s="1"/>
  <c r="AO32" i="2"/>
  <c r="AQ32" i="2" s="1"/>
  <c r="BA31" i="2"/>
  <c r="BC31" i="2" s="1"/>
  <c r="AW31" i="2"/>
  <c r="AY31" i="2" s="1"/>
  <c r="AS31" i="2"/>
  <c r="AU31" i="2" s="1"/>
  <c r="AO31" i="2"/>
  <c r="AQ31" i="2" s="1"/>
  <c r="BA30" i="2"/>
  <c r="BC30" i="2" s="1"/>
  <c r="AW30" i="2"/>
  <c r="AY30" i="2" s="1"/>
  <c r="AS30" i="2"/>
  <c r="AU30" i="2" s="1"/>
  <c r="AO30" i="2"/>
  <c r="AQ30" i="2" s="1"/>
  <c r="BA29" i="2"/>
  <c r="BC29" i="2" s="1"/>
  <c r="AW29" i="2"/>
  <c r="AY29" i="2" s="1"/>
  <c r="AS29" i="2"/>
  <c r="AU29" i="2" s="1"/>
  <c r="AO29" i="2"/>
  <c r="AQ29" i="2" s="1"/>
  <c r="BA28" i="2"/>
  <c r="BC28" i="2" s="1"/>
  <c r="AW28" i="2"/>
  <c r="AY28" i="2" s="1"/>
  <c r="AS28" i="2"/>
  <c r="AU28" i="2" s="1"/>
  <c r="AO28" i="2"/>
  <c r="AQ28" i="2" s="1"/>
  <c r="BA27" i="2"/>
  <c r="BC27" i="2" s="1"/>
  <c r="AW27" i="2"/>
  <c r="AY27" i="2" s="1"/>
  <c r="AS27" i="2"/>
  <c r="AU27" i="2" s="1"/>
  <c r="AO27" i="2"/>
  <c r="AQ27" i="2" s="1"/>
  <c r="BA26" i="2"/>
  <c r="BC26" i="2" s="1"/>
  <c r="AW26" i="2"/>
  <c r="AY26" i="2" s="1"/>
  <c r="AS26" i="2"/>
  <c r="AU26" i="2" s="1"/>
  <c r="AO26" i="2"/>
  <c r="AQ26" i="2" s="1"/>
  <c r="BA24" i="2"/>
  <c r="BC24" i="2" s="1"/>
  <c r="AW24" i="2"/>
  <c r="AY24" i="2" s="1"/>
  <c r="AS24" i="2"/>
  <c r="AU24" i="2" s="1"/>
  <c r="AO24" i="2"/>
  <c r="AQ24" i="2" s="1"/>
  <c r="BA23" i="2"/>
  <c r="BC23" i="2" s="1"/>
  <c r="AW23" i="2"/>
  <c r="AY23" i="2" s="1"/>
  <c r="AS23" i="2"/>
  <c r="AU23" i="2" s="1"/>
  <c r="AO23" i="2"/>
  <c r="AQ23" i="2" s="1"/>
  <c r="BA22" i="2"/>
  <c r="BC22" i="2" s="1"/>
  <c r="AW22" i="2"/>
  <c r="AY22" i="2" s="1"/>
  <c r="AS22" i="2"/>
  <c r="AU22" i="2" s="1"/>
  <c r="AO22" i="2"/>
  <c r="AQ22" i="2" s="1"/>
  <c r="BA21" i="2"/>
  <c r="BC21" i="2" s="1"/>
  <c r="AW21" i="2"/>
  <c r="AY21" i="2" s="1"/>
  <c r="AS21" i="2"/>
  <c r="AU21" i="2" s="1"/>
  <c r="AO21" i="2"/>
  <c r="AQ21" i="2" s="1"/>
  <c r="BA20" i="2"/>
  <c r="BC20" i="2" s="1"/>
  <c r="AW20" i="2"/>
  <c r="AY20" i="2" s="1"/>
  <c r="AS20" i="2"/>
  <c r="AU20" i="2" s="1"/>
  <c r="AO20" i="2"/>
  <c r="AQ20" i="2" s="1"/>
  <c r="BA19" i="2"/>
  <c r="BC19" i="2" s="1"/>
  <c r="AW19" i="2"/>
  <c r="AY19" i="2" s="1"/>
  <c r="AS19" i="2"/>
  <c r="AU19" i="2" s="1"/>
  <c r="AO19" i="2"/>
  <c r="AQ19" i="2" s="1"/>
  <c r="BA18" i="2"/>
  <c r="BC18" i="2" s="1"/>
  <c r="AW18" i="2"/>
  <c r="AY18" i="2" s="1"/>
  <c r="AS18" i="2"/>
  <c r="AU18" i="2" s="1"/>
  <c r="AO18" i="2"/>
  <c r="AQ18" i="2" s="1"/>
  <c r="BA17" i="2"/>
  <c r="BC17" i="2" s="1"/>
  <c r="AW17" i="2"/>
  <c r="AY17" i="2" s="1"/>
  <c r="AS17" i="2"/>
  <c r="AU17" i="2" s="1"/>
  <c r="AO17" i="2"/>
  <c r="AQ17" i="2" s="1"/>
  <c r="BA16" i="2"/>
  <c r="BC16" i="2" s="1"/>
  <c r="AW16" i="2"/>
  <c r="AY16" i="2" s="1"/>
  <c r="AS16" i="2"/>
  <c r="AU16" i="2" s="1"/>
  <c r="AO16" i="2"/>
  <c r="AQ16" i="2" s="1"/>
  <c r="BA15" i="2"/>
  <c r="BC15" i="2" s="1"/>
  <c r="AW15" i="2"/>
  <c r="AY15" i="2" s="1"/>
  <c r="AS15" i="2"/>
  <c r="AU15" i="2" s="1"/>
  <c r="AO15" i="2"/>
  <c r="AQ15" i="2" s="1"/>
  <c r="BA14" i="2"/>
  <c r="BC14" i="2" s="1"/>
  <c r="AW14" i="2"/>
  <c r="AY14" i="2" s="1"/>
  <c r="AS14" i="2"/>
  <c r="AU14" i="2" s="1"/>
  <c r="AO14" i="2"/>
  <c r="AQ14" i="2" s="1"/>
  <c r="BA13" i="2"/>
  <c r="BC13" i="2" s="1"/>
  <c r="AW13" i="2"/>
  <c r="AY13" i="2" s="1"/>
  <c r="AS13" i="2"/>
  <c r="AU13" i="2" s="1"/>
  <c r="AO13" i="2"/>
  <c r="AQ13" i="2" s="1"/>
  <c r="BA12" i="2"/>
  <c r="BC12" i="2" s="1"/>
  <c r="AW12" i="2"/>
  <c r="AY12" i="2" s="1"/>
  <c r="AS12" i="2"/>
  <c r="AU12" i="2" s="1"/>
  <c r="AO12" i="2"/>
  <c r="AQ12" i="2" s="1"/>
  <c r="BA11" i="2"/>
  <c r="BC11" i="2" s="1"/>
  <c r="AW11" i="2"/>
  <c r="AY11" i="2" s="1"/>
  <c r="AS11" i="2"/>
  <c r="AU11" i="2" s="1"/>
  <c r="AO11" i="2"/>
  <c r="AQ11" i="2" s="1"/>
  <c r="BA10" i="2"/>
  <c r="BC10" i="2" s="1"/>
  <c r="AW10" i="2"/>
  <c r="AY10" i="2" s="1"/>
  <c r="AS10" i="2"/>
  <c r="AU10" i="2" s="1"/>
  <c r="AO10" i="2"/>
  <c r="AQ10" i="2" s="1"/>
  <c r="BA9" i="2"/>
  <c r="BC9" i="2" s="1"/>
  <c r="AW9" i="2"/>
  <c r="AY9" i="2" s="1"/>
  <c r="AS9" i="2"/>
  <c r="AU9" i="2" s="1"/>
  <c r="AO9" i="2"/>
  <c r="AQ9" i="2" s="1"/>
  <c r="BA8" i="2"/>
  <c r="BC8" i="2" s="1"/>
  <c r="AW8" i="2"/>
  <c r="AY8" i="2" s="1"/>
  <c r="AS8" i="2"/>
  <c r="AU8" i="2" s="1"/>
  <c r="AO8" i="2"/>
  <c r="AQ8" i="2" s="1"/>
  <c r="BA7" i="2"/>
  <c r="BC7" i="2" s="1"/>
  <c r="AW7" i="2"/>
  <c r="AY7" i="2" s="1"/>
  <c r="AS7" i="2"/>
  <c r="AU7" i="2" s="1"/>
  <c r="AO7" i="2"/>
  <c r="AQ7" i="2" s="1"/>
  <c r="BA6" i="2"/>
  <c r="BC6" i="2" s="1"/>
  <c r="AW6" i="2"/>
  <c r="AY6" i="2" s="1"/>
  <c r="AS6" i="2"/>
  <c r="AU6" i="2" s="1"/>
  <c r="AO6" i="2"/>
  <c r="AQ6" i="2" s="1"/>
  <c r="BA5" i="2"/>
  <c r="BC5" i="2" s="1"/>
  <c r="AW5" i="2"/>
  <c r="AY5" i="2" s="1"/>
  <c r="AS5" i="2"/>
  <c r="AU5" i="2" s="1"/>
  <c r="AO5" i="2"/>
  <c r="AQ5" i="2" s="1"/>
  <c r="BA4" i="2"/>
  <c r="BC4" i="2" s="1"/>
  <c r="AW4" i="2"/>
  <c r="AY4" i="2" s="1"/>
  <c r="AS4" i="2"/>
  <c r="AU4" i="2" s="1"/>
  <c r="AO4" i="2"/>
  <c r="AQ4" i="2" s="1"/>
  <c r="AK72" i="2"/>
  <c r="AM72" i="2" s="1"/>
  <c r="AG72" i="2"/>
  <c r="AI72" i="2" s="1"/>
  <c r="AK71" i="2"/>
  <c r="AM71" i="2" s="1"/>
  <c r="AG71" i="2"/>
  <c r="AI71" i="2" s="1"/>
  <c r="AK70" i="2"/>
  <c r="AM70" i="2" s="1"/>
  <c r="AG70" i="2"/>
  <c r="AI70" i="2" s="1"/>
  <c r="AK69" i="2"/>
  <c r="AM69" i="2" s="1"/>
  <c r="AG69" i="2"/>
  <c r="AI69" i="2" s="1"/>
  <c r="AK68" i="2"/>
  <c r="AM68" i="2" s="1"/>
  <c r="AG68" i="2"/>
  <c r="AI68" i="2" s="1"/>
  <c r="AK67" i="2"/>
  <c r="AM67" i="2" s="1"/>
  <c r="AG67" i="2"/>
  <c r="AI67" i="2" s="1"/>
  <c r="AK62" i="2"/>
  <c r="AM62" i="2" s="1"/>
  <c r="AG62" i="2"/>
  <c r="AI62" i="2" s="1"/>
  <c r="AK61" i="2"/>
  <c r="AM61" i="2" s="1"/>
  <c r="AG61" i="2"/>
  <c r="AI61" i="2" s="1"/>
  <c r="AK59" i="2"/>
  <c r="AM59" i="2" s="1"/>
  <c r="AG59" i="2"/>
  <c r="AI59" i="2" s="1"/>
  <c r="AG58" i="2"/>
  <c r="AI58" i="2" s="1"/>
  <c r="AK57" i="2"/>
  <c r="AM57" i="2" s="1"/>
  <c r="AG57" i="2"/>
  <c r="AI57" i="2" s="1"/>
  <c r="AK56" i="2"/>
  <c r="AM56" i="2" s="1"/>
  <c r="AG56" i="2"/>
  <c r="AI56" i="2" s="1"/>
  <c r="AK55" i="2"/>
  <c r="AM55" i="2" s="1"/>
  <c r="AG55" i="2"/>
  <c r="AI55" i="2" s="1"/>
  <c r="AK54" i="2"/>
  <c r="AM54" i="2" s="1"/>
  <c r="AK53" i="2"/>
  <c r="AM53" i="2" s="1"/>
  <c r="AG53" i="2"/>
  <c r="AI53" i="2" s="1"/>
  <c r="AK52" i="2"/>
  <c r="AM52" i="2" s="1"/>
  <c r="AG52" i="2"/>
  <c r="AI52" i="2" s="1"/>
  <c r="AK51" i="2"/>
  <c r="AM51" i="2" s="1"/>
  <c r="AG51" i="2"/>
  <c r="AI51" i="2" s="1"/>
  <c r="AK50" i="2"/>
  <c r="AM50" i="2" s="1"/>
  <c r="AG50" i="2"/>
  <c r="AI50" i="2" s="1"/>
  <c r="AK49" i="2"/>
  <c r="AM49" i="2" s="1"/>
  <c r="AG49" i="2"/>
  <c r="AI49" i="2" s="1"/>
  <c r="AK48" i="2"/>
  <c r="AM48" i="2" s="1"/>
  <c r="AG48" i="2"/>
  <c r="AI48" i="2" s="1"/>
  <c r="AK47" i="2"/>
  <c r="AM47" i="2" s="1"/>
  <c r="AG47" i="2"/>
  <c r="AI47" i="2" s="1"/>
  <c r="AK46" i="2"/>
  <c r="AM46" i="2" s="1"/>
  <c r="AK45" i="2"/>
  <c r="AM45" i="2" s="1"/>
  <c r="AG45" i="2"/>
  <c r="AI45" i="2" s="1"/>
  <c r="AK44" i="2"/>
  <c r="AM44" i="2" s="1"/>
  <c r="AG44" i="2"/>
  <c r="AI44" i="2" s="1"/>
  <c r="AK43" i="2"/>
  <c r="AM43" i="2" s="1"/>
  <c r="AG43" i="2"/>
  <c r="AI43" i="2" s="1"/>
  <c r="AK42" i="2"/>
  <c r="AM42" i="2" s="1"/>
  <c r="AG42" i="2"/>
  <c r="AI42" i="2" s="1"/>
  <c r="AK41" i="2"/>
  <c r="AM41" i="2" s="1"/>
  <c r="AG41" i="2"/>
  <c r="AI41" i="2" s="1"/>
  <c r="AK40" i="2"/>
  <c r="AM40" i="2" s="1"/>
  <c r="AG40" i="2"/>
  <c r="AI40" i="2" s="1"/>
  <c r="AK39" i="2"/>
  <c r="AM39" i="2" s="1"/>
  <c r="AG39" i="2"/>
  <c r="AI39" i="2" s="1"/>
  <c r="AK38" i="2"/>
  <c r="AM38" i="2" s="1"/>
  <c r="AG38" i="2"/>
  <c r="AI38" i="2" s="1"/>
  <c r="AK37" i="2"/>
  <c r="AM37" i="2" s="1"/>
  <c r="AG37" i="2"/>
  <c r="AI37" i="2" s="1"/>
  <c r="AK36" i="2"/>
  <c r="AM36" i="2" s="1"/>
  <c r="AG36" i="2"/>
  <c r="AI36" i="2" s="1"/>
  <c r="AK35" i="2"/>
  <c r="AM35" i="2" s="1"/>
  <c r="AG35" i="2"/>
  <c r="AI35" i="2" s="1"/>
  <c r="AK34" i="2"/>
  <c r="AM34" i="2" s="1"/>
  <c r="AG34" i="2"/>
  <c r="AI34" i="2" s="1"/>
  <c r="AK33" i="2"/>
  <c r="AM33" i="2" s="1"/>
  <c r="AG33" i="2"/>
  <c r="AI33" i="2" s="1"/>
  <c r="AK32" i="2"/>
  <c r="AM32" i="2" s="1"/>
  <c r="AG32" i="2"/>
  <c r="AI32" i="2" s="1"/>
  <c r="AK31" i="2"/>
  <c r="AM31" i="2" s="1"/>
  <c r="AG31" i="2"/>
  <c r="AI31" i="2" s="1"/>
  <c r="AK30" i="2"/>
  <c r="AM30" i="2" s="1"/>
  <c r="AG30" i="2"/>
  <c r="AI30" i="2" s="1"/>
  <c r="AK29" i="2"/>
  <c r="AM29" i="2" s="1"/>
  <c r="AG29" i="2"/>
  <c r="AI29" i="2" s="1"/>
  <c r="AK28" i="2"/>
  <c r="AM28" i="2" s="1"/>
  <c r="AG28" i="2"/>
  <c r="AI28" i="2" s="1"/>
  <c r="AK27" i="2"/>
  <c r="AM27" i="2" s="1"/>
  <c r="AG27" i="2"/>
  <c r="AI27" i="2" s="1"/>
  <c r="AK26" i="2"/>
  <c r="AM26" i="2" s="1"/>
  <c r="AG26" i="2"/>
  <c r="AI26" i="2" s="1"/>
  <c r="AK24" i="2"/>
  <c r="AM24" i="2" s="1"/>
  <c r="AG24" i="2"/>
  <c r="AI24" i="2" s="1"/>
  <c r="AK23" i="2"/>
  <c r="AM23" i="2" s="1"/>
  <c r="AG23" i="2"/>
  <c r="AI23" i="2" s="1"/>
  <c r="AK22" i="2"/>
  <c r="AM22" i="2" s="1"/>
  <c r="AG22" i="2"/>
  <c r="AI22" i="2" s="1"/>
  <c r="AK21" i="2"/>
  <c r="AM21" i="2" s="1"/>
  <c r="AG21" i="2"/>
  <c r="AI21" i="2" s="1"/>
  <c r="AK20" i="2"/>
  <c r="AM20" i="2" s="1"/>
  <c r="AG20" i="2"/>
  <c r="AI20" i="2" s="1"/>
  <c r="AK19" i="2"/>
  <c r="AM19" i="2" s="1"/>
  <c r="AG19" i="2"/>
  <c r="AI19" i="2" s="1"/>
  <c r="AK18" i="2"/>
  <c r="AM18" i="2" s="1"/>
  <c r="AG18" i="2"/>
  <c r="AI18" i="2" s="1"/>
  <c r="AK17" i="2"/>
  <c r="AM17" i="2" s="1"/>
  <c r="AG17" i="2"/>
  <c r="AI17" i="2" s="1"/>
  <c r="AK16" i="2"/>
  <c r="AM16" i="2" s="1"/>
  <c r="AG16" i="2"/>
  <c r="AI16" i="2" s="1"/>
  <c r="AK15" i="2"/>
  <c r="AM15" i="2" s="1"/>
  <c r="AG15" i="2"/>
  <c r="AI15" i="2" s="1"/>
  <c r="AK14" i="2"/>
  <c r="AM14" i="2" s="1"/>
  <c r="AG14" i="2"/>
  <c r="AI14" i="2" s="1"/>
  <c r="AG13" i="2"/>
  <c r="AI13" i="2" s="1"/>
  <c r="AK11" i="2"/>
  <c r="AM11" i="2" s="1"/>
  <c r="AK10" i="2"/>
  <c r="AM10" i="2" s="1"/>
  <c r="AG10" i="2"/>
  <c r="AI10" i="2" s="1"/>
  <c r="AK9" i="2"/>
  <c r="AM9" i="2" s="1"/>
  <c r="AK8" i="2"/>
  <c r="AM8" i="2" s="1"/>
  <c r="AG8" i="2"/>
  <c r="AI8" i="2" s="1"/>
  <c r="AK7" i="2"/>
  <c r="AM7" i="2" s="1"/>
  <c r="AG7" i="2"/>
  <c r="AI7" i="2" s="1"/>
  <c r="AK6" i="2"/>
  <c r="AM6" i="2" s="1"/>
  <c r="AG6" i="2"/>
  <c r="AI6" i="2" s="1"/>
  <c r="AK5" i="2"/>
  <c r="AM5" i="2" s="1"/>
  <c r="AG5" i="2"/>
  <c r="AI5" i="2" s="1"/>
  <c r="AK4" i="2"/>
  <c r="AM4" i="2" s="1"/>
  <c r="AG4" i="2"/>
  <c r="AI4" i="2" s="1"/>
  <c r="AC72" i="2"/>
  <c r="AE72" i="2" s="1"/>
  <c r="AC71" i="2"/>
  <c r="AE71" i="2" s="1"/>
  <c r="AC69" i="2"/>
  <c r="AE69" i="2" s="1"/>
  <c r="AC68" i="2"/>
  <c r="AE68" i="2" s="1"/>
  <c r="AC67" i="2"/>
  <c r="AE67" i="2" s="1"/>
  <c r="AC62" i="2"/>
  <c r="AE62" i="2" s="1"/>
  <c r="AC61" i="2"/>
  <c r="AE61" i="2" s="1"/>
  <c r="AC59" i="2"/>
  <c r="AE59" i="2" s="1"/>
  <c r="AC58" i="2"/>
  <c r="AE58" i="2" s="1"/>
  <c r="AC57" i="2"/>
  <c r="AE57" i="2" s="1"/>
  <c r="AC56" i="2"/>
  <c r="AE56" i="2" s="1"/>
  <c r="AC55" i="2"/>
  <c r="AE55" i="2" s="1"/>
  <c r="AC53" i="2"/>
  <c r="AE53" i="2" s="1"/>
  <c r="AC52" i="2"/>
  <c r="AE52" i="2" s="1"/>
  <c r="AC51" i="2"/>
  <c r="AE51" i="2" s="1"/>
  <c r="AC50" i="2"/>
  <c r="AE50" i="2" s="1"/>
  <c r="AC49" i="2"/>
  <c r="AE49" i="2" s="1"/>
  <c r="AC48" i="2"/>
  <c r="AE48" i="2" s="1"/>
  <c r="AC47" i="2"/>
  <c r="AE47" i="2" s="1"/>
  <c r="AC45" i="2"/>
  <c r="AE45" i="2" s="1"/>
  <c r="AC44" i="2"/>
  <c r="AE44" i="2" s="1"/>
  <c r="AC43" i="2"/>
  <c r="AE43" i="2" s="1"/>
  <c r="AC42" i="2"/>
  <c r="AE42" i="2" s="1"/>
  <c r="AC41" i="2"/>
  <c r="AE41" i="2" s="1"/>
  <c r="AC40" i="2"/>
  <c r="AE40" i="2" s="1"/>
  <c r="AC39" i="2"/>
  <c r="AE39" i="2" s="1"/>
  <c r="AC38" i="2"/>
  <c r="AE38" i="2" s="1"/>
  <c r="AC37" i="2"/>
  <c r="AE37" i="2" s="1"/>
  <c r="AC36" i="2"/>
  <c r="AE36" i="2" s="1"/>
  <c r="AC35" i="2"/>
  <c r="AE35" i="2" s="1"/>
  <c r="AC34" i="2"/>
  <c r="AE34" i="2" s="1"/>
  <c r="AC33" i="2"/>
  <c r="AE33" i="2" s="1"/>
  <c r="AC32" i="2"/>
  <c r="AE32" i="2" s="1"/>
  <c r="AC31" i="2"/>
  <c r="AE31" i="2" s="1"/>
  <c r="AC30" i="2"/>
  <c r="AE30" i="2" s="1"/>
  <c r="AC29" i="2"/>
  <c r="AE29" i="2" s="1"/>
  <c r="AC28" i="2"/>
  <c r="AE28" i="2" s="1"/>
  <c r="AC27" i="2"/>
  <c r="AE27" i="2" s="1"/>
  <c r="AC26" i="2"/>
  <c r="AE26" i="2" s="1"/>
  <c r="AC23" i="2"/>
  <c r="AE23" i="2" s="1"/>
  <c r="AC22" i="2"/>
  <c r="AE22" i="2" s="1"/>
  <c r="AC21" i="2"/>
  <c r="AE21" i="2" s="1"/>
  <c r="AC20" i="2"/>
  <c r="AE20" i="2" s="1"/>
  <c r="AC19" i="2"/>
  <c r="AE19" i="2" s="1"/>
  <c r="AC18" i="2"/>
  <c r="AE18" i="2" s="1"/>
  <c r="AC17" i="2"/>
  <c r="AE17" i="2" s="1"/>
  <c r="AC16" i="2"/>
  <c r="AE16" i="2" s="1"/>
  <c r="AC15" i="2"/>
  <c r="AE15" i="2" s="1"/>
  <c r="AC14" i="2"/>
  <c r="AE14" i="2" s="1"/>
  <c r="AC13" i="2"/>
  <c r="AE13" i="2" s="1"/>
  <c r="AC10" i="2"/>
  <c r="AE10" i="2" s="1"/>
  <c r="AC9" i="2"/>
  <c r="AC8" i="2"/>
  <c r="AE8" i="2" s="1"/>
  <c r="AC7" i="2"/>
  <c r="AE7" i="2" s="1"/>
  <c r="AC6" i="2"/>
  <c r="AE6" i="2" s="1"/>
  <c r="AC5" i="2"/>
  <c r="AE5" i="2" s="1"/>
  <c r="AC4" i="2"/>
  <c r="AE4" i="2" s="1"/>
  <c r="Y72" i="2"/>
  <c r="AA72" i="2" s="1"/>
  <c r="Y71" i="2"/>
  <c r="AA71" i="2" s="1"/>
  <c r="Y70" i="2"/>
  <c r="Y69" i="2"/>
  <c r="AA69" i="2" s="1"/>
  <c r="Y68" i="2"/>
  <c r="AA68" i="2" s="1"/>
  <c r="Y67" i="2"/>
  <c r="AA67" i="2" s="1"/>
  <c r="Y62" i="2"/>
  <c r="AA62" i="2" s="1"/>
  <c r="Y61" i="2"/>
  <c r="AA61" i="2" s="1"/>
  <c r="Y59" i="2"/>
  <c r="AA59" i="2" s="1"/>
  <c r="Y58" i="2"/>
  <c r="AA58" i="2" s="1"/>
  <c r="Y57" i="2"/>
  <c r="AA57" i="2" s="1"/>
  <c r="Y56" i="2"/>
  <c r="AA56" i="2" s="1"/>
  <c r="Y55" i="2"/>
  <c r="AA55" i="2" s="1"/>
  <c r="Y53" i="2"/>
  <c r="AA53" i="2" s="1"/>
  <c r="Y52" i="2"/>
  <c r="AA52" i="2" s="1"/>
  <c r="Y51" i="2"/>
  <c r="AA51" i="2" s="1"/>
  <c r="Y50" i="2"/>
  <c r="AA50" i="2" s="1"/>
  <c r="Y49" i="2"/>
  <c r="AA49" i="2" s="1"/>
  <c r="Y48" i="2"/>
  <c r="AA48" i="2" s="1"/>
  <c r="Y47" i="2"/>
  <c r="AA47" i="2" s="1"/>
  <c r="Y46" i="2"/>
  <c r="Y45" i="2"/>
  <c r="AA45" i="2" s="1"/>
  <c r="Y44" i="2"/>
  <c r="AA44" i="2" s="1"/>
  <c r="Y43" i="2"/>
  <c r="AA43" i="2" s="1"/>
  <c r="Y42" i="2"/>
  <c r="AA42" i="2" s="1"/>
  <c r="Y41" i="2"/>
  <c r="AA41" i="2" s="1"/>
  <c r="Y40" i="2"/>
  <c r="AA40" i="2" s="1"/>
  <c r="Y39" i="2"/>
  <c r="AA39" i="2" s="1"/>
  <c r="Y38" i="2"/>
  <c r="AA38" i="2" s="1"/>
  <c r="Y37" i="2"/>
  <c r="AA37" i="2" s="1"/>
  <c r="Y36" i="2"/>
  <c r="AA36" i="2" s="1"/>
  <c r="Y35" i="2"/>
  <c r="AA35" i="2" s="1"/>
  <c r="Y34" i="2"/>
  <c r="AA34" i="2" s="1"/>
  <c r="Y33" i="2"/>
  <c r="AA33" i="2" s="1"/>
  <c r="Y32" i="2"/>
  <c r="AA32" i="2" s="1"/>
  <c r="Y31" i="2"/>
  <c r="AA31" i="2" s="1"/>
  <c r="Y30" i="2"/>
  <c r="AA30" i="2" s="1"/>
  <c r="Y29" i="2"/>
  <c r="AA29" i="2" s="1"/>
  <c r="Y28" i="2"/>
  <c r="AA28" i="2" s="1"/>
  <c r="Y27" i="2"/>
  <c r="AA27" i="2" s="1"/>
  <c r="Y26" i="2"/>
  <c r="AA26" i="2" s="1"/>
  <c r="Y24" i="2"/>
  <c r="Y23" i="2"/>
  <c r="AA23" i="2" s="1"/>
  <c r="Y21" i="2"/>
  <c r="AA21" i="2" s="1"/>
  <c r="Y20" i="2"/>
  <c r="AA20" i="2" s="1"/>
  <c r="Y19" i="2"/>
  <c r="AA19" i="2" s="1"/>
  <c r="Y18" i="2"/>
  <c r="AA18" i="2" s="1"/>
  <c r="Y17" i="2"/>
  <c r="AA17" i="2" s="1"/>
  <c r="Y16" i="2"/>
  <c r="AA16" i="2" s="1"/>
  <c r="Y15" i="2"/>
  <c r="AA15" i="2" s="1"/>
  <c r="Y14" i="2"/>
  <c r="AA14" i="2" s="1"/>
  <c r="Y13" i="2"/>
  <c r="AA13" i="2" s="1"/>
  <c r="Y11" i="2"/>
  <c r="Y10" i="2"/>
  <c r="AA10" i="2" s="1"/>
  <c r="Y8" i="2"/>
  <c r="AA8" i="2" s="1"/>
  <c r="Y7" i="2"/>
  <c r="AA7" i="2" s="1"/>
  <c r="Y6" i="2"/>
  <c r="AA6" i="2" s="1"/>
  <c r="Y5" i="2"/>
  <c r="AA5" i="2" s="1"/>
  <c r="Y4" i="2"/>
  <c r="AA4" i="2" s="1"/>
  <c r="CG39" i="5"/>
  <c r="CC39" i="5"/>
  <c r="CE39" i="5" s="1"/>
  <c r="BY39" i="5"/>
  <c r="CA39" i="5" s="1"/>
  <c r="BU39" i="5"/>
  <c r="BW39" i="5" s="1"/>
  <c r="BQ39" i="5"/>
  <c r="BS39" i="5" s="1"/>
  <c r="BM39" i="5"/>
  <c r="BO39" i="5" s="1"/>
  <c r="BI39" i="5"/>
  <c r="BK39" i="5" s="1"/>
  <c r="BE39" i="5"/>
  <c r="BG39" i="5" s="1"/>
  <c r="CG38" i="5"/>
  <c r="CC38" i="5"/>
  <c r="CE38" i="5" s="1"/>
  <c r="BY38" i="5"/>
  <c r="CA38" i="5" s="1"/>
  <c r="BU38" i="5"/>
  <c r="BW38" i="5" s="1"/>
  <c r="BQ38" i="5"/>
  <c r="BS38" i="5" s="1"/>
  <c r="BM38" i="5"/>
  <c r="BO38" i="5" s="1"/>
  <c r="BI38" i="5"/>
  <c r="BK38" i="5" s="1"/>
  <c r="BE38" i="5"/>
  <c r="BG38" i="5" s="1"/>
  <c r="CG37" i="5"/>
  <c r="CC37" i="5"/>
  <c r="CE37" i="5" s="1"/>
  <c r="BY37" i="5"/>
  <c r="CA37" i="5" s="1"/>
  <c r="BU37" i="5"/>
  <c r="BW37" i="5" s="1"/>
  <c r="BQ37" i="5"/>
  <c r="BS37" i="5" s="1"/>
  <c r="BM37" i="5"/>
  <c r="BO37" i="5" s="1"/>
  <c r="BI37" i="5"/>
  <c r="BK37" i="5" s="1"/>
  <c r="BE37" i="5"/>
  <c r="BG37" i="5" s="1"/>
  <c r="CG36" i="5"/>
  <c r="CC36" i="5"/>
  <c r="CE36" i="5" s="1"/>
  <c r="BY36" i="5"/>
  <c r="CA36" i="5" s="1"/>
  <c r="BU36" i="5"/>
  <c r="BW36" i="5" s="1"/>
  <c r="BQ36" i="5"/>
  <c r="BS36" i="5" s="1"/>
  <c r="BM36" i="5"/>
  <c r="BO36" i="5" s="1"/>
  <c r="BI36" i="5"/>
  <c r="BK36" i="5" s="1"/>
  <c r="BE36" i="5"/>
  <c r="BG36" i="5" s="1"/>
  <c r="CG35" i="5"/>
  <c r="CC35" i="5"/>
  <c r="CE35" i="5" s="1"/>
  <c r="BY35" i="5"/>
  <c r="CA35" i="5" s="1"/>
  <c r="BU35" i="5"/>
  <c r="BW35" i="5" s="1"/>
  <c r="BQ35" i="5"/>
  <c r="BS35" i="5" s="1"/>
  <c r="BM35" i="5"/>
  <c r="BO35" i="5" s="1"/>
  <c r="BI35" i="5"/>
  <c r="BK35" i="5" s="1"/>
  <c r="BE35" i="5"/>
  <c r="BG35" i="5" s="1"/>
  <c r="CG34" i="5"/>
  <c r="CC34" i="5"/>
  <c r="CE34" i="5" s="1"/>
  <c r="BY34" i="5"/>
  <c r="CA34" i="5" s="1"/>
  <c r="BU34" i="5"/>
  <c r="BW34" i="5" s="1"/>
  <c r="BQ34" i="5"/>
  <c r="BS34" i="5" s="1"/>
  <c r="BM34" i="5"/>
  <c r="BO34" i="5" s="1"/>
  <c r="BI34" i="5"/>
  <c r="BK34" i="5" s="1"/>
  <c r="BE34" i="5"/>
  <c r="BG34" i="5" s="1"/>
  <c r="CG33" i="5"/>
  <c r="CC33" i="5"/>
  <c r="CE33" i="5" s="1"/>
  <c r="BY33" i="5"/>
  <c r="CA33" i="5" s="1"/>
  <c r="BU33" i="5"/>
  <c r="BW33" i="5" s="1"/>
  <c r="BQ33" i="5"/>
  <c r="BS33" i="5" s="1"/>
  <c r="BM33" i="5"/>
  <c r="BO33" i="5" s="1"/>
  <c r="BI33" i="5"/>
  <c r="BK33" i="5" s="1"/>
  <c r="BE33" i="5"/>
  <c r="BG33" i="5" s="1"/>
  <c r="CG32" i="5"/>
  <c r="CC32" i="5"/>
  <c r="CE32" i="5" s="1"/>
  <c r="BY32" i="5"/>
  <c r="CA32" i="5" s="1"/>
  <c r="BU32" i="5"/>
  <c r="BW32" i="5" s="1"/>
  <c r="BQ32" i="5"/>
  <c r="BS32" i="5" s="1"/>
  <c r="BM32" i="5"/>
  <c r="BO32" i="5" s="1"/>
  <c r="BI32" i="5"/>
  <c r="BK32" i="5" s="1"/>
  <c r="BE32" i="5"/>
  <c r="BG32" i="5" s="1"/>
  <c r="CG31" i="5"/>
  <c r="CC31" i="5"/>
  <c r="CE31" i="5" s="1"/>
  <c r="BY31" i="5"/>
  <c r="CA31" i="5" s="1"/>
  <c r="BU31" i="5"/>
  <c r="BW31" i="5" s="1"/>
  <c r="BQ31" i="5"/>
  <c r="BS31" i="5" s="1"/>
  <c r="BM31" i="5"/>
  <c r="BO31" i="5" s="1"/>
  <c r="BI31" i="5"/>
  <c r="BK31" i="5" s="1"/>
  <c r="BE31" i="5"/>
  <c r="BG31" i="5" s="1"/>
  <c r="CG30" i="5"/>
  <c r="CC30" i="5"/>
  <c r="CE30" i="5" s="1"/>
  <c r="BY30" i="5"/>
  <c r="CA30" i="5" s="1"/>
  <c r="BU30" i="5"/>
  <c r="BW30" i="5" s="1"/>
  <c r="BQ30" i="5"/>
  <c r="BS30" i="5" s="1"/>
  <c r="BM30" i="5"/>
  <c r="BO30" i="5" s="1"/>
  <c r="BI30" i="5"/>
  <c r="BK30" i="5" s="1"/>
  <c r="BE30" i="5"/>
  <c r="BG30" i="5" s="1"/>
  <c r="CG27" i="5"/>
  <c r="CC27" i="5"/>
  <c r="CE27" i="5" s="1"/>
  <c r="BY27" i="5"/>
  <c r="CA27" i="5" s="1"/>
  <c r="BU27" i="5"/>
  <c r="BW27" i="5" s="1"/>
  <c r="BQ27" i="5"/>
  <c r="BS27" i="5" s="1"/>
  <c r="BM27" i="5"/>
  <c r="BO27" i="5" s="1"/>
  <c r="BI27" i="5"/>
  <c r="BK27" i="5" s="1"/>
  <c r="BE27" i="5"/>
  <c r="BG27" i="5" s="1"/>
  <c r="CG26" i="5"/>
  <c r="CC26" i="5"/>
  <c r="CE26" i="5" s="1"/>
  <c r="BY26" i="5"/>
  <c r="CA26" i="5" s="1"/>
  <c r="BU26" i="5"/>
  <c r="BW26" i="5" s="1"/>
  <c r="BQ26" i="5"/>
  <c r="BS26" i="5" s="1"/>
  <c r="BM26" i="5"/>
  <c r="BO26" i="5" s="1"/>
  <c r="BI26" i="5"/>
  <c r="BK26" i="5" s="1"/>
  <c r="BE26" i="5"/>
  <c r="BG26" i="5" s="1"/>
  <c r="CG25" i="5"/>
  <c r="CC25" i="5"/>
  <c r="CE25" i="5" s="1"/>
  <c r="BY25" i="5"/>
  <c r="CA25" i="5" s="1"/>
  <c r="BU25" i="5"/>
  <c r="BW25" i="5" s="1"/>
  <c r="BQ25" i="5"/>
  <c r="BS25" i="5" s="1"/>
  <c r="BM25" i="5"/>
  <c r="BO25" i="5" s="1"/>
  <c r="BI25" i="5"/>
  <c r="BK25" i="5" s="1"/>
  <c r="BE25" i="5"/>
  <c r="BG25" i="5" s="1"/>
  <c r="CG24" i="5"/>
  <c r="CC24" i="5"/>
  <c r="CE24" i="5" s="1"/>
  <c r="BY24" i="5"/>
  <c r="CA24" i="5" s="1"/>
  <c r="BU24" i="5"/>
  <c r="BW24" i="5" s="1"/>
  <c r="BQ24" i="5"/>
  <c r="BS24" i="5" s="1"/>
  <c r="BM24" i="5"/>
  <c r="BO24" i="5" s="1"/>
  <c r="BI24" i="5"/>
  <c r="BK24" i="5" s="1"/>
  <c r="BE24" i="5"/>
  <c r="BG24" i="5" s="1"/>
  <c r="CG23" i="5"/>
  <c r="CC23" i="5"/>
  <c r="CE23" i="5" s="1"/>
  <c r="BY23" i="5"/>
  <c r="CA23" i="5" s="1"/>
  <c r="BU23" i="5"/>
  <c r="BW23" i="5" s="1"/>
  <c r="BQ23" i="5"/>
  <c r="BS23" i="5" s="1"/>
  <c r="BM23" i="5"/>
  <c r="BO23" i="5" s="1"/>
  <c r="BI23" i="5"/>
  <c r="BK23" i="5" s="1"/>
  <c r="BE23" i="5"/>
  <c r="BG23" i="5" s="1"/>
  <c r="CG22" i="5"/>
  <c r="CC22" i="5"/>
  <c r="CE22" i="5" s="1"/>
  <c r="BY22" i="5"/>
  <c r="CA22" i="5" s="1"/>
  <c r="BU22" i="5"/>
  <c r="BW22" i="5" s="1"/>
  <c r="BQ22" i="5"/>
  <c r="BS22" i="5" s="1"/>
  <c r="BM22" i="5"/>
  <c r="BO22" i="5" s="1"/>
  <c r="BI22" i="5"/>
  <c r="BK22" i="5" s="1"/>
  <c r="BE22" i="5"/>
  <c r="BG22" i="5" s="1"/>
  <c r="CG21" i="5"/>
  <c r="CC21" i="5"/>
  <c r="CE21" i="5" s="1"/>
  <c r="BY21" i="5"/>
  <c r="CA21" i="5" s="1"/>
  <c r="BU21" i="5"/>
  <c r="BW21" i="5" s="1"/>
  <c r="BQ21" i="5"/>
  <c r="BS21" i="5" s="1"/>
  <c r="BM21" i="5"/>
  <c r="BO21" i="5" s="1"/>
  <c r="BI21" i="5"/>
  <c r="BK21" i="5" s="1"/>
  <c r="BE21" i="5"/>
  <c r="BG21" i="5" s="1"/>
  <c r="CG20" i="5"/>
  <c r="CC20" i="5"/>
  <c r="CE20" i="5" s="1"/>
  <c r="BY20" i="5"/>
  <c r="CA20" i="5" s="1"/>
  <c r="BU20" i="5"/>
  <c r="BW20" i="5" s="1"/>
  <c r="BQ20" i="5"/>
  <c r="BS20" i="5" s="1"/>
  <c r="BM20" i="5"/>
  <c r="BO20" i="5" s="1"/>
  <c r="BI20" i="5"/>
  <c r="BK20" i="5" s="1"/>
  <c r="BE20" i="5"/>
  <c r="BG20" i="5" s="1"/>
  <c r="CG19" i="5"/>
  <c r="CC19" i="5"/>
  <c r="CE19" i="5" s="1"/>
  <c r="BY19" i="5"/>
  <c r="CA19" i="5" s="1"/>
  <c r="BU19" i="5"/>
  <c r="BW19" i="5" s="1"/>
  <c r="BQ19" i="5"/>
  <c r="BS19" i="5" s="1"/>
  <c r="BM19" i="5"/>
  <c r="BO19" i="5" s="1"/>
  <c r="BI19" i="5"/>
  <c r="BK19" i="5" s="1"/>
  <c r="BE19" i="5"/>
  <c r="BG19" i="5" s="1"/>
  <c r="CG18" i="5"/>
  <c r="CC18" i="5"/>
  <c r="CE18" i="5" s="1"/>
  <c r="BY18" i="5"/>
  <c r="CA18" i="5" s="1"/>
  <c r="BU18" i="5"/>
  <c r="BW18" i="5" s="1"/>
  <c r="BQ18" i="5"/>
  <c r="BS18" i="5" s="1"/>
  <c r="BM18" i="5"/>
  <c r="BO18" i="5" s="1"/>
  <c r="BI18" i="5"/>
  <c r="BK18" i="5" s="1"/>
  <c r="BE18" i="5"/>
  <c r="BG18" i="5" s="1"/>
  <c r="CG17" i="5"/>
  <c r="CC17" i="5"/>
  <c r="CE17" i="5" s="1"/>
  <c r="BY17" i="5"/>
  <c r="CA17" i="5" s="1"/>
  <c r="BU17" i="5"/>
  <c r="BW17" i="5" s="1"/>
  <c r="BQ17" i="5"/>
  <c r="BS17" i="5" s="1"/>
  <c r="BM17" i="5"/>
  <c r="BO17" i="5" s="1"/>
  <c r="BI17" i="5"/>
  <c r="BK17" i="5" s="1"/>
  <c r="BE17" i="5"/>
  <c r="BG17" i="5" s="1"/>
  <c r="CG16" i="5"/>
  <c r="CC16" i="5"/>
  <c r="CE16" i="5" s="1"/>
  <c r="BY16" i="5"/>
  <c r="CA16" i="5" s="1"/>
  <c r="BU16" i="5"/>
  <c r="BW16" i="5" s="1"/>
  <c r="BQ16" i="5"/>
  <c r="BS16" i="5" s="1"/>
  <c r="BM16" i="5"/>
  <c r="BO16" i="5" s="1"/>
  <c r="BI16" i="5"/>
  <c r="BK16" i="5" s="1"/>
  <c r="BE16" i="5"/>
  <c r="BG16" i="5" s="1"/>
  <c r="CG15" i="5"/>
  <c r="CC15" i="5"/>
  <c r="CE15" i="5" s="1"/>
  <c r="BY15" i="5"/>
  <c r="CA15" i="5" s="1"/>
  <c r="BU15" i="5"/>
  <c r="BW15" i="5" s="1"/>
  <c r="BQ15" i="5"/>
  <c r="BS15" i="5" s="1"/>
  <c r="BM15" i="5"/>
  <c r="BO15" i="5" s="1"/>
  <c r="BI15" i="5"/>
  <c r="BK15" i="5" s="1"/>
  <c r="BE15" i="5"/>
  <c r="BG15" i="5" s="1"/>
  <c r="CG14" i="5"/>
  <c r="CC14" i="5"/>
  <c r="CE14" i="5" s="1"/>
  <c r="BY14" i="5"/>
  <c r="CA14" i="5" s="1"/>
  <c r="BU14" i="5"/>
  <c r="BW14" i="5" s="1"/>
  <c r="BQ14" i="5"/>
  <c r="BS14" i="5" s="1"/>
  <c r="BM14" i="5"/>
  <c r="BO14" i="5" s="1"/>
  <c r="BI14" i="5"/>
  <c r="BK14" i="5" s="1"/>
  <c r="BE14" i="5"/>
  <c r="BG14" i="5" s="1"/>
  <c r="CG13" i="5"/>
  <c r="CC13" i="5"/>
  <c r="CE13" i="5" s="1"/>
  <c r="BY13" i="5"/>
  <c r="CA13" i="5" s="1"/>
  <c r="BU13" i="5"/>
  <c r="BW13" i="5" s="1"/>
  <c r="BQ13" i="5"/>
  <c r="BS13" i="5" s="1"/>
  <c r="BM13" i="5"/>
  <c r="BO13" i="5" s="1"/>
  <c r="BI13" i="5"/>
  <c r="BK13" i="5" s="1"/>
  <c r="BE13" i="5"/>
  <c r="BG13" i="5" s="1"/>
  <c r="CG12" i="5"/>
  <c r="CC12" i="5"/>
  <c r="CE12" i="5" s="1"/>
  <c r="BY12" i="5"/>
  <c r="CA12" i="5" s="1"/>
  <c r="BU12" i="5"/>
  <c r="BW12" i="5" s="1"/>
  <c r="BQ12" i="5"/>
  <c r="BS12" i="5" s="1"/>
  <c r="BM12" i="5"/>
  <c r="BO12" i="5" s="1"/>
  <c r="BI12" i="5"/>
  <c r="BK12" i="5" s="1"/>
  <c r="BE12" i="5"/>
  <c r="BG12" i="5" s="1"/>
  <c r="CG10" i="5"/>
  <c r="CC10" i="5"/>
  <c r="CE10" i="5" s="1"/>
  <c r="BY10" i="5"/>
  <c r="CA10" i="5" s="1"/>
  <c r="BU10" i="5"/>
  <c r="BW10" i="5" s="1"/>
  <c r="BQ10" i="5"/>
  <c r="BS10" i="5" s="1"/>
  <c r="BM10" i="5"/>
  <c r="BO10" i="5" s="1"/>
  <c r="BI10" i="5"/>
  <c r="BK10" i="5" s="1"/>
  <c r="BE10" i="5"/>
  <c r="BG10" i="5" s="1"/>
  <c r="CG9" i="5"/>
  <c r="CC9" i="5"/>
  <c r="CE9" i="5" s="1"/>
  <c r="BY9" i="5"/>
  <c r="CA9" i="5" s="1"/>
  <c r="BU9" i="5"/>
  <c r="BW9" i="5" s="1"/>
  <c r="BQ9" i="5"/>
  <c r="BS9" i="5" s="1"/>
  <c r="BM9" i="5"/>
  <c r="BO9" i="5" s="1"/>
  <c r="BI9" i="5"/>
  <c r="BK9" i="5" s="1"/>
  <c r="BE9" i="5"/>
  <c r="BG9" i="5" s="1"/>
  <c r="CG8" i="5"/>
  <c r="CC8" i="5"/>
  <c r="CE8" i="5" s="1"/>
  <c r="BY8" i="5"/>
  <c r="CA8" i="5" s="1"/>
  <c r="BU8" i="5"/>
  <c r="BW8" i="5" s="1"/>
  <c r="BQ8" i="5"/>
  <c r="BS8" i="5" s="1"/>
  <c r="BM8" i="5"/>
  <c r="BO8" i="5" s="1"/>
  <c r="BI8" i="5"/>
  <c r="BK8" i="5" s="1"/>
  <c r="BE8" i="5"/>
  <c r="BG8" i="5" s="1"/>
  <c r="CG7" i="5"/>
  <c r="CC7" i="5"/>
  <c r="CE7" i="5" s="1"/>
  <c r="BY7" i="5"/>
  <c r="CA7" i="5" s="1"/>
  <c r="BU7" i="5"/>
  <c r="BW7" i="5" s="1"/>
  <c r="BQ7" i="5"/>
  <c r="BS7" i="5" s="1"/>
  <c r="BM7" i="5"/>
  <c r="BO7" i="5" s="1"/>
  <c r="BI7" i="5"/>
  <c r="BK7" i="5" s="1"/>
  <c r="BE7" i="5"/>
  <c r="BG7" i="5" s="1"/>
  <c r="CG6" i="5"/>
  <c r="CC6" i="5"/>
  <c r="CE6" i="5" s="1"/>
  <c r="BY6" i="5"/>
  <c r="CA6" i="5" s="1"/>
  <c r="BU6" i="5"/>
  <c r="BW6" i="5" s="1"/>
  <c r="BQ6" i="5"/>
  <c r="BS6" i="5" s="1"/>
  <c r="BM6" i="5"/>
  <c r="BO6" i="5" s="1"/>
  <c r="BI6" i="5"/>
  <c r="BK6" i="5" s="1"/>
  <c r="BE6" i="5"/>
  <c r="BG6" i="5" s="1"/>
  <c r="CG5" i="5"/>
  <c r="CC5" i="5"/>
  <c r="CE5" i="5" s="1"/>
  <c r="BY5" i="5"/>
  <c r="CA5" i="5" s="1"/>
  <c r="BU5" i="5"/>
  <c r="BW5" i="5" s="1"/>
  <c r="BQ5" i="5"/>
  <c r="BS5" i="5" s="1"/>
  <c r="BM5" i="5"/>
  <c r="BO5" i="5" s="1"/>
  <c r="BI5" i="5"/>
  <c r="BK5" i="5" s="1"/>
  <c r="BE5" i="5"/>
  <c r="BG5" i="5" s="1"/>
  <c r="CG4" i="5"/>
  <c r="CC4" i="5"/>
  <c r="CE4" i="5" s="1"/>
  <c r="BY4" i="5"/>
  <c r="CA4" i="5" s="1"/>
  <c r="BU4" i="5"/>
  <c r="BW4" i="5" s="1"/>
  <c r="BQ4" i="5"/>
  <c r="BS4" i="5" s="1"/>
  <c r="BM4" i="5"/>
  <c r="BO4" i="5" s="1"/>
  <c r="BI4" i="5"/>
  <c r="BK4" i="5" s="1"/>
  <c r="BE4" i="5"/>
  <c r="BG4" i="5" s="1"/>
  <c r="BA39" i="5"/>
  <c r="BC39" i="5" s="1"/>
  <c r="AW39" i="5"/>
  <c r="AY39" i="5" s="1"/>
  <c r="AS39" i="5"/>
  <c r="AU39" i="5" s="1"/>
  <c r="AO39" i="5"/>
  <c r="AQ39" i="5" s="1"/>
  <c r="BA38" i="5"/>
  <c r="BC38" i="5" s="1"/>
  <c r="AW38" i="5"/>
  <c r="AY38" i="5" s="1"/>
  <c r="AS38" i="5"/>
  <c r="AU38" i="5" s="1"/>
  <c r="AO38" i="5"/>
  <c r="AQ38" i="5" s="1"/>
  <c r="BA37" i="5"/>
  <c r="BC37" i="5" s="1"/>
  <c r="AW37" i="5"/>
  <c r="AY37" i="5" s="1"/>
  <c r="AS37" i="5"/>
  <c r="AU37" i="5" s="1"/>
  <c r="AO37" i="5"/>
  <c r="AQ37" i="5" s="1"/>
  <c r="BA36" i="5"/>
  <c r="BC36" i="5" s="1"/>
  <c r="AW36" i="5"/>
  <c r="AY36" i="5" s="1"/>
  <c r="AS36" i="5"/>
  <c r="AU36" i="5" s="1"/>
  <c r="AO36" i="5"/>
  <c r="AQ36" i="5" s="1"/>
  <c r="BA35" i="5"/>
  <c r="BC35" i="5" s="1"/>
  <c r="AW35" i="5"/>
  <c r="AY35" i="5" s="1"/>
  <c r="AS35" i="5"/>
  <c r="AU35" i="5" s="1"/>
  <c r="AO35" i="5"/>
  <c r="AQ35" i="5" s="1"/>
  <c r="BA34" i="5"/>
  <c r="BC34" i="5" s="1"/>
  <c r="AW34" i="5"/>
  <c r="AY34" i="5" s="1"/>
  <c r="AS34" i="5"/>
  <c r="AU34" i="5" s="1"/>
  <c r="AO34" i="5"/>
  <c r="AQ34" i="5" s="1"/>
  <c r="BA33" i="5"/>
  <c r="BC33" i="5" s="1"/>
  <c r="AW33" i="5"/>
  <c r="AY33" i="5" s="1"/>
  <c r="AS33" i="5"/>
  <c r="AU33" i="5" s="1"/>
  <c r="AO33" i="5"/>
  <c r="AQ33" i="5" s="1"/>
  <c r="BA32" i="5"/>
  <c r="BC32" i="5" s="1"/>
  <c r="AW32" i="5"/>
  <c r="AY32" i="5" s="1"/>
  <c r="AS32" i="5"/>
  <c r="AU32" i="5" s="1"/>
  <c r="AO32" i="5"/>
  <c r="AQ32" i="5" s="1"/>
  <c r="BA31" i="5"/>
  <c r="BC31" i="5" s="1"/>
  <c r="AW31" i="5"/>
  <c r="AY31" i="5" s="1"/>
  <c r="AS31" i="5"/>
  <c r="AU31" i="5" s="1"/>
  <c r="AO31" i="5"/>
  <c r="AQ31" i="5" s="1"/>
  <c r="BA30" i="5"/>
  <c r="BC30" i="5" s="1"/>
  <c r="AW30" i="5"/>
  <c r="AY30" i="5" s="1"/>
  <c r="AS30" i="5"/>
  <c r="AU30" i="5" s="1"/>
  <c r="AO30" i="5"/>
  <c r="AQ30" i="5" s="1"/>
  <c r="BA27" i="5"/>
  <c r="BC27" i="5" s="1"/>
  <c r="AW27" i="5"/>
  <c r="AY27" i="5" s="1"/>
  <c r="AS27" i="5"/>
  <c r="AU27" i="5" s="1"/>
  <c r="AO27" i="5"/>
  <c r="AQ27" i="5" s="1"/>
  <c r="BA26" i="5"/>
  <c r="BC26" i="5" s="1"/>
  <c r="AW26" i="5"/>
  <c r="AY26" i="5" s="1"/>
  <c r="AS26" i="5"/>
  <c r="AU26" i="5" s="1"/>
  <c r="AO26" i="5"/>
  <c r="AQ26" i="5" s="1"/>
  <c r="BA25" i="5"/>
  <c r="BC25" i="5" s="1"/>
  <c r="AW25" i="5"/>
  <c r="AY25" i="5" s="1"/>
  <c r="AS25" i="5"/>
  <c r="AU25" i="5" s="1"/>
  <c r="AO25" i="5"/>
  <c r="AQ25" i="5" s="1"/>
  <c r="BA24" i="5"/>
  <c r="BC24" i="5" s="1"/>
  <c r="AW24" i="5"/>
  <c r="AY24" i="5" s="1"/>
  <c r="AS24" i="5"/>
  <c r="AU24" i="5" s="1"/>
  <c r="AO24" i="5"/>
  <c r="AQ24" i="5" s="1"/>
  <c r="BA23" i="5"/>
  <c r="BC23" i="5" s="1"/>
  <c r="AW23" i="5"/>
  <c r="AY23" i="5" s="1"/>
  <c r="AS23" i="5"/>
  <c r="AU23" i="5" s="1"/>
  <c r="AO23" i="5"/>
  <c r="AQ23" i="5" s="1"/>
  <c r="BA22" i="5"/>
  <c r="BC22" i="5" s="1"/>
  <c r="AW22" i="5"/>
  <c r="AY22" i="5" s="1"/>
  <c r="AS22" i="5"/>
  <c r="AU22" i="5" s="1"/>
  <c r="AO22" i="5"/>
  <c r="AQ22" i="5" s="1"/>
  <c r="BA21" i="5"/>
  <c r="BC21" i="5" s="1"/>
  <c r="AW21" i="5"/>
  <c r="AY21" i="5" s="1"/>
  <c r="AS21" i="5"/>
  <c r="AU21" i="5" s="1"/>
  <c r="AO21" i="5"/>
  <c r="AQ21" i="5" s="1"/>
  <c r="BA20" i="5"/>
  <c r="BC20" i="5" s="1"/>
  <c r="AW20" i="5"/>
  <c r="AY20" i="5" s="1"/>
  <c r="AS20" i="5"/>
  <c r="AU20" i="5" s="1"/>
  <c r="AO20" i="5"/>
  <c r="AQ20" i="5" s="1"/>
  <c r="BA19" i="5"/>
  <c r="BC19" i="5" s="1"/>
  <c r="AW19" i="5"/>
  <c r="AY19" i="5" s="1"/>
  <c r="AS19" i="5"/>
  <c r="AU19" i="5" s="1"/>
  <c r="AO19" i="5"/>
  <c r="AQ19" i="5" s="1"/>
  <c r="BA18" i="5"/>
  <c r="BC18" i="5" s="1"/>
  <c r="AW18" i="5"/>
  <c r="AY18" i="5" s="1"/>
  <c r="AS18" i="5"/>
  <c r="AU18" i="5" s="1"/>
  <c r="AO18" i="5"/>
  <c r="AQ18" i="5" s="1"/>
  <c r="BA17" i="5"/>
  <c r="BC17" i="5" s="1"/>
  <c r="AW17" i="5"/>
  <c r="AY17" i="5" s="1"/>
  <c r="AS17" i="5"/>
  <c r="AU17" i="5" s="1"/>
  <c r="AO17" i="5"/>
  <c r="AQ17" i="5" s="1"/>
  <c r="BA16" i="5"/>
  <c r="BC16" i="5" s="1"/>
  <c r="AW16" i="5"/>
  <c r="AY16" i="5" s="1"/>
  <c r="AS16" i="5"/>
  <c r="AU16" i="5" s="1"/>
  <c r="AO16" i="5"/>
  <c r="AQ16" i="5" s="1"/>
  <c r="BA15" i="5"/>
  <c r="BC15" i="5" s="1"/>
  <c r="AW15" i="5"/>
  <c r="AY15" i="5" s="1"/>
  <c r="AS15" i="5"/>
  <c r="AU15" i="5" s="1"/>
  <c r="AO15" i="5"/>
  <c r="AQ15" i="5" s="1"/>
  <c r="BA14" i="5"/>
  <c r="BC14" i="5" s="1"/>
  <c r="AW14" i="5"/>
  <c r="AY14" i="5" s="1"/>
  <c r="AS14" i="5"/>
  <c r="AU14" i="5" s="1"/>
  <c r="AO14" i="5"/>
  <c r="AQ14" i="5" s="1"/>
  <c r="BA13" i="5"/>
  <c r="BC13" i="5" s="1"/>
  <c r="AW13" i="5"/>
  <c r="AY13" i="5" s="1"/>
  <c r="AS13" i="5"/>
  <c r="AU13" i="5" s="1"/>
  <c r="AO13" i="5"/>
  <c r="AQ13" i="5" s="1"/>
  <c r="BA12" i="5"/>
  <c r="BC12" i="5" s="1"/>
  <c r="AW12" i="5"/>
  <c r="AY12" i="5" s="1"/>
  <c r="AS12" i="5"/>
  <c r="AU12" i="5" s="1"/>
  <c r="AO12" i="5"/>
  <c r="AQ12" i="5" s="1"/>
  <c r="BA10" i="5"/>
  <c r="BC10" i="5" s="1"/>
  <c r="AW10" i="5"/>
  <c r="AY10" i="5" s="1"/>
  <c r="AS10" i="5"/>
  <c r="AU10" i="5" s="1"/>
  <c r="AO10" i="5"/>
  <c r="AQ10" i="5" s="1"/>
  <c r="BA9" i="5"/>
  <c r="BC9" i="5" s="1"/>
  <c r="AW9" i="5"/>
  <c r="AY9" i="5" s="1"/>
  <c r="AS9" i="5"/>
  <c r="AU9" i="5" s="1"/>
  <c r="AO9" i="5"/>
  <c r="AQ9" i="5" s="1"/>
  <c r="BA8" i="5"/>
  <c r="BC8" i="5" s="1"/>
  <c r="AW8" i="5"/>
  <c r="AY8" i="5" s="1"/>
  <c r="AS8" i="5"/>
  <c r="AU8" i="5" s="1"/>
  <c r="AO8" i="5"/>
  <c r="AQ8" i="5" s="1"/>
  <c r="BA7" i="5"/>
  <c r="BC7" i="5" s="1"/>
  <c r="AW7" i="5"/>
  <c r="AY7" i="5" s="1"/>
  <c r="AS7" i="5"/>
  <c r="AU7" i="5" s="1"/>
  <c r="AO7" i="5"/>
  <c r="AQ7" i="5" s="1"/>
  <c r="BA6" i="5"/>
  <c r="BC6" i="5" s="1"/>
  <c r="AW6" i="5"/>
  <c r="AY6" i="5" s="1"/>
  <c r="AS6" i="5"/>
  <c r="AU6" i="5" s="1"/>
  <c r="AO6" i="5"/>
  <c r="AQ6" i="5" s="1"/>
  <c r="BA5" i="5"/>
  <c r="BC5" i="5" s="1"/>
  <c r="AW5" i="5"/>
  <c r="AY5" i="5" s="1"/>
  <c r="AS5" i="5"/>
  <c r="AU5" i="5" s="1"/>
  <c r="AO5" i="5"/>
  <c r="AQ5" i="5" s="1"/>
  <c r="BA4" i="5"/>
  <c r="BC4" i="5" s="1"/>
  <c r="AW4" i="5"/>
  <c r="AY4" i="5" s="1"/>
  <c r="AS4" i="5"/>
  <c r="AU4" i="5" s="1"/>
  <c r="AO4" i="5"/>
  <c r="AQ4" i="5" s="1"/>
  <c r="AK39" i="5"/>
  <c r="AM39" i="5" s="1"/>
  <c r="AG39" i="5"/>
  <c r="AI39" i="5" s="1"/>
  <c r="AK38" i="5"/>
  <c r="AM38" i="5" s="1"/>
  <c r="AG38" i="5"/>
  <c r="AI38" i="5" s="1"/>
  <c r="AK37" i="5"/>
  <c r="AM37" i="5" s="1"/>
  <c r="AG37" i="5"/>
  <c r="AI37" i="5" s="1"/>
  <c r="AK36" i="5"/>
  <c r="AM36" i="5" s="1"/>
  <c r="AG36" i="5"/>
  <c r="AI36" i="5" s="1"/>
  <c r="AK35" i="5"/>
  <c r="AM35" i="5" s="1"/>
  <c r="AG35" i="5"/>
  <c r="AI35" i="5" s="1"/>
  <c r="AK34" i="5"/>
  <c r="AM34" i="5" s="1"/>
  <c r="AG34" i="5"/>
  <c r="AI34" i="5" s="1"/>
  <c r="AK33" i="5"/>
  <c r="AM33" i="5" s="1"/>
  <c r="AG33" i="5"/>
  <c r="AI33" i="5" s="1"/>
  <c r="AK32" i="5"/>
  <c r="AM32" i="5" s="1"/>
  <c r="AG32" i="5"/>
  <c r="AI32" i="5" s="1"/>
  <c r="AK31" i="5"/>
  <c r="AM31" i="5" s="1"/>
  <c r="AG31" i="5"/>
  <c r="AI31" i="5" s="1"/>
  <c r="AK30" i="5"/>
  <c r="AM30" i="5" s="1"/>
  <c r="AG30" i="5"/>
  <c r="AI30" i="5" s="1"/>
  <c r="AK27" i="5"/>
  <c r="AM27" i="5" s="1"/>
  <c r="AG27" i="5"/>
  <c r="AI27" i="5" s="1"/>
  <c r="AK26" i="5"/>
  <c r="AM26" i="5" s="1"/>
  <c r="AK25" i="5"/>
  <c r="AM25" i="5" s="1"/>
  <c r="AG25" i="5"/>
  <c r="AI25" i="5" s="1"/>
  <c r="AK24" i="5"/>
  <c r="AM24" i="5" s="1"/>
  <c r="AG24" i="5"/>
  <c r="AI24" i="5" s="1"/>
  <c r="AK23" i="5"/>
  <c r="AM23" i="5" s="1"/>
  <c r="AG23" i="5"/>
  <c r="AI23" i="5" s="1"/>
  <c r="AK22" i="5"/>
  <c r="AM22" i="5" s="1"/>
  <c r="AG22" i="5"/>
  <c r="AI22" i="5" s="1"/>
  <c r="AK21" i="5"/>
  <c r="AM21" i="5" s="1"/>
  <c r="AG21" i="5"/>
  <c r="AI21" i="5" s="1"/>
  <c r="AK20" i="5"/>
  <c r="AM20" i="5" s="1"/>
  <c r="AG20" i="5"/>
  <c r="AI20" i="5" s="1"/>
  <c r="AK19" i="5"/>
  <c r="AM19" i="5" s="1"/>
  <c r="AG19" i="5"/>
  <c r="AI19" i="5" s="1"/>
  <c r="AK18" i="5"/>
  <c r="AM18" i="5" s="1"/>
  <c r="AG18" i="5"/>
  <c r="AI18" i="5" s="1"/>
  <c r="AK17" i="5"/>
  <c r="AM17" i="5" s="1"/>
  <c r="AG17" i="5"/>
  <c r="AI17" i="5" s="1"/>
  <c r="AK16" i="5"/>
  <c r="AM16" i="5" s="1"/>
  <c r="AG16" i="5"/>
  <c r="AI16" i="5" s="1"/>
  <c r="AK15" i="5"/>
  <c r="AM15" i="5" s="1"/>
  <c r="AG15" i="5"/>
  <c r="AI15" i="5" s="1"/>
  <c r="AK14" i="5"/>
  <c r="AM14" i="5" s="1"/>
  <c r="AG14" i="5"/>
  <c r="AI14" i="5" s="1"/>
  <c r="AK13" i="5"/>
  <c r="AM13" i="5" s="1"/>
  <c r="AG13" i="5"/>
  <c r="AI13" i="5" s="1"/>
  <c r="AK12" i="5"/>
  <c r="AM12" i="5" s="1"/>
  <c r="AG12" i="5"/>
  <c r="AI12" i="5" s="1"/>
  <c r="AK10" i="5"/>
  <c r="AM10" i="5" s="1"/>
  <c r="AG10" i="5"/>
  <c r="AI10" i="5" s="1"/>
  <c r="AK9" i="5"/>
  <c r="AM9" i="5" s="1"/>
  <c r="AG9" i="5"/>
  <c r="AI9" i="5" s="1"/>
  <c r="AK8" i="5"/>
  <c r="AM8" i="5" s="1"/>
  <c r="AG8" i="5"/>
  <c r="AI8" i="5" s="1"/>
  <c r="AK7" i="5"/>
  <c r="AM7" i="5" s="1"/>
  <c r="AG7" i="5"/>
  <c r="AI7" i="5" s="1"/>
  <c r="AK6" i="5"/>
  <c r="AM6" i="5" s="1"/>
  <c r="AG6" i="5"/>
  <c r="AI6" i="5" s="1"/>
  <c r="AK5" i="5"/>
  <c r="AM5" i="5" s="1"/>
  <c r="AG5" i="5"/>
  <c r="AI5" i="5" s="1"/>
  <c r="AK4" i="5"/>
  <c r="AM4" i="5" s="1"/>
  <c r="AG4" i="5"/>
  <c r="AI4" i="5" s="1"/>
  <c r="AC39" i="5"/>
  <c r="AE39" i="5" s="1"/>
  <c r="AC38" i="5"/>
  <c r="AE38" i="5" s="1"/>
  <c r="AC37" i="5"/>
  <c r="AE37" i="5" s="1"/>
  <c r="AC36" i="5"/>
  <c r="AE36" i="5" s="1"/>
  <c r="AC35" i="5"/>
  <c r="AE35" i="5" s="1"/>
  <c r="AC34" i="5"/>
  <c r="AE34" i="5" s="1"/>
  <c r="AC33" i="5"/>
  <c r="AE33" i="5" s="1"/>
  <c r="AC32" i="5"/>
  <c r="AE32" i="5" s="1"/>
  <c r="AC31" i="5"/>
  <c r="AE31" i="5" s="1"/>
  <c r="AC30" i="5"/>
  <c r="AE30" i="5" s="1"/>
  <c r="AC27" i="5"/>
  <c r="AE27" i="5" s="1"/>
  <c r="AC25" i="5"/>
  <c r="AE25" i="5" s="1"/>
  <c r="AC24" i="5"/>
  <c r="AE24" i="5" s="1"/>
  <c r="AC23" i="5"/>
  <c r="AE23" i="5" s="1"/>
  <c r="AC22" i="5"/>
  <c r="AE22" i="5" s="1"/>
  <c r="AC21" i="5"/>
  <c r="AE21" i="5" s="1"/>
  <c r="AC20" i="5"/>
  <c r="AE20" i="5" s="1"/>
  <c r="AC19" i="5"/>
  <c r="AE19" i="5" s="1"/>
  <c r="AC18" i="5"/>
  <c r="AE18" i="5" s="1"/>
  <c r="AC17" i="5"/>
  <c r="AE17" i="5" s="1"/>
  <c r="AC16" i="5"/>
  <c r="AE16" i="5" s="1"/>
  <c r="AC15" i="5"/>
  <c r="AE15" i="5" s="1"/>
  <c r="AC14" i="5"/>
  <c r="AE14" i="5" s="1"/>
  <c r="AC13" i="5"/>
  <c r="AE13" i="5" s="1"/>
  <c r="AC12" i="5"/>
  <c r="AE12" i="5" s="1"/>
  <c r="AC10" i="5"/>
  <c r="AE10" i="5" s="1"/>
  <c r="AC9" i="5"/>
  <c r="AE9" i="5" s="1"/>
  <c r="AC8" i="5"/>
  <c r="AE8" i="5" s="1"/>
  <c r="AC7" i="5"/>
  <c r="AE7" i="5" s="1"/>
  <c r="AC6" i="5"/>
  <c r="AE6" i="5" s="1"/>
  <c r="AC4" i="5"/>
  <c r="AE4" i="5" s="1"/>
  <c r="Y39" i="5"/>
  <c r="AA39" i="5" s="1"/>
  <c r="Y38" i="5"/>
  <c r="AA38" i="5" s="1"/>
  <c r="Y37" i="5"/>
  <c r="AA37" i="5" s="1"/>
  <c r="Y36" i="5"/>
  <c r="AA36" i="5" s="1"/>
  <c r="Y35" i="5"/>
  <c r="AA35" i="5" s="1"/>
  <c r="Y34" i="5"/>
  <c r="AA34" i="5" s="1"/>
  <c r="Y33" i="5"/>
  <c r="AA33" i="5" s="1"/>
  <c r="Y32" i="5"/>
  <c r="AA32" i="5" s="1"/>
  <c r="Y31" i="5"/>
  <c r="AA31" i="5" s="1"/>
  <c r="Y30" i="5"/>
  <c r="AA30" i="5" s="1"/>
  <c r="Y27" i="5"/>
  <c r="AA27" i="5" s="1"/>
  <c r="Y25" i="5"/>
  <c r="AA25" i="5" s="1"/>
  <c r="Y24" i="5"/>
  <c r="AA24" i="5" s="1"/>
  <c r="Y23" i="5"/>
  <c r="AA23" i="5" s="1"/>
  <c r="Y22" i="5"/>
  <c r="AA22" i="5" s="1"/>
  <c r="Y21" i="5"/>
  <c r="AA21" i="5" s="1"/>
  <c r="Y20" i="5"/>
  <c r="AA20" i="5" s="1"/>
  <c r="Y19" i="5"/>
  <c r="AA19" i="5" s="1"/>
  <c r="Y18" i="5"/>
  <c r="AA18" i="5" s="1"/>
  <c r="Y17" i="5"/>
  <c r="AA17" i="5" s="1"/>
  <c r="Y16" i="5"/>
  <c r="AA16" i="5" s="1"/>
  <c r="Y15" i="5"/>
  <c r="AA15" i="5" s="1"/>
  <c r="Y14" i="5"/>
  <c r="AA14" i="5" s="1"/>
  <c r="Y13" i="5"/>
  <c r="AA13" i="5" s="1"/>
  <c r="Y12" i="5"/>
  <c r="AA12" i="5" s="1"/>
  <c r="Y10" i="5"/>
  <c r="AA10" i="5" s="1"/>
  <c r="Y9" i="5"/>
  <c r="AA9" i="5" s="1"/>
  <c r="Y8" i="5"/>
  <c r="AA8" i="5" s="1"/>
  <c r="Y7" i="5"/>
  <c r="AA7" i="5" s="1"/>
  <c r="Y6" i="5"/>
  <c r="AA6" i="5" s="1"/>
  <c r="Y5" i="5"/>
  <c r="Y4" i="5"/>
  <c r="AA4" i="5" s="1"/>
  <c r="Q27" i="14"/>
  <c r="S27" i="14" s="1"/>
  <c r="T11" i="8"/>
  <c r="W11" i="8" s="1"/>
  <c r="Y11" i="8" s="1"/>
  <c r="O14" i="8"/>
  <c r="Q14" i="8" s="1"/>
  <c r="W44" i="6"/>
  <c r="AA44" i="6"/>
  <c r="AA30" i="6"/>
  <c r="BA15" i="11"/>
  <c r="BC15" i="11" s="1"/>
  <c r="AW15" i="11"/>
  <c r="AY15" i="11" s="1"/>
  <c r="AS15" i="11"/>
  <c r="AU15" i="11" s="1"/>
  <c r="AO15" i="11"/>
  <c r="AK15" i="11"/>
  <c r="AM15" i="11" s="1"/>
  <c r="AG15" i="11"/>
  <c r="AI15" i="11" s="1"/>
  <c r="AC15" i="11"/>
  <c r="AE15" i="11" s="1"/>
  <c r="Y15" i="11"/>
  <c r="BA14" i="11"/>
  <c r="BC14" i="11" s="1"/>
  <c r="AW14" i="11"/>
  <c r="AY14" i="11" s="1"/>
  <c r="AS14" i="11"/>
  <c r="AU14" i="11" s="1"/>
  <c r="AO14" i="11"/>
  <c r="AK14" i="11"/>
  <c r="AM14" i="11" s="1"/>
  <c r="AG14" i="11"/>
  <c r="AI14" i="11" s="1"/>
  <c r="AC14" i="11"/>
  <c r="AE14" i="11" s="1"/>
  <c r="Y14" i="11"/>
  <c r="BA13" i="11"/>
  <c r="BC13" i="11" s="1"/>
  <c r="AW13" i="11"/>
  <c r="AY13" i="11" s="1"/>
  <c r="AS13" i="11"/>
  <c r="AU13" i="11" s="1"/>
  <c r="AO13" i="11"/>
  <c r="AK13" i="11"/>
  <c r="AM13" i="11" s="1"/>
  <c r="AG13" i="11"/>
  <c r="AI13" i="11" s="1"/>
  <c r="AC13" i="11"/>
  <c r="AE13" i="11" s="1"/>
  <c r="Y13" i="11"/>
  <c r="BA12" i="11"/>
  <c r="BC12" i="11" s="1"/>
  <c r="AW12" i="11"/>
  <c r="AY12" i="11" s="1"/>
  <c r="AS12" i="11"/>
  <c r="AU12" i="11" s="1"/>
  <c r="AO12" i="11"/>
  <c r="AK12" i="11"/>
  <c r="AM12" i="11" s="1"/>
  <c r="AG12" i="11"/>
  <c r="AI12" i="11" s="1"/>
  <c r="AC12" i="11"/>
  <c r="AE12" i="11" s="1"/>
  <c r="Y12" i="11"/>
  <c r="BA11" i="11"/>
  <c r="BC11" i="11" s="1"/>
  <c r="AW11" i="11"/>
  <c r="AY11" i="11" s="1"/>
  <c r="AS11" i="11"/>
  <c r="AU11" i="11" s="1"/>
  <c r="AO11" i="11"/>
  <c r="AK11" i="11"/>
  <c r="AM11" i="11" s="1"/>
  <c r="AG11" i="11"/>
  <c r="AI11" i="11" s="1"/>
  <c r="AC11" i="11"/>
  <c r="AE11" i="11" s="1"/>
  <c r="Y11" i="11"/>
  <c r="BA10" i="11"/>
  <c r="BC10" i="11" s="1"/>
  <c r="AW10" i="11"/>
  <c r="AY10" i="11" s="1"/>
  <c r="AS10" i="11"/>
  <c r="AU10" i="11" s="1"/>
  <c r="AO10" i="11"/>
  <c r="AK10" i="11"/>
  <c r="AM10" i="11" s="1"/>
  <c r="AG10" i="11"/>
  <c r="AI10" i="11" s="1"/>
  <c r="AC10" i="11"/>
  <c r="AE10" i="11" s="1"/>
  <c r="Y10" i="11"/>
  <c r="BA9" i="11"/>
  <c r="BC9" i="11" s="1"/>
  <c r="AW9" i="11"/>
  <c r="AY9" i="11" s="1"/>
  <c r="AS9" i="11"/>
  <c r="AU9" i="11" s="1"/>
  <c r="AO9" i="11"/>
  <c r="AK9" i="11"/>
  <c r="AM9" i="11" s="1"/>
  <c r="AG9" i="11"/>
  <c r="AI9" i="11" s="1"/>
  <c r="AC9" i="11"/>
  <c r="AE9" i="11" s="1"/>
  <c r="Y9" i="11"/>
  <c r="BA8" i="11"/>
  <c r="BC8" i="11" s="1"/>
  <c r="AW8" i="11"/>
  <c r="AY8" i="11" s="1"/>
  <c r="AS8" i="11"/>
  <c r="AU8" i="11" s="1"/>
  <c r="AO8" i="11"/>
  <c r="AK8" i="11"/>
  <c r="AM8" i="11" s="1"/>
  <c r="AG8" i="11"/>
  <c r="AI8" i="11" s="1"/>
  <c r="AC8" i="11"/>
  <c r="AE8" i="11" s="1"/>
  <c r="Y8" i="11"/>
  <c r="BA7" i="11"/>
  <c r="BC7" i="11" s="1"/>
  <c r="AW7" i="11"/>
  <c r="AY7" i="11" s="1"/>
  <c r="AS7" i="11"/>
  <c r="AU7" i="11" s="1"/>
  <c r="AO7" i="11"/>
  <c r="AK7" i="11"/>
  <c r="AM7" i="11" s="1"/>
  <c r="AG7" i="11"/>
  <c r="AI7" i="11" s="1"/>
  <c r="AC7" i="11"/>
  <c r="AE7" i="11" s="1"/>
  <c r="Y7" i="11"/>
  <c r="BA6" i="11"/>
  <c r="BC6" i="11" s="1"/>
  <c r="AW6" i="11"/>
  <c r="AY6" i="11" s="1"/>
  <c r="AS6" i="11"/>
  <c r="AU6" i="11" s="1"/>
  <c r="AO6" i="11"/>
  <c r="AK6" i="11"/>
  <c r="AM6" i="11" s="1"/>
  <c r="AG6" i="11"/>
  <c r="AI6" i="11" s="1"/>
  <c r="AC6" i="11"/>
  <c r="AE6" i="11" s="1"/>
  <c r="Y6" i="11"/>
  <c r="BA5" i="11"/>
  <c r="BC5" i="11" s="1"/>
  <c r="AW5" i="11"/>
  <c r="AY5" i="11" s="1"/>
  <c r="AS5" i="11"/>
  <c r="AU5" i="11" s="1"/>
  <c r="AO5" i="11"/>
  <c r="AK5" i="11"/>
  <c r="AM5" i="11" s="1"/>
  <c r="AG5" i="11"/>
  <c r="AI5" i="11" s="1"/>
  <c r="AC5" i="11"/>
  <c r="AE5" i="11" s="1"/>
  <c r="Y5" i="11"/>
  <c r="BA4" i="11"/>
  <c r="BC4" i="11" s="1"/>
  <c r="AW4" i="11"/>
  <c r="AY4" i="11" s="1"/>
  <c r="AS4" i="11"/>
  <c r="AU4" i="11" s="1"/>
  <c r="AO4" i="11"/>
  <c r="AK4" i="11"/>
  <c r="AM4" i="11" s="1"/>
  <c r="AG4" i="11"/>
  <c r="AI4" i="11" s="1"/>
  <c r="AC4" i="11"/>
  <c r="AE4" i="11" s="1"/>
  <c r="Y4" i="11"/>
  <c r="CC18" i="12"/>
  <c r="BY18" i="12"/>
  <c r="BU18" i="12"/>
  <c r="BQ18" i="12"/>
  <c r="BM18" i="12"/>
  <c r="BO18" i="12" s="1"/>
  <c r="BI18" i="12"/>
  <c r="BE18" i="12"/>
  <c r="BG18" i="12" s="1"/>
  <c r="BA18" i="12"/>
  <c r="BC18" i="12" s="1"/>
  <c r="CC16" i="12"/>
  <c r="BY16" i="12"/>
  <c r="BU16" i="12"/>
  <c r="BQ16" i="12"/>
  <c r="CA16" i="12" s="1"/>
  <c r="BM16" i="12"/>
  <c r="BO16" i="12" s="1"/>
  <c r="BI16" i="12"/>
  <c r="BE16" i="12"/>
  <c r="BG16" i="12" s="1"/>
  <c r="BA16" i="12"/>
  <c r="CC15" i="12"/>
  <c r="BY15" i="12"/>
  <c r="BU15" i="12"/>
  <c r="BQ15" i="12"/>
  <c r="CA15" i="12" s="1"/>
  <c r="BM15" i="12"/>
  <c r="BO15" i="12" s="1"/>
  <c r="BI15" i="12"/>
  <c r="BE15" i="12"/>
  <c r="BG15" i="12" s="1"/>
  <c r="BA15" i="12"/>
  <c r="CC14" i="12"/>
  <c r="BY14" i="12"/>
  <c r="BU14" i="12"/>
  <c r="BQ14" i="12"/>
  <c r="CA14" i="12" s="1"/>
  <c r="BM14" i="12"/>
  <c r="BO14" i="12" s="1"/>
  <c r="BI14" i="12"/>
  <c r="BE14" i="12"/>
  <c r="BG14" i="12" s="1"/>
  <c r="BA14" i="12"/>
  <c r="CC13" i="12"/>
  <c r="BY13" i="12"/>
  <c r="BU13" i="12"/>
  <c r="BQ13" i="12"/>
  <c r="CA13" i="12" s="1"/>
  <c r="BM13" i="12"/>
  <c r="BO13" i="12" s="1"/>
  <c r="BI13" i="12"/>
  <c r="BE13" i="12"/>
  <c r="BG13" i="12" s="1"/>
  <c r="BA13" i="12"/>
  <c r="CC12" i="12"/>
  <c r="BY12" i="12"/>
  <c r="BU12" i="12"/>
  <c r="BQ12" i="12"/>
  <c r="BM12" i="12"/>
  <c r="BO12" i="12" s="1"/>
  <c r="BI12" i="12"/>
  <c r="BE12" i="12"/>
  <c r="BG12" i="12" s="1"/>
  <c r="BA12" i="12"/>
  <c r="BC12" i="12" s="1"/>
  <c r="CC11" i="12"/>
  <c r="BY11" i="12"/>
  <c r="BU11" i="12"/>
  <c r="BQ11" i="12"/>
  <c r="BM11" i="12"/>
  <c r="BO11" i="12" s="1"/>
  <c r="BI11" i="12"/>
  <c r="BE11" i="12"/>
  <c r="BG11" i="12" s="1"/>
  <c r="BA11" i="12"/>
  <c r="BC11" i="12" s="1"/>
  <c r="CC10" i="12"/>
  <c r="BY10" i="12"/>
  <c r="BU10" i="12"/>
  <c r="BQ10" i="12"/>
  <c r="CA10" i="12" s="1"/>
  <c r="BM10" i="12"/>
  <c r="BO10" i="12" s="1"/>
  <c r="BI10" i="12"/>
  <c r="BE10" i="12"/>
  <c r="BG10" i="12" s="1"/>
  <c r="BA10" i="12"/>
  <c r="CC9" i="12"/>
  <c r="BY9" i="12"/>
  <c r="BU9" i="12"/>
  <c r="BQ9" i="12"/>
  <c r="CA9" i="12" s="1"/>
  <c r="BM9" i="12"/>
  <c r="BO9" i="12" s="1"/>
  <c r="BI9" i="12"/>
  <c r="BE9" i="12"/>
  <c r="BG9" i="12" s="1"/>
  <c r="BA9" i="12"/>
  <c r="CC8" i="12"/>
  <c r="BY8" i="12"/>
  <c r="BU8" i="12"/>
  <c r="BQ8" i="12"/>
  <c r="CA8" i="12" s="1"/>
  <c r="BM8" i="12"/>
  <c r="BO8" i="12" s="1"/>
  <c r="BI8" i="12"/>
  <c r="BE8" i="12"/>
  <c r="BG8" i="12" s="1"/>
  <c r="BA8" i="12"/>
  <c r="CC7" i="12"/>
  <c r="BY7" i="12"/>
  <c r="BU7" i="12"/>
  <c r="BQ7" i="12"/>
  <c r="CA7" i="12" s="1"/>
  <c r="BM7" i="12"/>
  <c r="BO7" i="12" s="1"/>
  <c r="BI7" i="12"/>
  <c r="BE7" i="12"/>
  <c r="BG7" i="12" s="1"/>
  <c r="BA7" i="12"/>
  <c r="CC6" i="12"/>
  <c r="BY6" i="12"/>
  <c r="BU6" i="12"/>
  <c r="BQ6" i="12"/>
  <c r="BM6" i="12"/>
  <c r="BO6" i="12" s="1"/>
  <c r="BI6" i="12"/>
  <c r="BE6" i="12"/>
  <c r="BG6" i="12" s="1"/>
  <c r="BA6" i="12"/>
  <c r="BC6" i="12" s="1"/>
  <c r="CC5" i="12"/>
  <c r="BY5" i="12"/>
  <c r="BU5" i="12"/>
  <c r="BQ5" i="12"/>
  <c r="BM5" i="12"/>
  <c r="BO5" i="12" s="1"/>
  <c r="BI5" i="12"/>
  <c r="BE5" i="12"/>
  <c r="BG5" i="12" s="1"/>
  <c r="BA5" i="12"/>
  <c r="BC5" i="12" s="1"/>
  <c r="CC4" i="12"/>
  <c r="BY4" i="12"/>
  <c r="BU4" i="12"/>
  <c r="BQ4" i="12"/>
  <c r="CA4" i="12" s="1"/>
  <c r="BM4" i="12"/>
  <c r="BO4" i="12" s="1"/>
  <c r="BI4" i="12"/>
  <c r="BE4" i="12"/>
  <c r="BG4" i="12" s="1"/>
  <c r="BA4" i="12"/>
  <c r="CC63" i="14"/>
  <c r="BY63" i="14"/>
  <c r="BU63" i="14"/>
  <c r="BQ63" i="14"/>
  <c r="BM63" i="14"/>
  <c r="BO63" i="14" s="1"/>
  <c r="BI63" i="14"/>
  <c r="BK63" i="14" s="1"/>
  <c r="BE63" i="14"/>
  <c r="BG63" i="14" s="1"/>
  <c r="BA63" i="14"/>
  <c r="CC62" i="14"/>
  <c r="BY62" i="14"/>
  <c r="BU62" i="14"/>
  <c r="BQ62" i="14"/>
  <c r="BM62" i="14"/>
  <c r="BO62" i="14" s="1"/>
  <c r="BI62" i="14"/>
  <c r="BK62" i="14" s="1"/>
  <c r="BE62" i="14"/>
  <c r="BG62" i="14" s="1"/>
  <c r="BA62" i="14"/>
  <c r="CC60" i="14"/>
  <c r="BY60" i="14"/>
  <c r="BU60" i="14"/>
  <c r="BQ60" i="14"/>
  <c r="BM60" i="14"/>
  <c r="BO60" i="14" s="1"/>
  <c r="BI60" i="14"/>
  <c r="BK60" i="14" s="1"/>
  <c r="BE60" i="14"/>
  <c r="BG60" i="14" s="1"/>
  <c r="BA60" i="14"/>
  <c r="CC59" i="14"/>
  <c r="BY59" i="14"/>
  <c r="BU59" i="14"/>
  <c r="BQ59" i="14"/>
  <c r="BM59" i="14"/>
  <c r="BO59" i="14" s="1"/>
  <c r="BI59" i="14"/>
  <c r="BK59" i="14" s="1"/>
  <c r="BE59" i="14"/>
  <c r="BG59" i="14" s="1"/>
  <c r="BA59" i="14"/>
  <c r="CC58" i="14"/>
  <c r="BY58" i="14"/>
  <c r="BU58" i="14"/>
  <c r="BQ58" i="14"/>
  <c r="BM58" i="14"/>
  <c r="BO58" i="14" s="1"/>
  <c r="BI58" i="14"/>
  <c r="BK58" i="14" s="1"/>
  <c r="BE58" i="14"/>
  <c r="BG58" i="14" s="1"/>
  <c r="BA58" i="14"/>
  <c r="CC56" i="14"/>
  <c r="BY56" i="14"/>
  <c r="BU56" i="14"/>
  <c r="BQ56" i="14"/>
  <c r="BM56" i="14"/>
  <c r="BO56" i="14" s="1"/>
  <c r="BI56" i="14"/>
  <c r="BK56" i="14" s="1"/>
  <c r="BE56" i="14"/>
  <c r="BG56" i="14" s="1"/>
  <c r="BA56" i="14"/>
  <c r="CC55" i="14"/>
  <c r="BY55" i="14"/>
  <c r="BU55" i="14"/>
  <c r="BQ55" i="14"/>
  <c r="BM55" i="14"/>
  <c r="BO55" i="14" s="1"/>
  <c r="BI55" i="14"/>
  <c r="BK55" i="14" s="1"/>
  <c r="BE55" i="14"/>
  <c r="BG55" i="14" s="1"/>
  <c r="BA55" i="14"/>
  <c r="CC54" i="14"/>
  <c r="BY54" i="14"/>
  <c r="BU54" i="14"/>
  <c r="BQ54" i="14"/>
  <c r="BM54" i="14"/>
  <c r="BO54" i="14" s="1"/>
  <c r="BI54" i="14"/>
  <c r="BK54" i="14" s="1"/>
  <c r="BE54" i="14"/>
  <c r="BG54" i="14" s="1"/>
  <c r="BA54" i="14"/>
  <c r="CC53" i="14"/>
  <c r="BY53" i="14"/>
  <c r="BU53" i="14"/>
  <c r="BQ53" i="14"/>
  <c r="BM53" i="14"/>
  <c r="BO53" i="14" s="1"/>
  <c r="BI53" i="14"/>
  <c r="BK53" i="14" s="1"/>
  <c r="BE53" i="14"/>
  <c r="BG53" i="14" s="1"/>
  <c r="BA53" i="14"/>
  <c r="CC52" i="14"/>
  <c r="BY52" i="14"/>
  <c r="BU52" i="14"/>
  <c r="BQ52" i="14"/>
  <c r="BM52" i="14"/>
  <c r="BO52" i="14" s="1"/>
  <c r="BI52" i="14"/>
  <c r="BK52" i="14" s="1"/>
  <c r="BE52" i="14"/>
  <c r="BG52" i="14" s="1"/>
  <c r="BA52" i="14"/>
  <c r="CC51" i="14"/>
  <c r="BY51" i="14"/>
  <c r="BU51" i="14"/>
  <c r="BQ51" i="14"/>
  <c r="BM51" i="14"/>
  <c r="BO51" i="14" s="1"/>
  <c r="BI51" i="14"/>
  <c r="BK51" i="14" s="1"/>
  <c r="BE51" i="14"/>
  <c r="BG51" i="14" s="1"/>
  <c r="BA51" i="14"/>
  <c r="CC50" i="14"/>
  <c r="BY50" i="14"/>
  <c r="BU50" i="14"/>
  <c r="BQ50" i="14"/>
  <c r="BM50" i="14"/>
  <c r="BO50" i="14" s="1"/>
  <c r="BI50" i="14"/>
  <c r="BK50" i="14" s="1"/>
  <c r="BE50" i="14"/>
  <c r="BG50" i="14" s="1"/>
  <c r="BA50" i="14"/>
  <c r="CC49" i="14"/>
  <c r="BY49" i="14"/>
  <c r="BU49" i="14"/>
  <c r="BQ49" i="14"/>
  <c r="BM49" i="14"/>
  <c r="BO49" i="14" s="1"/>
  <c r="BI49" i="14"/>
  <c r="BK49" i="14" s="1"/>
  <c r="BE49" i="14"/>
  <c r="BG49" i="14" s="1"/>
  <c r="BA49" i="14"/>
  <c r="CC48" i="14"/>
  <c r="BY48" i="14"/>
  <c r="BU48" i="14"/>
  <c r="BQ48" i="14"/>
  <c r="BS48" i="14" s="1"/>
  <c r="BM48" i="14"/>
  <c r="BO48" i="14" s="1"/>
  <c r="BI48" i="14"/>
  <c r="BK48" i="14" s="1"/>
  <c r="BE48" i="14"/>
  <c r="BG48" i="14" s="1"/>
  <c r="BA48" i="14"/>
  <c r="CC47" i="14"/>
  <c r="BY47" i="14"/>
  <c r="BU47" i="14"/>
  <c r="BQ47" i="14"/>
  <c r="BW47" i="14" s="1"/>
  <c r="BM47" i="14"/>
  <c r="BO47" i="14" s="1"/>
  <c r="BI47" i="14"/>
  <c r="BK47" i="14" s="1"/>
  <c r="BE47" i="14"/>
  <c r="BG47" i="14" s="1"/>
  <c r="BA47" i="14"/>
  <c r="CC45" i="14"/>
  <c r="BY45" i="14"/>
  <c r="BU45" i="14"/>
  <c r="BQ45" i="14"/>
  <c r="BW45" i="14" s="1"/>
  <c r="BM45" i="14"/>
  <c r="BO45" i="14" s="1"/>
  <c r="BI45" i="14"/>
  <c r="BK45" i="14" s="1"/>
  <c r="BE45" i="14"/>
  <c r="BG45" i="14" s="1"/>
  <c r="BA45" i="14"/>
  <c r="CC44" i="14"/>
  <c r="BY44" i="14"/>
  <c r="BU44" i="14"/>
  <c r="BQ44" i="14"/>
  <c r="BW44" i="14" s="1"/>
  <c r="BM44" i="14"/>
  <c r="BO44" i="14" s="1"/>
  <c r="BI44" i="14"/>
  <c r="BK44" i="14" s="1"/>
  <c r="BE44" i="14"/>
  <c r="BG44" i="14" s="1"/>
  <c r="BA44" i="14"/>
  <c r="CC43" i="14"/>
  <c r="BY43" i="14"/>
  <c r="BU43" i="14"/>
  <c r="BQ43" i="14"/>
  <c r="BW43" i="14" s="1"/>
  <c r="BM43" i="14"/>
  <c r="BO43" i="14" s="1"/>
  <c r="BI43" i="14"/>
  <c r="BK43" i="14" s="1"/>
  <c r="BE43" i="14"/>
  <c r="BG43" i="14" s="1"/>
  <c r="BA43" i="14"/>
  <c r="CC42" i="14"/>
  <c r="BY42" i="14"/>
  <c r="BU42" i="14"/>
  <c r="BQ42" i="14"/>
  <c r="BW42" i="14" s="1"/>
  <c r="BM42" i="14"/>
  <c r="BO42" i="14" s="1"/>
  <c r="BI42" i="14"/>
  <c r="BK42" i="14" s="1"/>
  <c r="BE42" i="14"/>
  <c r="BG42" i="14" s="1"/>
  <c r="BA42" i="14"/>
  <c r="CC41" i="14"/>
  <c r="BY41" i="14"/>
  <c r="BU41" i="14"/>
  <c r="BQ41" i="14"/>
  <c r="BW41" i="14" s="1"/>
  <c r="BM41" i="14"/>
  <c r="BO41" i="14" s="1"/>
  <c r="BI41" i="14"/>
  <c r="BK41" i="14" s="1"/>
  <c r="BE41" i="14"/>
  <c r="BG41" i="14" s="1"/>
  <c r="BA41" i="14"/>
  <c r="CC40" i="14"/>
  <c r="BY40" i="14"/>
  <c r="BU40" i="14"/>
  <c r="BQ40" i="14"/>
  <c r="BW40" i="14" s="1"/>
  <c r="BM40" i="14"/>
  <c r="BO40" i="14" s="1"/>
  <c r="BI40" i="14"/>
  <c r="BK40" i="14" s="1"/>
  <c r="BE40" i="14"/>
  <c r="BG40" i="14" s="1"/>
  <c r="BA40" i="14"/>
  <c r="CC39" i="14"/>
  <c r="BY39" i="14"/>
  <c r="BU39" i="14"/>
  <c r="BQ39" i="14"/>
  <c r="BW39" i="14" s="1"/>
  <c r="BM39" i="14"/>
  <c r="BO39" i="14" s="1"/>
  <c r="BI39" i="14"/>
  <c r="BK39" i="14" s="1"/>
  <c r="BE39" i="14"/>
  <c r="BG39" i="14" s="1"/>
  <c r="BA39" i="14"/>
  <c r="CC38" i="14"/>
  <c r="BY38" i="14"/>
  <c r="BU38" i="14"/>
  <c r="BQ38" i="14"/>
  <c r="BW38" i="14" s="1"/>
  <c r="BM38" i="14"/>
  <c r="BO38" i="14" s="1"/>
  <c r="BI38" i="14"/>
  <c r="BK38" i="14" s="1"/>
  <c r="BE38" i="14"/>
  <c r="BG38" i="14" s="1"/>
  <c r="BA38" i="14"/>
  <c r="CC37" i="14"/>
  <c r="BY37" i="14"/>
  <c r="BU37" i="14"/>
  <c r="BQ37" i="14"/>
  <c r="BW37" i="14" s="1"/>
  <c r="BM37" i="14"/>
  <c r="BO37" i="14" s="1"/>
  <c r="BI37" i="14"/>
  <c r="BK37" i="14" s="1"/>
  <c r="BE37" i="14"/>
  <c r="BG37" i="14" s="1"/>
  <c r="BA37" i="14"/>
  <c r="CC36" i="14"/>
  <c r="BY36" i="14"/>
  <c r="BU36" i="14"/>
  <c r="BQ36" i="14"/>
  <c r="BW36" i="14" s="1"/>
  <c r="BM36" i="14"/>
  <c r="BO36" i="14" s="1"/>
  <c r="BI36" i="14"/>
  <c r="BK36" i="14" s="1"/>
  <c r="BE36" i="14"/>
  <c r="BG36" i="14" s="1"/>
  <c r="BA36" i="14"/>
  <c r="CC35" i="14"/>
  <c r="BY35" i="14"/>
  <c r="BU35" i="14"/>
  <c r="BQ35" i="14"/>
  <c r="BW35" i="14" s="1"/>
  <c r="BM35" i="14"/>
  <c r="BO35" i="14" s="1"/>
  <c r="BI35" i="14"/>
  <c r="BK35" i="14" s="1"/>
  <c r="BE35" i="14"/>
  <c r="BG35" i="14" s="1"/>
  <c r="BA35" i="14"/>
  <c r="CC34" i="14"/>
  <c r="BY34" i="14"/>
  <c r="BU34" i="14"/>
  <c r="BQ34" i="14"/>
  <c r="BW34" i="14" s="1"/>
  <c r="BM34" i="14"/>
  <c r="BO34" i="14" s="1"/>
  <c r="BI34" i="14"/>
  <c r="BK34" i="14" s="1"/>
  <c r="BE34" i="14"/>
  <c r="BG34" i="14" s="1"/>
  <c r="BA34" i="14"/>
  <c r="CC33" i="14"/>
  <c r="BY33" i="14"/>
  <c r="BU33" i="14"/>
  <c r="BQ33" i="14"/>
  <c r="BW33" i="14" s="1"/>
  <c r="BM33" i="14"/>
  <c r="BO33" i="14" s="1"/>
  <c r="BI33" i="14"/>
  <c r="BK33" i="14" s="1"/>
  <c r="BE33" i="14"/>
  <c r="BG33" i="14" s="1"/>
  <c r="BA33" i="14"/>
  <c r="CC32" i="14"/>
  <c r="BY32" i="14"/>
  <c r="BU32" i="14"/>
  <c r="BQ32" i="14"/>
  <c r="BW32" i="14" s="1"/>
  <c r="BM32" i="14"/>
  <c r="BO32" i="14" s="1"/>
  <c r="BI32" i="14"/>
  <c r="BK32" i="14" s="1"/>
  <c r="BE32" i="14"/>
  <c r="BG32" i="14" s="1"/>
  <c r="BA32" i="14"/>
  <c r="CC31" i="14"/>
  <c r="BY31" i="14"/>
  <c r="BU31" i="14"/>
  <c r="BQ31" i="14"/>
  <c r="BW31" i="14" s="1"/>
  <c r="BM31" i="14"/>
  <c r="BO31" i="14" s="1"/>
  <c r="BI31" i="14"/>
  <c r="BK31" i="14" s="1"/>
  <c r="BE31" i="14"/>
  <c r="BG31" i="14" s="1"/>
  <c r="BA31" i="14"/>
  <c r="CC30" i="14"/>
  <c r="BY30" i="14"/>
  <c r="BU30" i="14"/>
  <c r="BQ30" i="14"/>
  <c r="BW30" i="14" s="1"/>
  <c r="BM30" i="14"/>
  <c r="BO30" i="14" s="1"/>
  <c r="BI30" i="14"/>
  <c r="BK30" i="14" s="1"/>
  <c r="BE30" i="14"/>
  <c r="BG30" i="14" s="1"/>
  <c r="BA30" i="14"/>
  <c r="CC29" i="14"/>
  <c r="BY29" i="14"/>
  <c r="BU29" i="14"/>
  <c r="BQ29" i="14"/>
  <c r="BW29" i="14" s="1"/>
  <c r="BM29" i="14"/>
  <c r="BO29" i="14" s="1"/>
  <c r="BI29" i="14"/>
  <c r="BK29" i="14" s="1"/>
  <c r="BE29" i="14"/>
  <c r="BG29" i="14" s="1"/>
  <c r="BA29" i="14"/>
  <c r="CC28" i="14"/>
  <c r="BY28" i="14"/>
  <c r="BU28" i="14"/>
  <c r="BQ28" i="14"/>
  <c r="BW28" i="14" s="1"/>
  <c r="BM28" i="14"/>
  <c r="BO28" i="14" s="1"/>
  <c r="BI28" i="14"/>
  <c r="BK28" i="14" s="1"/>
  <c r="BE28" i="14"/>
  <c r="BG28" i="14" s="1"/>
  <c r="BA28" i="14"/>
  <c r="CC27" i="14"/>
  <c r="BY27" i="14"/>
  <c r="BU27" i="14"/>
  <c r="BQ27" i="14"/>
  <c r="BW27" i="14" s="1"/>
  <c r="BM27" i="14"/>
  <c r="BO27" i="14" s="1"/>
  <c r="BI27" i="14"/>
  <c r="BK27" i="14" s="1"/>
  <c r="BE27" i="14"/>
  <c r="BG27" i="14" s="1"/>
  <c r="BC27" i="14"/>
  <c r="CC26" i="14"/>
  <c r="BY26" i="14"/>
  <c r="BU26" i="14"/>
  <c r="BQ26" i="14"/>
  <c r="CA26" i="14" s="1"/>
  <c r="BM26" i="14"/>
  <c r="BO26" i="14" s="1"/>
  <c r="BI26" i="14"/>
  <c r="BK26" i="14" s="1"/>
  <c r="BE26" i="14"/>
  <c r="BG26" i="14" s="1"/>
  <c r="BA26" i="14"/>
  <c r="CC25" i="14"/>
  <c r="BY25" i="14"/>
  <c r="BU25" i="14"/>
  <c r="BQ25" i="14"/>
  <c r="BW25" i="14" s="1"/>
  <c r="BM25" i="14"/>
  <c r="BO25" i="14" s="1"/>
  <c r="BI25" i="14"/>
  <c r="BK25" i="14" s="1"/>
  <c r="BE25" i="14"/>
  <c r="BG25" i="14" s="1"/>
  <c r="BA25" i="14"/>
  <c r="CC24" i="14"/>
  <c r="BY24" i="14"/>
  <c r="BU24" i="14"/>
  <c r="BQ24" i="14"/>
  <c r="BW24" i="14" s="1"/>
  <c r="BM24" i="14"/>
  <c r="BO24" i="14" s="1"/>
  <c r="BI24" i="14"/>
  <c r="BK24" i="14" s="1"/>
  <c r="BE24" i="14"/>
  <c r="BG24" i="14" s="1"/>
  <c r="BA24" i="14"/>
  <c r="CC23" i="14"/>
  <c r="BY23" i="14"/>
  <c r="BU23" i="14"/>
  <c r="BQ23" i="14"/>
  <c r="BW23" i="14" s="1"/>
  <c r="BM23" i="14"/>
  <c r="BO23" i="14" s="1"/>
  <c r="BI23" i="14"/>
  <c r="BK23" i="14" s="1"/>
  <c r="BE23" i="14"/>
  <c r="BG23" i="14" s="1"/>
  <c r="BA23" i="14"/>
  <c r="CC22" i="14"/>
  <c r="BY22" i="14"/>
  <c r="BU22" i="14"/>
  <c r="BQ22" i="14"/>
  <c r="BW22" i="14" s="1"/>
  <c r="BM22" i="14"/>
  <c r="BO22" i="14" s="1"/>
  <c r="BI22" i="14"/>
  <c r="BK22" i="14" s="1"/>
  <c r="BE22" i="14"/>
  <c r="BG22" i="14" s="1"/>
  <c r="BA22" i="14"/>
  <c r="CC21" i="14"/>
  <c r="BY21" i="14"/>
  <c r="BU21" i="14"/>
  <c r="BQ21" i="14"/>
  <c r="BW21" i="14" s="1"/>
  <c r="BM21" i="14"/>
  <c r="BO21" i="14" s="1"/>
  <c r="BI21" i="14"/>
  <c r="BK21" i="14" s="1"/>
  <c r="BE21" i="14"/>
  <c r="BG21" i="14" s="1"/>
  <c r="BA21" i="14"/>
  <c r="CC20" i="14"/>
  <c r="BY20" i="14"/>
  <c r="BU20" i="14"/>
  <c r="BQ20" i="14"/>
  <c r="BW20" i="14" s="1"/>
  <c r="BM20" i="14"/>
  <c r="BO20" i="14" s="1"/>
  <c r="BI20" i="14"/>
  <c r="BK20" i="14" s="1"/>
  <c r="BE20" i="14"/>
  <c r="BG20" i="14" s="1"/>
  <c r="BA20" i="14"/>
  <c r="CC19" i="14"/>
  <c r="BY19" i="14"/>
  <c r="BU19" i="14"/>
  <c r="BQ19" i="14"/>
  <c r="BW19" i="14" s="1"/>
  <c r="BM19" i="14"/>
  <c r="BO19" i="14" s="1"/>
  <c r="BI19" i="14"/>
  <c r="BK19" i="14" s="1"/>
  <c r="BE19" i="14"/>
  <c r="BG19" i="14" s="1"/>
  <c r="BA19" i="14"/>
  <c r="CC18" i="14"/>
  <c r="BY18" i="14"/>
  <c r="BU18" i="14"/>
  <c r="BQ18" i="14"/>
  <c r="BW18" i="14" s="1"/>
  <c r="BM18" i="14"/>
  <c r="BO18" i="14" s="1"/>
  <c r="BI18" i="14"/>
  <c r="BK18" i="14" s="1"/>
  <c r="BE18" i="14"/>
  <c r="BG18" i="14" s="1"/>
  <c r="BA18" i="14"/>
  <c r="CC17" i="14"/>
  <c r="BY17" i="14"/>
  <c r="BU17" i="14"/>
  <c r="BQ17" i="14"/>
  <c r="BW17" i="14" s="1"/>
  <c r="BM17" i="14"/>
  <c r="BO17" i="14" s="1"/>
  <c r="BI17" i="14"/>
  <c r="BK17" i="14" s="1"/>
  <c r="BE17" i="14"/>
  <c r="BG17" i="14" s="1"/>
  <c r="BA17" i="14"/>
  <c r="CC16" i="14"/>
  <c r="BY16" i="14"/>
  <c r="BU16" i="14"/>
  <c r="BQ16" i="14"/>
  <c r="BW16" i="14" s="1"/>
  <c r="BM16" i="14"/>
  <c r="BO16" i="14" s="1"/>
  <c r="BI16" i="14"/>
  <c r="BK16" i="14" s="1"/>
  <c r="BE16" i="14"/>
  <c r="BG16" i="14" s="1"/>
  <c r="BA16" i="14"/>
  <c r="CC15" i="14"/>
  <c r="BY15" i="14"/>
  <c r="BU15" i="14"/>
  <c r="BQ15" i="14"/>
  <c r="BW15" i="14" s="1"/>
  <c r="BM15" i="14"/>
  <c r="BO15" i="14" s="1"/>
  <c r="BI15" i="14"/>
  <c r="BK15" i="14" s="1"/>
  <c r="BE15" i="14"/>
  <c r="BG15" i="14" s="1"/>
  <c r="BA15" i="14"/>
  <c r="CC14" i="14"/>
  <c r="BY14" i="14"/>
  <c r="BU14" i="14"/>
  <c r="BQ14" i="14"/>
  <c r="BW14" i="14" s="1"/>
  <c r="BM14" i="14"/>
  <c r="BO14" i="14" s="1"/>
  <c r="BI14" i="14"/>
  <c r="BK14" i="14" s="1"/>
  <c r="BE14" i="14"/>
  <c r="BG14" i="14" s="1"/>
  <c r="BA14" i="14"/>
  <c r="CC13" i="14"/>
  <c r="BY13" i="14"/>
  <c r="BU13" i="14"/>
  <c r="BQ13" i="14"/>
  <c r="BW13" i="14" s="1"/>
  <c r="BM13" i="14"/>
  <c r="BO13" i="14" s="1"/>
  <c r="BI13" i="14"/>
  <c r="BK13" i="14" s="1"/>
  <c r="BE13" i="14"/>
  <c r="BG13" i="14" s="1"/>
  <c r="BA13" i="14"/>
  <c r="CC12" i="14"/>
  <c r="BY12" i="14"/>
  <c r="BU12" i="14"/>
  <c r="BQ12" i="14"/>
  <c r="BW12" i="14" s="1"/>
  <c r="BM12" i="14"/>
  <c r="BO12" i="14" s="1"/>
  <c r="BI12" i="14"/>
  <c r="BK12" i="14" s="1"/>
  <c r="BE12" i="14"/>
  <c r="BG12" i="14" s="1"/>
  <c r="BA12" i="14"/>
  <c r="CC11" i="14"/>
  <c r="BY11" i="14"/>
  <c r="BU11" i="14"/>
  <c r="BQ11" i="14"/>
  <c r="BW11" i="14" s="1"/>
  <c r="BM11" i="14"/>
  <c r="BO11" i="14" s="1"/>
  <c r="BI11" i="14"/>
  <c r="BK11" i="14" s="1"/>
  <c r="BE11" i="14"/>
  <c r="BG11" i="14" s="1"/>
  <c r="BA11" i="14"/>
  <c r="CC10" i="14"/>
  <c r="BY10" i="14"/>
  <c r="BU10" i="14"/>
  <c r="BQ10" i="14"/>
  <c r="BW10" i="14" s="1"/>
  <c r="BM10" i="14"/>
  <c r="BO10" i="14" s="1"/>
  <c r="BI10" i="14"/>
  <c r="BK10" i="14" s="1"/>
  <c r="BE10" i="14"/>
  <c r="BG10" i="14" s="1"/>
  <c r="BA10" i="14"/>
  <c r="CC9" i="14"/>
  <c r="BY9" i="14"/>
  <c r="BU9" i="14"/>
  <c r="BQ9" i="14"/>
  <c r="BW9" i="14" s="1"/>
  <c r="BM9" i="14"/>
  <c r="BO9" i="14" s="1"/>
  <c r="BI9" i="14"/>
  <c r="BK9" i="14" s="1"/>
  <c r="BE9" i="14"/>
  <c r="BG9" i="14" s="1"/>
  <c r="BA9" i="14"/>
  <c r="CC8" i="14"/>
  <c r="BY8" i="14"/>
  <c r="BU8" i="14"/>
  <c r="BQ8" i="14"/>
  <c r="BW8" i="14" s="1"/>
  <c r="BM8" i="14"/>
  <c r="BO8" i="14" s="1"/>
  <c r="BI8" i="14"/>
  <c r="BK8" i="14" s="1"/>
  <c r="BE8" i="14"/>
  <c r="BG8" i="14" s="1"/>
  <c r="BA8" i="14"/>
  <c r="CC7" i="14"/>
  <c r="BY7" i="14"/>
  <c r="BU7" i="14"/>
  <c r="BQ7" i="14"/>
  <c r="BW7" i="14" s="1"/>
  <c r="BM7" i="14"/>
  <c r="BO7" i="14" s="1"/>
  <c r="BI7" i="14"/>
  <c r="BK7" i="14" s="1"/>
  <c r="BE7" i="14"/>
  <c r="BG7" i="14" s="1"/>
  <c r="BA7" i="14"/>
  <c r="CC6" i="14"/>
  <c r="BY6" i="14"/>
  <c r="BU6" i="14"/>
  <c r="BQ6" i="14"/>
  <c r="BW6" i="14" s="1"/>
  <c r="BM6" i="14"/>
  <c r="BO6" i="14" s="1"/>
  <c r="BI6" i="14"/>
  <c r="BK6" i="14" s="1"/>
  <c r="BE6" i="14"/>
  <c r="BG6" i="14" s="1"/>
  <c r="BA6" i="14"/>
  <c r="CC5" i="14"/>
  <c r="BY5" i="14"/>
  <c r="BU5" i="14"/>
  <c r="BQ5" i="14"/>
  <c r="BW5" i="14" s="1"/>
  <c r="BM5" i="14"/>
  <c r="BO5" i="14" s="1"/>
  <c r="BI5" i="14"/>
  <c r="BK5" i="14" s="1"/>
  <c r="BE5" i="14"/>
  <c r="BG5" i="14" s="1"/>
  <c r="BA5" i="14"/>
  <c r="CC4" i="14"/>
  <c r="BY4" i="14"/>
  <c r="BU4" i="14"/>
  <c r="BQ4" i="14"/>
  <c r="BW4" i="14" s="1"/>
  <c r="BM4" i="14"/>
  <c r="BO4" i="14" s="1"/>
  <c r="BI4" i="14"/>
  <c r="BK4" i="14" s="1"/>
  <c r="BE4" i="14"/>
  <c r="BG4" i="14" s="1"/>
  <c r="BA4" i="14"/>
  <c r="CC70" i="3"/>
  <c r="BY70" i="3"/>
  <c r="CA70" i="3" s="1"/>
  <c r="BU70" i="3"/>
  <c r="BW70" i="3" s="1"/>
  <c r="BQ70" i="3"/>
  <c r="BS70" i="3" s="1"/>
  <c r="BM70" i="3"/>
  <c r="BO70" i="3" s="1"/>
  <c r="BI70" i="3"/>
  <c r="BK70" i="3" s="1"/>
  <c r="BE70" i="3"/>
  <c r="BG70" i="3" s="1"/>
  <c r="BA70" i="3"/>
  <c r="BC70" i="3" s="1"/>
  <c r="CC69" i="3"/>
  <c r="BY69" i="3"/>
  <c r="CA69" i="3" s="1"/>
  <c r="BU69" i="3"/>
  <c r="BW69" i="3" s="1"/>
  <c r="BQ69" i="3"/>
  <c r="BS69" i="3" s="1"/>
  <c r="BM69" i="3"/>
  <c r="BO69" i="3" s="1"/>
  <c r="BI69" i="3"/>
  <c r="BK69" i="3" s="1"/>
  <c r="BE69" i="3"/>
  <c r="BG69" i="3" s="1"/>
  <c r="BA69" i="3"/>
  <c r="BC69" i="3" s="1"/>
  <c r="CC68" i="3"/>
  <c r="BY68" i="3"/>
  <c r="CA68" i="3" s="1"/>
  <c r="BU68" i="3"/>
  <c r="BW68" i="3" s="1"/>
  <c r="BQ68" i="3"/>
  <c r="BS68" i="3" s="1"/>
  <c r="BM68" i="3"/>
  <c r="BO68" i="3" s="1"/>
  <c r="BI68" i="3"/>
  <c r="BK68" i="3" s="1"/>
  <c r="BE68" i="3"/>
  <c r="BG68" i="3" s="1"/>
  <c r="BA68" i="3"/>
  <c r="BC68" i="3" s="1"/>
  <c r="CC67" i="3"/>
  <c r="BY67" i="3"/>
  <c r="CA67" i="3" s="1"/>
  <c r="BU67" i="3"/>
  <c r="BW67" i="3" s="1"/>
  <c r="BQ67" i="3"/>
  <c r="BS67" i="3" s="1"/>
  <c r="BM67" i="3"/>
  <c r="BO67" i="3" s="1"/>
  <c r="BI67" i="3"/>
  <c r="BK67" i="3" s="1"/>
  <c r="BE67" i="3"/>
  <c r="BG67" i="3" s="1"/>
  <c r="BA67" i="3"/>
  <c r="BC67" i="3" s="1"/>
  <c r="CC66" i="3"/>
  <c r="BY66" i="3"/>
  <c r="CA66" i="3" s="1"/>
  <c r="BU66" i="3"/>
  <c r="BW66" i="3" s="1"/>
  <c r="BQ66" i="3"/>
  <c r="BS66" i="3" s="1"/>
  <c r="BM66" i="3"/>
  <c r="BO66" i="3" s="1"/>
  <c r="BI66" i="3"/>
  <c r="BK66" i="3" s="1"/>
  <c r="BE66" i="3"/>
  <c r="BG66" i="3" s="1"/>
  <c r="BA66" i="3"/>
  <c r="BC66" i="3" s="1"/>
  <c r="CC65" i="3"/>
  <c r="BY65" i="3"/>
  <c r="CA65" i="3" s="1"/>
  <c r="BU65" i="3"/>
  <c r="BW65" i="3" s="1"/>
  <c r="BQ65" i="3"/>
  <c r="BS65" i="3" s="1"/>
  <c r="BM65" i="3"/>
  <c r="BO65" i="3" s="1"/>
  <c r="BI65" i="3"/>
  <c r="BK65" i="3" s="1"/>
  <c r="BE65" i="3"/>
  <c r="BG65" i="3" s="1"/>
  <c r="BA65" i="3"/>
  <c r="BC65" i="3" s="1"/>
  <c r="CC64" i="3"/>
  <c r="BY64" i="3"/>
  <c r="CA64" i="3" s="1"/>
  <c r="BU64" i="3"/>
  <c r="BW64" i="3" s="1"/>
  <c r="BQ64" i="3"/>
  <c r="BS64" i="3" s="1"/>
  <c r="BM64" i="3"/>
  <c r="BO64" i="3" s="1"/>
  <c r="BI64" i="3"/>
  <c r="BK64" i="3" s="1"/>
  <c r="BE64" i="3"/>
  <c r="BG64" i="3" s="1"/>
  <c r="BA64" i="3"/>
  <c r="BC64" i="3" s="1"/>
  <c r="CC63" i="3"/>
  <c r="BY63" i="3"/>
  <c r="CA63" i="3" s="1"/>
  <c r="BU63" i="3"/>
  <c r="BW63" i="3" s="1"/>
  <c r="BQ63" i="3"/>
  <c r="BS63" i="3" s="1"/>
  <c r="BM63" i="3"/>
  <c r="BO63" i="3" s="1"/>
  <c r="BI63" i="3"/>
  <c r="BK63" i="3" s="1"/>
  <c r="BE63" i="3"/>
  <c r="BG63" i="3" s="1"/>
  <c r="BA63" i="3"/>
  <c r="BC63" i="3" s="1"/>
  <c r="CC62" i="3"/>
  <c r="BY62" i="3"/>
  <c r="CA62" i="3" s="1"/>
  <c r="BU62" i="3"/>
  <c r="BW62" i="3" s="1"/>
  <c r="BQ62" i="3"/>
  <c r="BS62" i="3" s="1"/>
  <c r="BM62" i="3"/>
  <c r="BO62" i="3" s="1"/>
  <c r="BI62" i="3"/>
  <c r="BK62" i="3" s="1"/>
  <c r="BE62" i="3"/>
  <c r="BG62" i="3" s="1"/>
  <c r="BA62" i="3"/>
  <c r="BC62" i="3" s="1"/>
  <c r="CC61" i="3"/>
  <c r="BY61" i="3"/>
  <c r="CA61" i="3" s="1"/>
  <c r="BU61" i="3"/>
  <c r="BW61" i="3" s="1"/>
  <c r="BQ61" i="3"/>
  <c r="BS61" i="3" s="1"/>
  <c r="BM61" i="3"/>
  <c r="BO61" i="3" s="1"/>
  <c r="BI61" i="3"/>
  <c r="BK61" i="3" s="1"/>
  <c r="BE61" i="3"/>
  <c r="BG61" i="3" s="1"/>
  <c r="BA61" i="3"/>
  <c r="BC61" i="3" s="1"/>
  <c r="CC60" i="3"/>
  <c r="BY60" i="3"/>
  <c r="CA60" i="3" s="1"/>
  <c r="BU60" i="3"/>
  <c r="BW60" i="3" s="1"/>
  <c r="BQ60" i="3"/>
  <c r="BS60" i="3" s="1"/>
  <c r="BM60" i="3"/>
  <c r="BO60" i="3" s="1"/>
  <c r="BI60" i="3"/>
  <c r="BK60" i="3" s="1"/>
  <c r="BE60" i="3"/>
  <c r="BG60" i="3" s="1"/>
  <c r="BA60" i="3"/>
  <c r="BC60" i="3" s="1"/>
  <c r="CC59" i="3"/>
  <c r="BY59" i="3"/>
  <c r="CA59" i="3" s="1"/>
  <c r="BU59" i="3"/>
  <c r="BW59" i="3" s="1"/>
  <c r="BQ59" i="3"/>
  <c r="BS59" i="3" s="1"/>
  <c r="BM59" i="3"/>
  <c r="BO59" i="3" s="1"/>
  <c r="BI59" i="3"/>
  <c r="BK59" i="3" s="1"/>
  <c r="BE59" i="3"/>
  <c r="BG59" i="3" s="1"/>
  <c r="BA59" i="3"/>
  <c r="BC59" i="3" s="1"/>
  <c r="CC58" i="3"/>
  <c r="BY58" i="3"/>
  <c r="CA58" i="3" s="1"/>
  <c r="BU58" i="3"/>
  <c r="BW58" i="3" s="1"/>
  <c r="BQ58" i="3"/>
  <c r="BS58" i="3" s="1"/>
  <c r="BM58" i="3"/>
  <c r="BO58" i="3" s="1"/>
  <c r="BI58" i="3"/>
  <c r="BK58" i="3" s="1"/>
  <c r="BE58" i="3"/>
  <c r="BG58" i="3" s="1"/>
  <c r="BA58" i="3"/>
  <c r="BC58" i="3" s="1"/>
  <c r="CC57" i="3"/>
  <c r="BY57" i="3"/>
  <c r="CA57" i="3" s="1"/>
  <c r="BU57" i="3"/>
  <c r="BW57" i="3" s="1"/>
  <c r="BQ57" i="3"/>
  <c r="BS57" i="3" s="1"/>
  <c r="BM57" i="3"/>
  <c r="BO57" i="3" s="1"/>
  <c r="BI57" i="3"/>
  <c r="BK57" i="3" s="1"/>
  <c r="BE57" i="3"/>
  <c r="BG57" i="3" s="1"/>
  <c r="BA57" i="3"/>
  <c r="BC57" i="3" s="1"/>
  <c r="CC56" i="3"/>
  <c r="BY56" i="3"/>
  <c r="CA56" i="3" s="1"/>
  <c r="BU56" i="3"/>
  <c r="BW56" i="3" s="1"/>
  <c r="BQ56" i="3"/>
  <c r="BS56" i="3" s="1"/>
  <c r="BM56" i="3"/>
  <c r="BO56" i="3" s="1"/>
  <c r="BI56" i="3"/>
  <c r="BK56" i="3" s="1"/>
  <c r="BE56" i="3"/>
  <c r="BG56" i="3" s="1"/>
  <c r="BA56" i="3"/>
  <c r="BC56" i="3" s="1"/>
  <c r="CC55" i="3"/>
  <c r="BY55" i="3"/>
  <c r="CA55" i="3" s="1"/>
  <c r="BU55" i="3"/>
  <c r="BW55" i="3" s="1"/>
  <c r="BQ55" i="3"/>
  <c r="BS55" i="3" s="1"/>
  <c r="BM55" i="3"/>
  <c r="BO55" i="3" s="1"/>
  <c r="BI55" i="3"/>
  <c r="BK55" i="3" s="1"/>
  <c r="BE55" i="3"/>
  <c r="BG55" i="3" s="1"/>
  <c r="BA55" i="3"/>
  <c r="BC55" i="3" s="1"/>
  <c r="CC54" i="3"/>
  <c r="BY54" i="3"/>
  <c r="CA54" i="3" s="1"/>
  <c r="BU54" i="3"/>
  <c r="BW54" i="3" s="1"/>
  <c r="BQ54" i="3"/>
  <c r="BS54" i="3" s="1"/>
  <c r="BM54" i="3"/>
  <c r="BO54" i="3" s="1"/>
  <c r="BI54" i="3"/>
  <c r="BK54" i="3" s="1"/>
  <c r="BE54" i="3"/>
  <c r="BG54" i="3" s="1"/>
  <c r="BA54" i="3"/>
  <c r="BC54" i="3" s="1"/>
  <c r="CC53" i="3"/>
  <c r="BY53" i="3"/>
  <c r="CA53" i="3" s="1"/>
  <c r="BU53" i="3"/>
  <c r="BW53" i="3" s="1"/>
  <c r="BQ53" i="3"/>
  <c r="BS53" i="3" s="1"/>
  <c r="BM53" i="3"/>
  <c r="BO53" i="3" s="1"/>
  <c r="BI53" i="3"/>
  <c r="BK53" i="3" s="1"/>
  <c r="BE53" i="3"/>
  <c r="BG53" i="3" s="1"/>
  <c r="BA53" i="3"/>
  <c r="BC53" i="3" s="1"/>
  <c r="CC52" i="3"/>
  <c r="BY52" i="3"/>
  <c r="CA52" i="3" s="1"/>
  <c r="BU52" i="3"/>
  <c r="BW52" i="3" s="1"/>
  <c r="BQ52" i="3"/>
  <c r="BS52" i="3" s="1"/>
  <c r="BM52" i="3"/>
  <c r="BO52" i="3" s="1"/>
  <c r="BI52" i="3"/>
  <c r="BK52" i="3" s="1"/>
  <c r="BE52" i="3"/>
  <c r="BG52" i="3" s="1"/>
  <c r="BA52" i="3"/>
  <c r="BC52" i="3" s="1"/>
  <c r="CC51" i="3"/>
  <c r="BY51" i="3"/>
  <c r="CA51" i="3" s="1"/>
  <c r="BU51" i="3"/>
  <c r="BW51" i="3" s="1"/>
  <c r="BQ51" i="3"/>
  <c r="BS51" i="3" s="1"/>
  <c r="BM51" i="3"/>
  <c r="BO51" i="3" s="1"/>
  <c r="BI51" i="3"/>
  <c r="BK51" i="3" s="1"/>
  <c r="BE51" i="3"/>
  <c r="BG51" i="3" s="1"/>
  <c r="BA51" i="3"/>
  <c r="BC51" i="3" s="1"/>
  <c r="CC50" i="3"/>
  <c r="BY50" i="3"/>
  <c r="CA50" i="3" s="1"/>
  <c r="BU50" i="3"/>
  <c r="BW50" i="3" s="1"/>
  <c r="BQ50" i="3"/>
  <c r="BS50" i="3" s="1"/>
  <c r="BM50" i="3"/>
  <c r="BO50" i="3" s="1"/>
  <c r="BI50" i="3"/>
  <c r="BK50" i="3" s="1"/>
  <c r="BE50" i="3"/>
  <c r="BG50" i="3" s="1"/>
  <c r="BA50" i="3"/>
  <c r="BC50" i="3" s="1"/>
  <c r="CC49" i="3"/>
  <c r="BY49" i="3"/>
  <c r="CA49" i="3" s="1"/>
  <c r="BU49" i="3"/>
  <c r="BW49" i="3" s="1"/>
  <c r="BQ49" i="3"/>
  <c r="BS49" i="3" s="1"/>
  <c r="BM49" i="3"/>
  <c r="BO49" i="3" s="1"/>
  <c r="BI49" i="3"/>
  <c r="BK49" i="3" s="1"/>
  <c r="BE49" i="3"/>
  <c r="BG49" i="3" s="1"/>
  <c r="BA49" i="3"/>
  <c r="BC49" i="3" s="1"/>
  <c r="CC48" i="3"/>
  <c r="BY48" i="3"/>
  <c r="CA48" i="3" s="1"/>
  <c r="BU48" i="3"/>
  <c r="BW48" i="3" s="1"/>
  <c r="BQ48" i="3"/>
  <c r="BS48" i="3" s="1"/>
  <c r="BM48" i="3"/>
  <c r="BO48" i="3" s="1"/>
  <c r="BI48" i="3"/>
  <c r="BK48" i="3" s="1"/>
  <c r="BE48" i="3"/>
  <c r="BG48" i="3" s="1"/>
  <c r="BA48" i="3"/>
  <c r="BC48" i="3" s="1"/>
  <c r="CC47" i="3"/>
  <c r="BY47" i="3"/>
  <c r="CA47" i="3" s="1"/>
  <c r="BU47" i="3"/>
  <c r="BW47" i="3" s="1"/>
  <c r="BQ47" i="3"/>
  <c r="BS47" i="3" s="1"/>
  <c r="BM47" i="3"/>
  <c r="BO47" i="3" s="1"/>
  <c r="BI47" i="3"/>
  <c r="BK47" i="3" s="1"/>
  <c r="BE47" i="3"/>
  <c r="BG47" i="3" s="1"/>
  <c r="BA47" i="3"/>
  <c r="BC47" i="3" s="1"/>
  <c r="CC46" i="3"/>
  <c r="BY46" i="3"/>
  <c r="CA46" i="3" s="1"/>
  <c r="BU46" i="3"/>
  <c r="BW46" i="3" s="1"/>
  <c r="BQ46" i="3"/>
  <c r="BS46" i="3" s="1"/>
  <c r="BM46" i="3"/>
  <c r="BO46" i="3" s="1"/>
  <c r="BI46" i="3"/>
  <c r="BK46" i="3" s="1"/>
  <c r="BE46" i="3"/>
  <c r="BG46" i="3" s="1"/>
  <c r="BA46" i="3"/>
  <c r="BC46" i="3" s="1"/>
  <c r="CC45" i="3"/>
  <c r="BY45" i="3"/>
  <c r="BU45" i="3"/>
  <c r="BQ45" i="3"/>
  <c r="BM45" i="3"/>
  <c r="BI45" i="3"/>
  <c r="BE45" i="3"/>
  <c r="BA45" i="3"/>
  <c r="BC45" i="3" s="1"/>
  <c r="CC44" i="3"/>
  <c r="BY44" i="3"/>
  <c r="CA44" i="3" s="1"/>
  <c r="BU44" i="3"/>
  <c r="BW44" i="3" s="1"/>
  <c r="BQ44" i="3"/>
  <c r="BS44" i="3" s="1"/>
  <c r="BM44" i="3"/>
  <c r="BO44" i="3" s="1"/>
  <c r="BI44" i="3"/>
  <c r="BK44" i="3" s="1"/>
  <c r="BE44" i="3"/>
  <c r="BG44" i="3" s="1"/>
  <c r="BA44" i="3"/>
  <c r="BC44" i="3" s="1"/>
  <c r="CC43" i="3"/>
  <c r="BY43" i="3"/>
  <c r="CA43" i="3" s="1"/>
  <c r="BU43" i="3"/>
  <c r="BW43" i="3" s="1"/>
  <c r="BQ43" i="3"/>
  <c r="BS43" i="3" s="1"/>
  <c r="BM43" i="3"/>
  <c r="BO43" i="3" s="1"/>
  <c r="BI43" i="3"/>
  <c r="BK43" i="3" s="1"/>
  <c r="BE43" i="3"/>
  <c r="BG43" i="3" s="1"/>
  <c r="BA43" i="3"/>
  <c r="BC43" i="3" s="1"/>
  <c r="CC42" i="3"/>
  <c r="BY42" i="3"/>
  <c r="CA42" i="3" s="1"/>
  <c r="BU42" i="3"/>
  <c r="BW42" i="3" s="1"/>
  <c r="BQ42" i="3"/>
  <c r="BS42" i="3" s="1"/>
  <c r="BM42" i="3"/>
  <c r="BO42" i="3" s="1"/>
  <c r="BI42" i="3"/>
  <c r="BK42" i="3" s="1"/>
  <c r="BE42" i="3"/>
  <c r="BG42" i="3" s="1"/>
  <c r="BA42" i="3"/>
  <c r="BC42" i="3" s="1"/>
  <c r="CC41" i="3"/>
  <c r="BY41" i="3"/>
  <c r="CA41" i="3" s="1"/>
  <c r="BU41" i="3"/>
  <c r="BW41" i="3" s="1"/>
  <c r="BQ41" i="3"/>
  <c r="BS41" i="3" s="1"/>
  <c r="BM41" i="3"/>
  <c r="BO41" i="3" s="1"/>
  <c r="BI41" i="3"/>
  <c r="BK41" i="3" s="1"/>
  <c r="BE41" i="3"/>
  <c r="BG41" i="3" s="1"/>
  <c r="BA41" i="3"/>
  <c r="BC41" i="3" s="1"/>
  <c r="CC40" i="3"/>
  <c r="BY40" i="3"/>
  <c r="CA40" i="3" s="1"/>
  <c r="BU40" i="3"/>
  <c r="BW40" i="3" s="1"/>
  <c r="BQ40" i="3"/>
  <c r="BS40" i="3" s="1"/>
  <c r="BM40" i="3"/>
  <c r="BO40" i="3" s="1"/>
  <c r="BI40" i="3"/>
  <c r="BK40" i="3" s="1"/>
  <c r="BE40" i="3"/>
  <c r="BG40" i="3" s="1"/>
  <c r="BA40" i="3"/>
  <c r="BC40" i="3" s="1"/>
  <c r="CC39" i="3"/>
  <c r="BY39" i="3"/>
  <c r="CA39" i="3" s="1"/>
  <c r="BU39" i="3"/>
  <c r="BW39" i="3" s="1"/>
  <c r="BQ39" i="3"/>
  <c r="BS39" i="3" s="1"/>
  <c r="BM39" i="3"/>
  <c r="BO39" i="3" s="1"/>
  <c r="BI39" i="3"/>
  <c r="BK39" i="3" s="1"/>
  <c r="BE39" i="3"/>
  <c r="BG39" i="3" s="1"/>
  <c r="BA39" i="3"/>
  <c r="BC39" i="3" s="1"/>
  <c r="CC38" i="3"/>
  <c r="BY38" i="3"/>
  <c r="CA38" i="3" s="1"/>
  <c r="BU38" i="3"/>
  <c r="BW38" i="3" s="1"/>
  <c r="BQ38" i="3"/>
  <c r="BS38" i="3" s="1"/>
  <c r="BM38" i="3"/>
  <c r="BO38" i="3" s="1"/>
  <c r="BI38" i="3"/>
  <c r="BK38" i="3" s="1"/>
  <c r="BE38" i="3"/>
  <c r="BG38" i="3" s="1"/>
  <c r="BA38" i="3"/>
  <c r="BC38" i="3" s="1"/>
  <c r="CC37" i="3"/>
  <c r="BY37" i="3"/>
  <c r="CA37" i="3" s="1"/>
  <c r="BU37" i="3"/>
  <c r="BW37" i="3" s="1"/>
  <c r="BQ37" i="3"/>
  <c r="BS37" i="3" s="1"/>
  <c r="BM37" i="3"/>
  <c r="BO37" i="3" s="1"/>
  <c r="BI37" i="3"/>
  <c r="BK37" i="3" s="1"/>
  <c r="BE37" i="3"/>
  <c r="BG37" i="3" s="1"/>
  <c r="BA37" i="3"/>
  <c r="BC37" i="3" s="1"/>
  <c r="CC36" i="3"/>
  <c r="BY36" i="3"/>
  <c r="CA36" i="3" s="1"/>
  <c r="BU36" i="3"/>
  <c r="BW36" i="3" s="1"/>
  <c r="BQ36" i="3"/>
  <c r="BS36" i="3" s="1"/>
  <c r="BM36" i="3"/>
  <c r="BO36" i="3" s="1"/>
  <c r="BI36" i="3"/>
  <c r="BK36" i="3" s="1"/>
  <c r="BE36" i="3"/>
  <c r="BG36" i="3" s="1"/>
  <c r="BA36" i="3"/>
  <c r="BC36" i="3" s="1"/>
  <c r="CC35" i="3"/>
  <c r="BY35" i="3"/>
  <c r="CA35" i="3" s="1"/>
  <c r="BU35" i="3"/>
  <c r="BW35" i="3" s="1"/>
  <c r="BQ35" i="3"/>
  <c r="BS35" i="3" s="1"/>
  <c r="BM35" i="3"/>
  <c r="BO35" i="3" s="1"/>
  <c r="BI35" i="3"/>
  <c r="BK35" i="3" s="1"/>
  <c r="BE35" i="3"/>
  <c r="BG35" i="3" s="1"/>
  <c r="BA35" i="3"/>
  <c r="BC35" i="3" s="1"/>
  <c r="CC34" i="3"/>
  <c r="BY34" i="3"/>
  <c r="CA34" i="3" s="1"/>
  <c r="BU34" i="3"/>
  <c r="BW34" i="3" s="1"/>
  <c r="BQ34" i="3"/>
  <c r="BS34" i="3" s="1"/>
  <c r="BM34" i="3"/>
  <c r="BO34" i="3" s="1"/>
  <c r="BI34" i="3"/>
  <c r="BK34" i="3" s="1"/>
  <c r="BE34" i="3"/>
  <c r="BG34" i="3" s="1"/>
  <c r="BA34" i="3"/>
  <c r="BC34" i="3" s="1"/>
  <c r="CC33" i="3"/>
  <c r="BY33" i="3"/>
  <c r="CA33" i="3" s="1"/>
  <c r="BU33" i="3"/>
  <c r="BW33" i="3" s="1"/>
  <c r="BQ33" i="3"/>
  <c r="BS33" i="3" s="1"/>
  <c r="BM33" i="3"/>
  <c r="BO33" i="3" s="1"/>
  <c r="BI33" i="3"/>
  <c r="BK33" i="3" s="1"/>
  <c r="BE33" i="3"/>
  <c r="BG33" i="3" s="1"/>
  <c r="BA33" i="3"/>
  <c r="BC33" i="3" s="1"/>
  <c r="CC32" i="3"/>
  <c r="BY32" i="3"/>
  <c r="CA32" i="3" s="1"/>
  <c r="BU32" i="3"/>
  <c r="BW32" i="3" s="1"/>
  <c r="BQ32" i="3"/>
  <c r="BS32" i="3" s="1"/>
  <c r="BM32" i="3"/>
  <c r="BO32" i="3" s="1"/>
  <c r="BI32" i="3"/>
  <c r="BK32" i="3" s="1"/>
  <c r="BE32" i="3"/>
  <c r="BG32" i="3" s="1"/>
  <c r="BA32" i="3"/>
  <c r="BC32" i="3" s="1"/>
  <c r="CC31" i="3"/>
  <c r="BY31" i="3"/>
  <c r="CA31" i="3" s="1"/>
  <c r="BU31" i="3"/>
  <c r="BW31" i="3" s="1"/>
  <c r="BQ31" i="3"/>
  <c r="BS31" i="3" s="1"/>
  <c r="BM31" i="3"/>
  <c r="BO31" i="3" s="1"/>
  <c r="BI31" i="3"/>
  <c r="BK31" i="3" s="1"/>
  <c r="BE31" i="3"/>
  <c r="BG31" i="3" s="1"/>
  <c r="BA31" i="3"/>
  <c r="BC31" i="3" s="1"/>
  <c r="CC30" i="3"/>
  <c r="BY30" i="3"/>
  <c r="CA30" i="3" s="1"/>
  <c r="BU30" i="3"/>
  <c r="BW30" i="3" s="1"/>
  <c r="BQ30" i="3"/>
  <c r="BS30" i="3" s="1"/>
  <c r="BM30" i="3"/>
  <c r="BO30" i="3" s="1"/>
  <c r="BI30" i="3"/>
  <c r="BK30" i="3" s="1"/>
  <c r="BE30" i="3"/>
  <c r="BG30" i="3" s="1"/>
  <c r="BA30" i="3"/>
  <c r="BC30" i="3" s="1"/>
  <c r="CC29" i="3"/>
  <c r="BY29" i="3"/>
  <c r="CA29" i="3" s="1"/>
  <c r="BU29" i="3"/>
  <c r="BW29" i="3" s="1"/>
  <c r="BQ29" i="3"/>
  <c r="BS29" i="3" s="1"/>
  <c r="BM29" i="3"/>
  <c r="BO29" i="3" s="1"/>
  <c r="BI29" i="3"/>
  <c r="BK29" i="3" s="1"/>
  <c r="BE29" i="3"/>
  <c r="BG29" i="3" s="1"/>
  <c r="BA29" i="3"/>
  <c r="BC29" i="3" s="1"/>
  <c r="CC28" i="3"/>
  <c r="BY28" i="3"/>
  <c r="CA28" i="3" s="1"/>
  <c r="BU28" i="3"/>
  <c r="BW28" i="3" s="1"/>
  <c r="BQ28" i="3"/>
  <c r="BS28" i="3" s="1"/>
  <c r="BM28" i="3"/>
  <c r="BO28" i="3" s="1"/>
  <c r="BI28" i="3"/>
  <c r="BK28" i="3" s="1"/>
  <c r="BE28" i="3"/>
  <c r="BG28" i="3" s="1"/>
  <c r="BA28" i="3"/>
  <c r="BC28" i="3" s="1"/>
  <c r="CC27" i="3"/>
  <c r="BY27" i="3"/>
  <c r="CA27" i="3" s="1"/>
  <c r="BU27" i="3"/>
  <c r="BW27" i="3" s="1"/>
  <c r="BQ27" i="3"/>
  <c r="BS27" i="3" s="1"/>
  <c r="BM27" i="3"/>
  <c r="BO27" i="3" s="1"/>
  <c r="BI27" i="3"/>
  <c r="BK27" i="3" s="1"/>
  <c r="BE27" i="3"/>
  <c r="BG27" i="3" s="1"/>
  <c r="BA27" i="3"/>
  <c r="BC27" i="3" s="1"/>
  <c r="CC26" i="3"/>
  <c r="BY26" i="3"/>
  <c r="CA26" i="3" s="1"/>
  <c r="BU26" i="3"/>
  <c r="BW26" i="3" s="1"/>
  <c r="BQ26" i="3"/>
  <c r="BS26" i="3" s="1"/>
  <c r="BM26" i="3"/>
  <c r="BO26" i="3" s="1"/>
  <c r="BI26" i="3"/>
  <c r="BK26" i="3" s="1"/>
  <c r="BE26" i="3"/>
  <c r="BG26" i="3" s="1"/>
  <c r="BA26" i="3"/>
  <c r="BC26" i="3" s="1"/>
  <c r="CC25" i="3"/>
  <c r="BY25" i="3"/>
  <c r="CA25" i="3" s="1"/>
  <c r="BU25" i="3"/>
  <c r="BW25" i="3" s="1"/>
  <c r="BQ25" i="3"/>
  <c r="BS25" i="3" s="1"/>
  <c r="BM25" i="3"/>
  <c r="BO25" i="3" s="1"/>
  <c r="BI25" i="3"/>
  <c r="BK25" i="3" s="1"/>
  <c r="BE25" i="3"/>
  <c r="BG25" i="3" s="1"/>
  <c r="BA25" i="3"/>
  <c r="BC25" i="3" s="1"/>
  <c r="CC24" i="3"/>
  <c r="BY24" i="3"/>
  <c r="CA24" i="3" s="1"/>
  <c r="BU24" i="3"/>
  <c r="BW24" i="3" s="1"/>
  <c r="BQ24" i="3"/>
  <c r="BS24" i="3" s="1"/>
  <c r="BM24" i="3"/>
  <c r="BO24" i="3" s="1"/>
  <c r="BI24" i="3"/>
  <c r="BK24" i="3" s="1"/>
  <c r="BE24" i="3"/>
  <c r="BG24" i="3" s="1"/>
  <c r="BA24" i="3"/>
  <c r="BC24" i="3" s="1"/>
  <c r="CC23" i="3"/>
  <c r="BY23" i="3"/>
  <c r="CA23" i="3" s="1"/>
  <c r="BU23" i="3"/>
  <c r="BW23" i="3" s="1"/>
  <c r="BQ23" i="3"/>
  <c r="BS23" i="3" s="1"/>
  <c r="BM23" i="3"/>
  <c r="BO23" i="3" s="1"/>
  <c r="BI23" i="3"/>
  <c r="BK23" i="3" s="1"/>
  <c r="BE23" i="3"/>
  <c r="BG23" i="3" s="1"/>
  <c r="BA23" i="3"/>
  <c r="BC23" i="3" s="1"/>
  <c r="CC22" i="3"/>
  <c r="BY22" i="3"/>
  <c r="CA22" i="3" s="1"/>
  <c r="BU22" i="3"/>
  <c r="BW22" i="3" s="1"/>
  <c r="BQ22" i="3"/>
  <c r="BS22" i="3" s="1"/>
  <c r="BM22" i="3"/>
  <c r="BO22" i="3" s="1"/>
  <c r="BI22" i="3"/>
  <c r="BK22" i="3" s="1"/>
  <c r="BE22" i="3"/>
  <c r="BG22" i="3" s="1"/>
  <c r="BA22" i="3"/>
  <c r="BC22" i="3" s="1"/>
  <c r="CC21" i="3"/>
  <c r="BY21" i="3"/>
  <c r="CA21" i="3" s="1"/>
  <c r="BU21" i="3"/>
  <c r="BW21" i="3" s="1"/>
  <c r="BQ21" i="3"/>
  <c r="BS21" i="3" s="1"/>
  <c r="BM21" i="3"/>
  <c r="BO21" i="3" s="1"/>
  <c r="BI21" i="3"/>
  <c r="BK21" i="3" s="1"/>
  <c r="BE21" i="3"/>
  <c r="BG21" i="3" s="1"/>
  <c r="BA21" i="3"/>
  <c r="BC21" i="3" s="1"/>
  <c r="CC20" i="3"/>
  <c r="BY20" i="3"/>
  <c r="CA20" i="3" s="1"/>
  <c r="BU20" i="3"/>
  <c r="BW20" i="3" s="1"/>
  <c r="BQ20" i="3"/>
  <c r="BS20" i="3" s="1"/>
  <c r="BM20" i="3"/>
  <c r="BO20" i="3" s="1"/>
  <c r="BI20" i="3"/>
  <c r="BK20" i="3" s="1"/>
  <c r="BE20" i="3"/>
  <c r="BG20" i="3" s="1"/>
  <c r="BA20" i="3"/>
  <c r="BC20" i="3" s="1"/>
  <c r="CC19" i="3"/>
  <c r="BY19" i="3"/>
  <c r="CA19" i="3" s="1"/>
  <c r="BU19" i="3"/>
  <c r="BW19" i="3" s="1"/>
  <c r="BQ19" i="3"/>
  <c r="BS19" i="3" s="1"/>
  <c r="BM19" i="3"/>
  <c r="BO19" i="3" s="1"/>
  <c r="BI19" i="3"/>
  <c r="BK19" i="3" s="1"/>
  <c r="BE19" i="3"/>
  <c r="BG19" i="3" s="1"/>
  <c r="BA19" i="3"/>
  <c r="BC19" i="3" s="1"/>
  <c r="CC18" i="3"/>
  <c r="BY18" i="3"/>
  <c r="CA18" i="3" s="1"/>
  <c r="BU18" i="3"/>
  <c r="BW18" i="3" s="1"/>
  <c r="BQ18" i="3"/>
  <c r="BS18" i="3" s="1"/>
  <c r="BM18" i="3"/>
  <c r="BO18" i="3" s="1"/>
  <c r="BI18" i="3"/>
  <c r="BK18" i="3" s="1"/>
  <c r="BE18" i="3"/>
  <c r="BG18" i="3" s="1"/>
  <c r="BA18" i="3"/>
  <c r="BC18" i="3" s="1"/>
  <c r="CC17" i="3"/>
  <c r="BY17" i="3"/>
  <c r="CA17" i="3" s="1"/>
  <c r="BU17" i="3"/>
  <c r="BW17" i="3" s="1"/>
  <c r="BQ17" i="3"/>
  <c r="BS17" i="3" s="1"/>
  <c r="BM17" i="3"/>
  <c r="BO17" i="3" s="1"/>
  <c r="BI17" i="3"/>
  <c r="BK17" i="3" s="1"/>
  <c r="BE17" i="3"/>
  <c r="BG17" i="3" s="1"/>
  <c r="BA17" i="3"/>
  <c r="BC17" i="3" s="1"/>
  <c r="CC16" i="3"/>
  <c r="BY16" i="3"/>
  <c r="CA16" i="3" s="1"/>
  <c r="BU16" i="3"/>
  <c r="BW16" i="3" s="1"/>
  <c r="BQ16" i="3"/>
  <c r="BS16" i="3" s="1"/>
  <c r="BM16" i="3"/>
  <c r="BO16" i="3" s="1"/>
  <c r="BI16" i="3"/>
  <c r="BK16" i="3" s="1"/>
  <c r="BE16" i="3"/>
  <c r="BG16" i="3" s="1"/>
  <c r="BA16" i="3"/>
  <c r="BC16" i="3" s="1"/>
  <c r="CC15" i="3"/>
  <c r="BY15" i="3"/>
  <c r="CA15" i="3" s="1"/>
  <c r="BU15" i="3"/>
  <c r="BW15" i="3" s="1"/>
  <c r="BQ15" i="3"/>
  <c r="BS15" i="3" s="1"/>
  <c r="BM15" i="3"/>
  <c r="BO15" i="3" s="1"/>
  <c r="BI15" i="3"/>
  <c r="BK15" i="3" s="1"/>
  <c r="BE15" i="3"/>
  <c r="BG15" i="3" s="1"/>
  <c r="BA15" i="3"/>
  <c r="BC15" i="3" s="1"/>
  <c r="CC13" i="3"/>
  <c r="BY13" i="3"/>
  <c r="CA13" i="3" s="1"/>
  <c r="BU13" i="3"/>
  <c r="BW13" i="3" s="1"/>
  <c r="BQ13" i="3"/>
  <c r="BS13" i="3" s="1"/>
  <c r="BM13" i="3"/>
  <c r="BO13" i="3" s="1"/>
  <c r="BI13" i="3"/>
  <c r="BK13" i="3" s="1"/>
  <c r="BE13" i="3"/>
  <c r="BG13" i="3" s="1"/>
  <c r="BA13" i="3"/>
  <c r="BC13" i="3" s="1"/>
  <c r="CC12" i="3"/>
  <c r="BY12" i="3"/>
  <c r="CA12" i="3" s="1"/>
  <c r="BU12" i="3"/>
  <c r="BW12" i="3" s="1"/>
  <c r="BQ12" i="3"/>
  <c r="BS12" i="3" s="1"/>
  <c r="BM12" i="3"/>
  <c r="BO12" i="3" s="1"/>
  <c r="BI12" i="3"/>
  <c r="BK12" i="3" s="1"/>
  <c r="BE12" i="3"/>
  <c r="BG12" i="3" s="1"/>
  <c r="BA12" i="3"/>
  <c r="BC12" i="3" s="1"/>
  <c r="CC11" i="3"/>
  <c r="BY11" i="3"/>
  <c r="CA11" i="3" s="1"/>
  <c r="BU11" i="3"/>
  <c r="BW11" i="3" s="1"/>
  <c r="BQ11" i="3"/>
  <c r="BS11" i="3" s="1"/>
  <c r="BM11" i="3"/>
  <c r="BO11" i="3" s="1"/>
  <c r="BI11" i="3"/>
  <c r="BK11" i="3" s="1"/>
  <c r="BE11" i="3"/>
  <c r="BG11" i="3" s="1"/>
  <c r="BA11" i="3"/>
  <c r="BC11" i="3" s="1"/>
  <c r="CC10" i="3"/>
  <c r="BY10" i="3"/>
  <c r="CA10" i="3" s="1"/>
  <c r="BU10" i="3"/>
  <c r="BW10" i="3" s="1"/>
  <c r="BQ10" i="3"/>
  <c r="BS10" i="3" s="1"/>
  <c r="BM10" i="3"/>
  <c r="BO10" i="3" s="1"/>
  <c r="BI10" i="3"/>
  <c r="BK10" i="3" s="1"/>
  <c r="BE10" i="3"/>
  <c r="BG10" i="3" s="1"/>
  <c r="BA10" i="3"/>
  <c r="BC10" i="3" s="1"/>
  <c r="CC9" i="3"/>
  <c r="BY9" i="3"/>
  <c r="CA9" i="3" s="1"/>
  <c r="BU9" i="3"/>
  <c r="BW9" i="3" s="1"/>
  <c r="BQ9" i="3"/>
  <c r="BS9" i="3" s="1"/>
  <c r="BM9" i="3"/>
  <c r="BO9" i="3" s="1"/>
  <c r="BI9" i="3"/>
  <c r="BK9" i="3" s="1"/>
  <c r="BE9" i="3"/>
  <c r="BG9" i="3" s="1"/>
  <c r="BA9" i="3"/>
  <c r="BC9" i="3" s="1"/>
  <c r="CC8" i="3"/>
  <c r="BY8" i="3"/>
  <c r="BU8" i="3"/>
  <c r="BQ8" i="3"/>
  <c r="BM8" i="3"/>
  <c r="BI8" i="3"/>
  <c r="BE8" i="3"/>
  <c r="BA8" i="3"/>
  <c r="BC8" i="3" s="1"/>
  <c r="CC7" i="3"/>
  <c r="BY7" i="3"/>
  <c r="CA7" i="3" s="1"/>
  <c r="BU7" i="3"/>
  <c r="BW7" i="3" s="1"/>
  <c r="BQ7" i="3"/>
  <c r="BS7" i="3" s="1"/>
  <c r="BM7" i="3"/>
  <c r="BO7" i="3" s="1"/>
  <c r="BI7" i="3"/>
  <c r="BK7" i="3" s="1"/>
  <c r="BE7" i="3"/>
  <c r="BG7" i="3" s="1"/>
  <c r="BA7" i="3"/>
  <c r="BC7" i="3" s="1"/>
  <c r="CC6" i="3"/>
  <c r="BY6" i="3"/>
  <c r="CA6" i="3" s="1"/>
  <c r="BU6" i="3"/>
  <c r="BW6" i="3" s="1"/>
  <c r="BQ6" i="3"/>
  <c r="BS6" i="3" s="1"/>
  <c r="BM6" i="3"/>
  <c r="BO6" i="3" s="1"/>
  <c r="BI6" i="3"/>
  <c r="BK6" i="3" s="1"/>
  <c r="BE6" i="3"/>
  <c r="BG6" i="3" s="1"/>
  <c r="BA6" i="3"/>
  <c r="BC6" i="3" s="1"/>
  <c r="CC5" i="3"/>
  <c r="BY5" i="3"/>
  <c r="CA5" i="3" s="1"/>
  <c r="BU5" i="3"/>
  <c r="BW5" i="3" s="1"/>
  <c r="BQ5" i="3"/>
  <c r="BS5" i="3" s="1"/>
  <c r="BM5" i="3"/>
  <c r="BO5" i="3" s="1"/>
  <c r="BI5" i="3"/>
  <c r="BK5" i="3" s="1"/>
  <c r="BE5" i="3"/>
  <c r="BG5" i="3" s="1"/>
  <c r="BA5" i="3"/>
  <c r="BC5" i="3" s="1"/>
  <c r="CC4" i="3"/>
  <c r="BY4" i="3"/>
  <c r="CA4" i="3" s="1"/>
  <c r="BU4" i="3"/>
  <c r="BW4" i="3" s="1"/>
  <c r="BQ4" i="3"/>
  <c r="BS4" i="3" s="1"/>
  <c r="BM4" i="3"/>
  <c r="BO4" i="3" s="1"/>
  <c r="BI4" i="3"/>
  <c r="BK4" i="3" s="1"/>
  <c r="BE4" i="3"/>
  <c r="BG4" i="3" s="1"/>
  <c r="BA4" i="3"/>
  <c r="BC4" i="3" s="1"/>
  <c r="AW70" i="3"/>
  <c r="AY70" i="3" s="1"/>
  <c r="AS70" i="3"/>
  <c r="AU70" i="3" s="1"/>
  <c r="AO70" i="3"/>
  <c r="AQ70" i="3" s="1"/>
  <c r="AK70" i="3"/>
  <c r="AM70" i="3" s="1"/>
  <c r="AW69" i="3"/>
  <c r="AY69" i="3" s="1"/>
  <c r="AS69" i="3"/>
  <c r="AU69" i="3" s="1"/>
  <c r="AO69" i="3"/>
  <c r="AQ69" i="3" s="1"/>
  <c r="AK69" i="3"/>
  <c r="AM69" i="3" s="1"/>
  <c r="AW68" i="3"/>
  <c r="AY68" i="3" s="1"/>
  <c r="AS68" i="3"/>
  <c r="AU68" i="3" s="1"/>
  <c r="AO68" i="3"/>
  <c r="AQ68" i="3" s="1"/>
  <c r="AK68" i="3"/>
  <c r="AM68" i="3" s="1"/>
  <c r="AW67" i="3"/>
  <c r="AY67" i="3" s="1"/>
  <c r="AS67" i="3"/>
  <c r="AU67" i="3" s="1"/>
  <c r="AO67" i="3"/>
  <c r="AQ67" i="3" s="1"/>
  <c r="AK67" i="3"/>
  <c r="AM67" i="3" s="1"/>
  <c r="AW66" i="3"/>
  <c r="AY66" i="3" s="1"/>
  <c r="AS66" i="3"/>
  <c r="AU66" i="3" s="1"/>
  <c r="AO66" i="3"/>
  <c r="AQ66" i="3" s="1"/>
  <c r="AK66" i="3"/>
  <c r="AM66" i="3" s="1"/>
  <c r="AW65" i="3"/>
  <c r="AY65" i="3" s="1"/>
  <c r="AS65" i="3"/>
  <c r="AU65" i="3" s="1"/>
  <c r="AO65" i="3"/>
  <c r="AQ65" i="3" s="1"/>
  <c r="AK65" i="3"/>
  <c r="AM65" i="3" s="1"/>
  <c r="AW64" i="3"/>
  <c r="AY64" i="3" s="1"/>
  <c r="AS64" i="3"/>
  <c r="AU64" i="3" s="1"/>
  <c r="AO64" i="3"/>
  <c r="AQ64" i="3" s="1"/>
  <c r="AK64" i="3"/>
  <c r="AM64" i="3" s="1"/>
  <c r="AW63" i="3"/>
  <c r="AY63" i="3" s="1"/>
  <c r="AS63" i="3"/>
  <c r="AU63" i="3" s="1"/>
  <c r="AO63" i="3"/>
  <c r="AQ63" i="3" s="1"/>
  <c r="AK63" i="3"/>
  <c r="AM63" i="3" s="1"/>
  <c r="AW62" i="3"/>
  <c r="AY62" i="3" s="1"/>
  <c r="AS62" i="3"/>
  <c r="AU62" i="3" s="1"/>
  <c r="AO62" i="3"/>
  <c r="AQ62" i="3" s="1"/>
  <c r="AK62" i="3"/>
  <c r="AM62" i="3" s="1"/>
  <c r="AW61" i="3"/>
  <c r="AY61" i="3" s="1"/>
  <c r="AS61" i="3"/>
  <c r="AU61" i="3" s="1"/>
  <c r="AO61" i="3"/>
  <c r="AQ61" i="3" s="1"/>
  <c r="AK61" i="3"/>
  <c r="AM61" i="3" s="1"/>
  <c r="AW60" i="3"/>
  <c r="AY60" i="3" s="1"/>
  <c r="AS60" i="3"/>
  <c r="AU60" i="3" s="1"/>
  <c r="AO60" i="3"/>
  <c r="AQ60" i="3" s="1"/>
  <c r="AK60" i="3"/>
  <c r="AM60" i="3" s="1"/>
  <c r="AW59" i="3"/>
  <c r="AY59" i="3" s="1"/>
  <c r="AS59" i="3"/>
  <c r="AU59" i="3" s="1"/>
  <c r="AO59" i="3"/>
  <c r="AQ59" i="3" s="1"/>
  <c r="AK59" i="3"/>
  <c r="AM59" i="3" s="1"/>
  <c r="AW58" i="3"/>
  <c r="AY58" i="3" s="1"/>
  <c r="AS58" i="3"/>
  <c r="AU58" i="3" s="1"/>
  <c r="AO58" i="3"/>
  <c r="AQ58" i="3" s="1"/>
  <c r="AK58" i="3"/>
  <c r="AM58" i="3" s="1"/>
  <c r="AW57" i="3"/>
  <c r="AY57" i="3" s="1"/>
  <c r="AS57" i="3"/>
  <c r="AU57" i="3" s="1"/>
  <c r="AO57" i="3"/>
  <c r="AQ57" i="3" s="1"/>
  <c r="AK57" i="3"/>
  <c r="AM57" i="3" s="1"/>
  <c r="AW56" i="3"/>
  <c r="AY56" i="3" s="1"/>
  <c r="AS56" i="3"/>
  <c r="AU56" i="3" s="1"/>
  <c r="AO56" i="3"/>
  <c r="AQ56" i="3" s="1"/>
  <c r="AK56" i="3"/>
  <c r="AM56" i="3" s="1"/>
  <c r="AW55" i="3"/>
  <c r="AY55" i="3" s="1"/>
  <c r="AS55" i="3"/>
  <c r="AU55" i="3" s="1"/>
  <c r="AO55" i="3"/>
  <c r="AQ55" i="3" s="1"/>
  <c r="AK55" i="3"/>
  <c r="AM55" i="3" s="1"/>
  <c r="AW54" i="3"/>
  <c r="AY54" i="3" s="1"/>
  <c r="AS54" i="3"/>
  <c r="AU54" i="3" s="1"/>
  <c r="AO54" i="3"/>
  <c r="AQ54" i="3" s="1"/>
  <c r="AK54" i="3"/>
  <c r="AM54" i="3" s="1"/>
  <c r="AW53" i="3"/>
  <c r="AY53" i="3" s="1"/>
  <c r="AS53" i="3"/>
  <c r="AU53" i="3" s="1"/>
  <c r="AO53" i="3"/>
  <c r="AQ53" i="3" s="1"/>
  <c r="AK53" i="3"/>
  <c r="AM53" i="3" s="1"/>
  <c r="AW52" i="3"/>
  <c r="AY52" i="3" s="1"/>
  <c r="AS52" i="3"/>
  <c r="AU52" i="3" s="1"/>
  <c r="AO52" i="3"/>
  <c r="AQ52" i="3" s="1"/>
  <c r="AK52" i="3"/>
  <c r="AM52" i="3" s="1"/>
  <c r="AW51" i="3"/>
  <c r="AY51" i="3" s="1"/>
  <c r="AS51" i="3"/>
  <c r="AU51" i="3" s="1"/>
  <c r="AO51" i="3"/>
  <c r="AQ51" i="3" s="1"/>
  <c r="AK51" i="3"/>
  <c r="AM51" i="3" s="1"/>
  <c r="AW50" i="3"/>
  <c r="AY50" i="3" s="1"/>
  <c r="AS50" i="3"/>
  <c r="AU50" i="3" s="1"/>
  <c r="AO50" i="3"/>
  <c r="AQ50" i="3" s="1"/>
  <c r="AK50" i="3"/>
  <c r="AM50" i="3" s="1"/>
  <c r="AW49" i="3"/>
  <c r="AY49" i="3" s="1"/>
  <c r="AS49" i="3"/>
  <c r="AU49" i="3" s="1"/>
  <c r="AO49" i="3"/>
  <c r="AQ49" i="3" s="1"/>
  <c r="AK49" i="3"/>
  <c r="AM49" i="3" s="1"/>
  <c r="AW48" i="3"/>
  <c r="AY48" i="3" s="1"/>
  <c r="AS48" i="3"/>
  <c r="AU48" i="3" s="1"/>
  <c r="AO48" i="3"/>
  <c r="AQ48" i="3" s="1"/>
  <c r="AK48" i="3"/>
  <c r="AM48" i="3" s="1"/>
  <c r="AW47" i="3"/>
  <c r="AY47" i="3" s="1"/>
  <c r="AS47" i="3"/>
  <c r="AU47" i="3" s="1"/>
  <c r="AO47" i="3"/>
  <c r="AQ47" i="3" s="1"/>
  <c r="AK47" i="3"/>
  <c r="AM47" i="3" s="1"/>
  <c r="AW46" i="3"/>
  <c r="AY46" i="3" s="1"/>
  <c r="AS46" i="3"/>
  <c r="AU46" i="3" s="1"/>
  <c r="AO46" i="3"/>
  <c r="AQ46" i="3" s="1"/>
  <c r="AK46" i="3"/>
  <c r="AM46" i="3" s="1"/>
  <c r="AW45" i="3"/>
  <c r="AY45" i="3" s="1"/>
  <c r="AS45" i="3"/>
  <c r="AU45" i="3" s="1"/>
  <c r="AO45" i="3"/>
  <c r="AK45" i="3"/>
  <c r="AM45" i="3" s="1"/>
  <c r="AW44" i="3"/>
  <c r="AY44" i="3" s="1"/>
  <c r="AS44" i="3"/>
  <c r="AU44" i="3" s="1"/>
  <c r="AO44" i="3"/>
  <c r="AQ44" i="3" s="1"/>
  <c r="AK44" i="3"/>
  <c r="AM44" i="3" s="1"/>
  <c r="AW43" i="3"/>
  <c r="AY43" i="3" s="1"/>
  <c r="AS43" i="3"/>
  <c r="AU43" i="3" s="1"/>
  <c r="AO43" i="3"/>
  <c r="AQ43" i="3" s="1"/>
  <c r="AK43" i="3"/>
  <c r="AM43" i="3" s="1"/>
  <c r="AW42" i="3"/>
  <c r="AY42" i="3" s="1"/>
  <c r="AS42" i="3"/>
  <c r="AU42" i="3" s="1"/>
  <c r="AO42" i="3"/>
  <c r="AQ42" i="3" s="1"/>
  <c r="AK42" i="3"/>
  <c r="AM42" i="3" s="1"/>
  <c r="AW41" i="3"/>
  <c r="AY41" i="3" s="1"/>
  <c r="AS41" i="3"/>
  <c r="AU41" i="3" s="1"/>
  <c r="AO41" i="3"/>
  <c r="AQ41" i="3" s="1"/>
  <c r="AK41" i="3"/>
  <c r="AM41" i="3" s="1"/>
  <c r="AW40" i="3"/>
  <c r="AY40" i="3" s="1"/>
  <c r="AS40" i="3"/>
  <c r="AU40" i="3" s="1"/>
  <c r="AO40" i="3"/>
  <c r="AQ40" i="3" s="1"/>
  <c r="AK40" i="3"/>
  <c r="AM40" i="3" s="1"/>
  <c r="AW39" i="3"/>
  <c r="AY39" i="3" s="1"/>
  <c r="AS39" i="3"/>
  <c r="AU39" i="3" s="1"/>
  <c r="AO39" i="3"/>
  <c r="AQ39" i="3" s="1"/>
  <c r="AK39" i="3"/>
  <c r="AM39" i="3" s="1"/>
  <c r="AW38" i="3"/>
  <c r="AY38" i="3" s="1"/>
  <c r="AS38" i="3"/>
  <c r="AU38" i="3" s="1"/>
  <c r="AO38" i="3"/>
  <c r="AQ38" i="3" s="1"/>
  <c r="AK38" i="3"/>
  <c r="AM38" i="3" s="1"/>
  <c r="AW37" i="3"/>
  <c r="AY37" i="3" s="1"/>
  <c r="AS37" i="3"/>
  <c r="AU37" i="3" s="1"/>
  <c r="AO37" i="3"/>
  <c r="AQ37" i="3" s="1"/>
  <c r="AK37" i="3"/>
  <c r="AM37" i="3" s="1"/>
  <c r="AW36" i="3"/>
  <c r="AY36" i="3" s="1"/>
  <c r="AS36" i="3"/>
  <c r="AU36" i="3" s="1"/>
  <c r="AO36" i="3"/>
  <c r="AQ36" i="3" s="1"/>
  <c r="AK36" i="3"/>
  <c r="AM36" i="3" s="1"/>
  <c r="AW35" i="3"/>
  <c r="AY35" i="3" s="1"/>
  <c r="AS35" i="3"/>
  <c r="AU35" i="3" s="1"/>
  <c r="AO35" i="3"/>
  <c r="AQ35" i="3" s="1"/>
  <c r="AK35" i="3"/>
  <c r="AM35" i="3" s="1"/>
  <c r="AW34" i="3"/>
  <c r="AY34" i="3" s="1"/>
  <c r="AS34" i="3"/>
  <c r="AU34" i="3" s="1"/>
  <c r="AO34" i="3"/>
  <c r="AQ34" i="3" s="1"/>
  <c r="AK34" i="3"/>
  <c r="AM34" i="3" s="1"/>
  <c r="AW33" i="3"/>
  <c r="AY33" i="3" s="1"/>
  <c r="AS33" i="3"/>
  <c r="AU33" i="3" s="1"/>
  <c r="AO33" i="3"/>
  <c r="AQ33" i="3" s="1"/>
  <c r="AK33" i="3"/>
  <c r="AM33" i="3" s="1"/>
  <c r="AW32" i="3"/>
  <c r="AY32" i="3" s="1"/>
  <c r="AS32" i="3"/>
  <c r="AU32" i="3" s="1"/>
  <c r="AO32" i="3"/>
  <c r="AQ32" i="3" s="1"/>
  <c r="AK32" i="3"/>
  <c r="AM32" i="3" s="1"/>
  <c r="AW31" i="3"/>
  <c r="AY31" i="3" s="1"/>
  <c r="AS31" i="3"/>
  <c r="AU31" i="3" s="1"/>
  <c r="AO31" i="3"/>
  <c r="AQ31" i="3" s="1"/>
  <c r="AK31" i="3"/>
  <c r="AM31" i="3" s="1"/>
  <c r="AW30" i="3"/>
  <c r="AY30" i="3" s="1"/>
  <c r="AS30" i="3"/>
  <c r="AU30" i="3" s="1"/>
  <c r="AO30" i="3"/>
  <c r="AQ30" i="3" s="1"/>
  <c r="AK30" i="3"/>
  <c r="AM30" i="3" s="1"/>
  <c r="AW29" i="3"/>
  <c r="AY29" i="3" s="1"/>
  <c r="AS29" i="3"/>
  <c r="AU29" i="3" s="1"/>
  <c r="AO29" i="3"/>
  <c r="AQ29" i="3" s="1"/>
  <c r="AK29" i="3"/>
  <c r="AM29" i="3" s="1"/>
  <c r="AW28" i="3"/>
  <c r="AY28" i="3" s="1"/>
  <c r="AS28" i="3"/>
  <c r="AU28" i="3" s="1"/>
  <c r="AO28" i="3"/>
  <c r="AQ28" i="3" s="1"/>
  <c r="AK28" i="3"/>
  <c r="AM28" i="3" s="1"/>
  <c r="AW27" i="3"/>
  <c r="AY27" i="3" s="1"/>
  <c r="AS27" i="3"/>
  <c r="AU27" i="3" s="1"/>
  <c r="AO27" i="3"/>
  <c r="AQ27" i="3" s="1"/>
  <c r="AK27" i="3"/>
  <c r="AM27" i="3" s="1"/>
  <c r="AW26" i="3"/>
  <c r="AY26" i="3" s="1"/>
  <c r="AS26" i="3"/>
  <c r="AU26" i="3" s="1"/>
  <c r="AO26" i="3"/>
  <c r="AQ26" i="3" s="1"/>
  <c r="AK26" i="3"/>
  <c r="AM26" i="3" s="1"/>
  <c r="AW25" i="3"/>
  <c r="AY25" i="3" s="1"/>
  <c r="AS25" i="3"/>
  <c r="AU25" i="3" s="1"/>
  <c r="AO25" i="3"/>
  <c r="AQ25" i="3" s="1"/>
  <c r="AK25" i="3"/>
  <c r="AM25" i="3" s="1"/>
  <c r="AW24" i="3"/>
  <c r="AY24" i="3" s="1"/>
  <c r="AS24" i="3"/>
  <c r="AU24" i="3" s="1"/>
  <c r="AO24" i="3"/>
  <c r="AQ24" i="3" s="1"/>
  <c r="AK24" i="3"/>
  <c r="AM24" i="3" s="1"/>
  <c r="AW23" i="3"/>
  <c r="AY23" i="3" s="1"/>
  <c r="AS23" i="3"/>
  <c r="AU23" i="3" s="1"/>
  <c r="AO23" i="3"/>
  <c r="AQ23" i="3" s="1"/>
  <c r="AK23" i="3"/>
  <c r="AM23" i="3" s="1"/>
  <c r="AW22" i="3"/>
  <c r="AY22" i="3" s="1"/>
  <c r="AS22" i="3"/>
  <c r="AU22" i="3" s="1"/>
  <c r="AO22" i="3"/>
  <c r="AQ22" i="3" s="1"/>
  <c r="AK22" i="3"/>
  <c r="AM22" i="3" s="1"/>
  <c r="AW21" i="3"/>
  <c r="AY21" i="3" s="1"/>
  <c r="AS21" i="3"/>
  <c r="AU21" i="3" s="1"/>
  <c r="AO21" i="3"/>
  <c r="AQ21" i="3" s="1"/>
  <c r="AK21" i="3"/>
  <c r="AM21" i="3" s="1"/>
  <c r="AW20" i="3"/>
  <c r="AY20" i="3" s="1"/>
  <c r="AS20" i="3"/>
  <c r="AU20" i="3" s="1"/>
  <c r="AO20" i="3"/>
  <c r="AQ20" i="3" s="1"/>
  <c r="AK20" i="3"/>
  <c r="AM20" i="3" s="1"/>
  <c r="AW19" i="3"/>
  <c r="AY19" i="3" s="1"/>
  <c r="AS19" i="3"/>
  <c r="AU19" i="3" s="1"/>
  <c r="AO19" i="3"/>
  <c r="AQ19" i="3" s="1"/>
  <c r="AK19" i="3"/>
  <c r="AM19" i="3" s="1"/>
  <c r="AW18" i="3"/>
  <c r="AY18" i="3" s="1"/>
  <c r="AS18" i="3"/>
  <c r="AU18" i="3" s="1"/>
  <c r="AO18" i="3"/>
  <c r="AQ18" i="3" s="1"/>
  <c r="AK18" i="3"/>
  <c r="AM18" i="3" s="1"/>
  <c r="AW17" i="3"/>
  <c r="AY17" i="3" s="1"/>
  <c r="AS17" i="3"/>
  <c r="AU17" i="3" s="1"/>
  <c r="AO17" i="3"/>
  <c r="AQ17" i="3" s="1"/>
  <c r="AK17" i="3"/>
  <c r="AM17" i="3" s="1"/>
  <c r="AW16" i="3"/>
  <c r="AY16" i="3" s="1"/>
  <c r="AS16" i="3"/>
  <c r="AU16" i="3" s="1"/>
  <c r="AO16" i="3"/>
  <c r="AQ16" i="3" s="1"/>
  <c r="AK16" i="3"/>
  <c r="AM16" i="3" s="1"/>
  <c r="AW15" i="3"/>
  <c r="AY15" i="3" s="1"/>
  <c r="AS15" i="3"/>
  <c r="AU15" i="3" s="1"/>
  <c r="AO15" i="3"/>
  <c r="AQ15" i="3" s="1"/>
  <c r="AK15" i="3"/>
  <c r="AM15" i="3" s="1"/>
  <c r="AW13" i="3"/>
  <c r="AY13" i="3" s="1"/>
  <c r="AS13" i="3"/>
  <c r="AU13" i="3" s="1"/>
  <c r="AO13" i="3"/>
  <c r="AQ13" i="3" s="1"/>
  <c r="AK13" i="3"/>
  <c r="AM13" i="3" s="1"/>
  <c r="AW12" i="3"/>
  <c r="AY12" i="3" s="1"/>
  <c r="AS12" i="3"/>
  <c r="AU12" i="3" s="1"/>
  <c r="AO12" i="3"/>
  <c r="AQ12" i="3" s="1"/>
  <c r="AK12" i="3"/>
  <c r="AM12" i="3" s="1"/>
  <c r="AW11" i="3"/>
  <c r="AY11" i="3" s="1"/>
  <c r="AS11" i="3"/>
  <c r="AU11" i="3" s="1"/>
  <c r="AO11" i="3"/>
  <c r="AQ11" i="3" s="1"/>
  <c r="AK11" i="3"/>
  <c r="AM11" i="3" s="1"/>
  <c r="AW10" i="3"/>
  <c r="AY10" i="3" s="1"/>
  <c r="AS10" i="3"/>
  <c r="AU10" i="3" s="1"/>
  <c r="AO10" i="3"/>
  <c r="AQ10" i="3" s="1"/>
  <c r="AK10" i="3"/>
  <c r="AM10" i="3" s="1"/>
  <c r="AW9" i="3"/>
  <c r="AY9" i="3" s="1"/>
  <c r="AS9" i="3"/>
  <c r="AU9" i="3" s="1"/>
  <c r="AO9" i="3"/>
  <c r="AQ9" i="3" s="1"/>
  <c r="AK9" i="3"/>
  <c r="AM9" i="3" s="1"/>
  <c r="AW8" i="3"/>
  <c r="AY8" i="3" s="1"/>
  <c r="AS8" i="3"/>
  <c r="AU8" i="3" s="1"/>
  <c r="AO8" i="3"/>
  <c r="AQ8" i="3" s="1"/>
  <c r="AK8" i="3"/>
  <c r="AM8" i="3" s="1"/>
  <c r="AW7" i="3"/>
  <c r="AY7" i="3" s="1"/>
  <c r="AS7" i="3"/>
  <c r="AU7" i="3" s="1"/>
  <c r="AO7" i="3"/>
  <c r="AQ7" i="3" s="1"/>
  <c r="AK7" i="3"/>
  <c r="AM7" i="3" s="1"/>
  <c r="AW6" i="3"/>
  <c r="AY6" i="3" s="1"/>
  <c r="AS6" i="3"/>
  <c r="AU6" i="3" s="1"/>
  <c r="AO6" i="3"/>
  <c r="AQ6" i="3" s="1"/>
  <c r="AK6" i="3"/>
  <c r="AM6" i="3" s="1"/>
  <c r="AW5" i="3"/>
  <c r="AY5" i="3" s="1"/>
  <c r="AS5" i="3"/>
  <c r="AU5" i="3" s="1"/>
  <c r="AO5" i="3"/>
  <c r="AQ5" i="3" s="1"/>
  <c r="AK5" i="3"/>
  <c r="AM5" i="3" s="1"/>
  <c r="AW4" i="3"/>
  <c r="AY4" i="3" s="1"/>
  <c r="AS4" i="3"/>
  <c r="AU4" i="3" s="1"/>
  <c r="AO4" i="3"/>
  <c r="AQ4" i="3" s="1"/>
  <c r="AK4" i="3"/>
  <c r="AM4" i="3" s="1"/>
  <c r="AG70" i="3"/>
  <c r="AI70" i="3" s="1"/>
  <c r="AC70" i="3"/>
  <c r="AE70" i="3" s="1"/>
  <c r="AG69" i="3"/>
  <c r="AI69" i="3" s="1"/>
  <c r="AC69" i="3"/>
  <c r="AE69" i="3" s="1"/>
  <c r="AG68" i="3"/>
  <c r="AI68" i="3" s="1"/>
  <c r="AC68" i="3"/>
  <c r="AE68" i="3" s="1"/>
  <c r="AG67" i="3"/>
  <c r="AI67" i="3" s="1"/>
  <c r="AC67" i="3"/>
  <c r="AE67" i="3" s="1"/>
  <c r="AG66" i="3"/>
  <c r="AI66" i="3" s="1"/>
  <c r="AC66" i="3"/>
  <c r="AE66" i="3" s="1"/>
  <c r="AG65" i="3"/>
  <c r="AI65" i="3" s="1"/>
  <c r="AC65" i="3"/>
  <c r="AE65" i="3" s="1"/>
  <c r="AG64" i="3"/>
  <c r="AI64" i="3" s="1"/>
  <c r="AC64" i="3"/>
  <c r="AE64" i="3" s="1"/>
  <c r="AG63" i="3"/>
  <c r="AI63" i="3" s="1"/>
  <c r="AC63" i="3"/>
  <c r="AE63" i="3" s="1"/>
  <c r="AG62" i="3"/>
  <c r="AI62" i="3" s="1"/>
  <c r="AC62" i="3"/>
  <c r="AE62" i="3" s="1"/>
  <c r="AG61" i="3"/>
  <c r="AI61" i="3" s="1"/>
  <c r="AC61" i="3"/>
  <c r="AE61" i="3" s="1"/>
  <c r="AG60" i="3"/>
  <c r="AI60" i="3" s="1"/>
  <c r="AC60" i="3"/>
  <c r="AE60" i="3" s="1"/>
  <c r="AG59" i="3"/>
  <c r="AI59" i="3" s="1"/>
  <c r="AC59" i="3"/>
  <c r="AE59" i="3" s="1"/>
  <c r="AG58" i="3"/>
  <c r="AI58" i="3" s="1"/>
  <c r="AC58" i="3"/>
  <c r="AE58" i="3" s="1"/>
  <c r="AG57" i="3"/>
  <c r="AI57" i="3" s="1"/>
  <c r="AC57" i="3"/>
  <c r="AE57" i="3" s="1"/>
  <c r="AG56" i="3"/>
  <c r="AI56" i="3" s="1"/>
  <c r="AC56" i="3"/>
  <c r="AE56" i="3" s="1"/>
  <c r="AG55" i="3"/>
  <c r="AI55" i="3" s="1"/>
  <c r="AC55" i="3"/>
  <c r="AE55" i="3" s="1"/>
  <c r="AG54" i="3"/>
  <c r="AI54" i="3" s="1"/>
  <c r="AC54" i="3"/>
  <c r="AE54" i="3" s="1"/>
  <c r="AG53" i="3"/>
  <c r="AI53" i="3" s="1"/>
  <c r="AC53" i="3"/>
  <c r="AE53" i="3" s="1"/>
  <c r="AG52" i="3"/>
  <c r="AI52" i="3" s="1"/>
  <c r="AC52" i="3"/>
  <c r="AE52" i="3" s="1"/>
  <c r="AG51" i="3"/>
  <c r="AI51" i="3" s="1"/>
  <c r="AC51" i="3"/>
  <c r="AE51" i="3" s="1"/>
  <c r="AG50" i="3"/>
  <c r="AI50" i="3" s="1"/>
  <c r="AC50" i="3"/>
  <c r="AE50" i="3" s="1"/>
  <c r="AG49" i="3"/>
  <c r="AI49" i="3" s="1"/>
  <c r="AC49" i="3"/>
  <c r="AE49" i="3" s="1"/>
  <c r="AG48" i="3"/>
  <c r="AI48" i="3" s="1"/>
  <c r="AC48" i="3"/>
  <c r="AE48" i="3" s="1"/>
  <c r="AG47" i="3"/>
  <c r="AI47" i="3" s="1"/>
  <c r="AC47" i="3"/>
  <c r="AE47" i="3" s="1"/>
  <c r="AG46" i="3"/>
  <c r="AI46" i="3" s="1"/>
  <c r="AC46" i="3"/>
  <c r="AE46" i="3" s="1"/>
  <c r="AG45" i="3"/>
  <c r="AI45" i="3" s="1"/>
  <c r="AC45" i="3"/>
  <c r="AE45" i="3" s="1"/>
  <c r="AG44" i="3"/>
  <c r="AI44" i="3" s="1"/>
  <c r="AC44" i="3"/>
  <c r="AE44" i="3" s="1"/>
  <c r="AG43" i="3"/>
  <c r="AI43" i="3" s="1"/>
  <c r="AC43" i="3"/>
  <c r="AE43" i="3" s="1"/>
  <c r="AG42" i="3"/>
  <c r="AI42" i="3" s="1"/>
  <c r="AC42" i="3"/>
  <c r="AE42" i="3" s="1"/>
  <c r="AG41" i="3"/>
  <c r="AI41" i="3" s="1"/>
  <c r="AC41" i="3"/>
  <c r="AE41" i="3" s="1"/>
  <c r="AG40" i="3"/>
  <c r="AI40" i="3" s="1"/>
  <c r="AC40" i="3"/>
  <c r="AE40" i="3" s="1"/>
  <c r="AG39" i="3"/>
  <c r="AI39" i="3" s="1"/>
  <c r="AC39" i="3"/>
  <c r="AE39" i="3" s="1"/>
  <c r="AG38" i="3"/>
  <c r="AI38" i="3" s="1"/>
  <c r="AC38" i="3"/>
  <c r="AE38" i="3" s="1"/>
  <c r="AG37" i="3"/>
  <c r="AI37" i="3" s="1"/>
  <c r="AC37" i="3"/>
  <c r="AE37" i="3" s="1"/>
  <c r="AG36" i="3"/>
  <c r="AI36" i="3" s="1"/>
  <c r="AC36" i="3"/>
  <c r="AE36" i="3" s="1"/>
  <c r="AG35" i="3"/>
  <c r="AI35" i="3" s="1"/>
  <c r="AC35" i="3"/>
  <c r="AE35" i="3" s="1"/>
  <c r="AG34" i="3"/>
  <c r="AI34" i="3" s="1"/>
  <c r="AC34" i="3"/>
  <c r="AE34" i="3" s="1"/>
  <c r="AG33" i="3"/>
  <c r="AI33" i="3" s="1"/>
  <c r="AC33" i="3"/>
  <c r="AE33" i="3" s="1"/>
  <c r="AG32" i="3"/>
  <c r="AI32" i="3" s="1"/>
  <c r="AC32" i="3"/>
  <c r="AE32" i="3" s="1"/>
  <c r="AG31" i="3"/>
  <c r="AI31" i="3" s="1"/>
  <c r="AC31" i="3"/>
  <c r="AE31" i="3" s="1"/>
  <c r="AG30" i="3"/>
  <c r="AI30" i="3" s="1"/>
  <c r="AC30" i="3"/>
  <c r="AE30" i="3" s="1"/>
  <c r="AG29" i="3"/>
  <c r="AI29" i="3" s="1"/>
  <c r="AC29" i="3"/>
  <c r="AE29" i="3" s="1"/>
  <c r="AG28" i="3"/>
  <c r="AI28" i="3" s="1"/>
  <c r="AC28" i="3"/>
  <c r="AE28" i="3" s="1"/>
  <c r="AG27" i="3"/>
  <c r="AI27" i="3" s="1"/>
  <c r="AC27" i="3"/>
  <c r="AE27" i="3" s="1"/>
  <c r="AG26" i="3"/>
  <c r="AI26" i="3" s="1"/>
  <c r="AC26" i="3"/>
  <c r="AE26" i="3" s="1"/>
  <c r="AG25" i="3"/>
  <c r="AI25" i="3" s="1"/>
  <c r="AC25" i="3"/>
  <c r="AE25" i="3" s="1"/>
  <c r="AG24" i="3"/>
  <c r="AI24" i="3" s="1"/>
  <c r="AC24" i="3"/>
  <c r="AE24" i="3" s="1"/>
  <c r="AG23" i="3"/>
  <c r="AI23" i="3" s="1"/>
  <c r="AC23" i="3"/>
  <c r="AE23" i="3" s="1"/>
  <c r="AG22" i="3"/>
  <c r="AI22" i="3" s="1"/>
  <c r="AC22" i="3"/>
  <c r="AE22" i="3" s="1"/>
  <c r="AG21" i="3"/>
  <c r="AI21" i="3" s="1"/>
  <c r="AC21" i="3"/>
  <c r="AE21" i="3" s="1"/>
  <c r="AG20" i="3"/>
  <c r="AI20" i="3" s="1"/>
  <c r="AC20" i="3"/>
  <c r="AE20" i="3" s="1"/>
  <c r="AG19" i="3"/>
  <c r="AI19" i="3" s="1"/>
  <c r="AC19" i="3"/>
  <c r="AE19" i="3" s="1"/>
  <c r="AG18" i="3"/>
  <c r="AI18" i="3" s="1"/>
  <c r="AC18" i="3"/>
  <c r="AE18" i="3" s="1"/>
  <c r="AG17" i="3"/>
  <c r="AI17" i="3" s="1"/>
  <c r="AC17" i="3"/>
  <c r="AE17" i="3" s="1"/>
  <c r="AG16" i="3"/>
  <c r="AI16" i="3" s="1"/>
  <c r="AC16" i="3"/>
  <c r="AE16" i="3" s="1"/>
  <c r="AG15" i="3"/>
  <c r="AI15" i="3" s="1"/>
  <c r="AC15" i="3"/>
  <c r="AE15" i="3" s="1"/>
  <c r="AG13" i="3"/>
  <c r="AI13" i="3" s="1"/>
  <c r="AC13" i="3"/>
  <c r="AE13" i="3" s="1"/>
  <c r="AG12" i="3"/>
  <c r="AI12" i="3" s="1"/>
  <c r="AC12" i="3"/>
  <c r="AE12" i="3" s="1"/>
  <c r="AG11" i="3"/>
  <c r="AI11" i="3" s="1"/>
  <c r="AC11" i="3"/>
  <c r="AE11" i="3" s="1"/>
  <c r="AG10" i="3"/>
  <c r="AI10" i="3" s="1"/>
  <c r="AC10" i="3"/>
  <c r="AE10" i="3" s="1"/>
  <c r="AG9" i="3"/>
  <c r="AI9" i="3" s="1"/>
  <c r="AC9" i="3"/>
  <c r="AE9" i="3" s="1"/>
  <c r="AG8" i="3"/>
  <c r="AI8" i="3" s="1"/>
  <c r="AC8" i="3"/>
  <c r="AE8" i="3" s="1"/>
  <c r="AG7" i="3"/>
  <c r="AI7" i="3" s="1"/>
  <c r="AC7" i="3"/>
  <c r="AE7" i="3" s="1"/>
  <c r="AG6" i="3"/>
  <c r="AI6" i="3" s="1"/>
  <c r="AC6" i="3"/>
  <c r="AE6" i="3" s="1"/>
  <c r="AG5" i="3"/>
  <c r="AI5" i="3" s="1"/>
  <c r="AC5" i="3"/>
  <c r="AE5" i="3" s="1"/>
  <c r="AG4" i="3"/>
  <c r="AI4" i="3" s="1"/>
  <c r="AC4" i="3"/>
  <c r="AE4" i="3" s="1"/>
  <c r="Y70" i="3"/>
  <c r="AA70" i="3" s="1"/>
  <c r="Y69" i="3"/>
  <c r="AA69" i="3" s="1"/>
  <c r="Y68" i="3"/>
  <c r="AA68" i="3" s="1"/>
  <c r="Y67" i="3"/>
  <c r="AA67" i="3" s="1"/>
  <c r="Y66" i="3"/>
  <c r="AA66" i="3" s="1"/>
  <c r="Y65" i="3"/>
  <c r="AA65" i="3" s="1"/>
  <c r="Y64" i="3"/>
  <c r="AA64" i="3" s="1"/>
  <c r="Y63" i="3"/>
  <c r="AA63" i="3" s="1"/>
  <c r="Y62" i="3"/>
  <c r="AA62" i="3" s="1"/>
  <c r="Y61" i="3"/>
  <c r="AA61" i="3" s="1"/>
  <c r="Y60" i="3"/>
  <c r="AA60" i="3" s="1"/>
  <c r="Y59" i="3"/>
  <c r="AA59" i="3" s="1"/>
  <c r="Y58" i="3"/>
  <c r="AA58" i="3" s="1"/>
  <c r="Y57" i="3"/>
  <c r="AA57" i="3" s="1"/>
  <c r="Y56" i="3"/>
  <c r="AA56" i="3" s="1"/>
  <c r="Y55" i="3"/>
  <c r="AA55" i="3" s="1"/>
  <c r="Y54" i="3"/>
  <c r="AA54" i="3" s="1"/>
  <c r="Y53" i="3"/>
  <c r="AA53" i="3" s="1"/>
  <c r="Y52" i="3"/>
  <c r="AA52" i="3" s="1"/>
  <c r="Y51" i="3"/>
  <c r="AA51" i="3" s="1"/>
  <c r="Y50" i="3"/>
  <c r="AA50" i="3" s="1"/>
  <c r="Y49" i="3"/>
  <c r="AA49" i="3" s="1"/>
  <c r="Y48" i="3"/>
  <c r="AA48" i="3" s="1"/>
  <c r="Y47" i="3"/>
  <c r="AA47" i="3" s="1"/>
  <c r="Y46" i="3"/>
  <c r="AA46" i="3" s="1"/>
  <c r="Y45" i="3"/>
  <c r="AA45" i="3" s="1"/>
  <c r="Y44" i="3"/>
  <c r="AA44" i="3" s="1"/>
  <c r="Y43" i="3"/>
  <c r="AA43" i="3" s="1"/>
  <c r="Y42" i="3"/>
  <c r="AA42" i="3" s="1"/>
  <c r="Y41" i="3"/>
  <c r="AA41" i="3" s="1"/>
  <c r="Y40" i="3"/>
  <c r="AA40" i="3" s="1"/>
  <c r="Y39" i="3"/>
  <c r="AA39" i="3" s="1"/>
  <c r="Y38" i="3"/>
  <c r="AA38" i="3" s="1"/>
  <c r="Y37" i="3"/>
  <c r="AA37" i="3" s="1"/>
  <c r="Y36" i="3"/>
  <c r="AA36" i="3" s="1"/>
  <c r="Y35" i="3"/>
  <c r="AA35" i="3" s="1"/>
  <c r="Y34" i="3"/>
  <c r="AA34" i="3" s="1"/>
  <c r="Y33" i="3"/>
  <c r="AA33" i="3" s="1"/>
  <c r="Y32" i="3"/>
  <c r="AA32" i="3" s="1"/>
  <c r="Y31" i="3"/>
  <c r="AA31" i="3" s="1"/>
  <c r="Y30" i="3"/>
  <c r="AA30" i="3" s="1"/>
  <c r="Y29" i="3"/>
  <c r="AA29" i="3" s="1"/>
  <c r="Y28" i="3"/>
  <c r="AA28" i="3" s="1"/>
  <c r="Y27" i="3"/>
  <c r="AA27" i="3" s="1"/>
  <c r="Y26" i="3"/>
  <c r="AA26" i="3" s="1"/>
  <c r="Y25" i="3"/>
  <c r="AA25" i="3" s="1"/>
  <c r="Y24" i="3"/>
  <c r="AA24" i="3" s="1"/>
  <c r="Y23" i="3"/>
  <c r="AA23" i="3" s="1"/>
  <c r="Y22" i="3"/>
  <c r="AA22" i="3" s="1"/>
  <c r="Y21" i="3"/>
  <c r="AA21" i="3" s="1"/>
  <c r="Y20" i="3"/>
  <c r="AA20" i="3" s="1"/>
  <c r="Y19" i="3"/>
  <c r="AA19" i="3" s="1"/>
  <c r="Y18" i="3"/>
  <c r="AA18" i="3" s="1"/>
  <c r="Y17" i="3"/>
  <c r="AA17" i="3" s="1"/>
  <c r="Y16" i="3"/>
  <c r="AA16" i="3" s="1"/>
  <c r="Y15" i="3"/>
  <c r="AA15" i="3" s="1"/>
  <c r="Y13" i="3"/>
  <c r="AA13" i="3" s="1"/>
  <c r="Y12" i="3"/>
  <c r="AA12" i="3" s="1"/>
  <c r="Y11" i="3"/>
  <c r="AA11" i="3" s="1"/>
  <c r="Y10" i="3"/>
  <c r="AA10" i="3" s="1"/>
  <c r="Y9" i="3"/>
  <c r="AA9" i="3" s="1"/>
  <c r="Y8" i="3"/>
  <c r="AA8" i="3" s="1"/>
  <c r="Y7" i="3"/>
  <c r="AA7" i="3" s="1"/>
  <c r="Y6" i="3"/>
  <c r="AA6" i="3" s="1"/>
  <c r="Y5" i="3"/>
  <c r="AA5" i="3" s="1"/>
  <c r="Y4" i="3"/>
  <c r="AA4" i="3" s="1"/>
  <c r="EM20" i="8"/>
  <c r="EI20" i="8"/>
  <c r="EK20" i="8" s="1"/>
  <c r="EE20" i="8"/>
  <c r="EG20" i="8" s="1"/>
  <c r="EA20" i="8"/>
  <c r="EC20" i="8" s="1"/>
  <c r="DW20" i="8"/>
  <c r="DY20" i="8" s="1"/>
  <c r="DS20" i="8"/>
  <c r="DU20" i="8" s="1"/>
  <c r="DO20" i="8"/>
  <c r="DQ20" i="8" s="1"/>
  <c r="DK20" i="8"/>
  <c r="DM20" i="8" s="1"/>
  <c r="DG20" i="8"/>
  <c r="DI20" i="8" s="1"/>
  <c r="DC20" i="8"/>
  <c r="DE20" i="8" s="1"/>
  <c r="CY20" i="8"/>
  <c r="DA20" i="8" s="1"/>
  <c r="CU20" i="8"/>
  <c r="CW20" i="8" s="1"/>
  <c r="CQ20" i="8"/>
  <c r="CS20" i="8" s="1"/>
  <c r="CM20" i="8"/>
  <c r="CO20" i="8" s="1"/>
  <c r="CI20" i="8"/>
  <c r="CK20" i="8" s="1"/>
  <c r="CE20" i="8"/>
  <c r="CG20" i="8" s="1"/>
  <c r="EM19" i="8"/>
  <c r="EI19" i="8"/>
  <c r="EK19" i="8" s="1"/>
  <c r="EE19" i="8"/>
  <c r="EG19" i="8" s="1"/>
  <c r="EA19" i="8"/>
  <c r="EC19" i="8" s="1"/>
  <c r="DW19" i="8"/>
  <c r="DY19" i="8" s="1"/>
  <c r="DS19" i="8"/>
  <c r="DU19" i="8" s="1"/>
  <c r="DO19" i="8"/>
  <c r="DQ19" i="8" s="1"/>
  <c r="DK19" i="8"/>
  <c r="DM19" i="8" s="1"/>
  <c r="DG19" i="8"/>
  <c r="DI19" i="8" s="1"/>
  <c r="DC19" i="8"/>
  <c r="DE19" i="8" s="1"/>
  <c r="CY19" i="8"/>
  <c r="DA19" i="8" s="1"/>
  <c r="CU19" i="8"/>
  <c r="CW19" i="8" s="1"/>
  <c r="CQ19" i="8"/>
  <c r="CS19" i="8" s="1"/>
  <c r="CM19" i="8"/>
  <c r="CO19" i="8" s="1"/>
  <c r="CI19" i="8"/>
  <c r="CK19" i="8" s="1"/>
  <c r="CE19" i="8"/>
  <c r="CG19" i="8" s="1"/>
  <c r="EM18" i="8"/>
  <c r="EI18" i="8"/>
  <c r="EK18" i="8" s="1"/>
  <c r="EE18" i="8"/>
  <c r="EG18" i="8" s="1"/>
  <c r="EA18" i="8"/>
  <c r="EC18" i="8" s="1"/>
  <c r="DW18" i="8"/>
  <c r="DY18" i="8" s="1"/>
  <c r="DS18" i="8"/>
  <c r="DU18" i="8" s="1"/>
  <c r="DO18" i="8"/>
  <c r="DQ18" i="8" s="1"/>
  <c r="DK18" i="8"/>
  <c r="DM18" i="8" s="1"/>
  <c r="DG18" i="8"/>
  <c r="DI18" i="8" s="1"/>
  <c r="DC18" i="8"/>
  <c r="DE18" i="8" s="1"/>
  <c r="CY18" i="8"/>
  <c r="DA18" i="8" s="1"/>
  <c r="CU18" i="8"/>
  <c r="CW18" i="8" s="1"/>
  <c r="CQ18" i="8"/>
  <c r="CS18" i="8" s="1"/>
  <c r="CM18" i="8"/>
  <c r="CO18" i="8" s="1"/>
  <c r="CI18" i="8"/>
  <c r="CK18" i="8" s="1"/>
  <c r="CE18" i="8"/>
  <c r="CG18" i="8" s="1"/>
  <c r="EM17" i="8"/>
  <c r="EI17" i="8"/>
  <c r="EK17" i="8" s="1"/>
  <c r="EE17" i="8"/>
  <c r="EG17" i="8" s="1"/>
  <c r="EA17" i="8"/>
  <c r="EC17" i="8" s="1"/>
  <c r="DW17" i="8"/>
  <c r="DY17" i="8" s="1"/>
  <c r="DS17" i="8"/>
  <c r="DU17" i="8" s="1"/>
  <c r="DO17" i="8"/>
  <c r="DQ17" i="8" s="1"/>
  <c r="DK17" i="8"/>
  <c r="DM17" i="8" s="1"/>
  <c r="DG17" i="8"/>
  <c r="DI17" i="8" s="1"/>
  <c r="DC17" i="8"/>
  <c r="DE17" i="8" s="1"/>
  <c r="CY17" i="8"/>
  <c r="DA17" i="8" s="1"/>
  <c r="CU17" i="8"/>
  <c r="CW17" i="8" s="1"/>
  <c r="CQ17" i="8"/>
  <c r="CS17" i="8" s="1"/>
  <c r="CM17" i="8"/>
  <c r="CO17" i="8" s="1"/>
  <c r="CI17" i="8"/>
  <c r="CK17" i="8" s="1"/>
  <c r="CE17" i="8"/>
  <c r="CG17" i="8" s="1"/>
  <c r="EM16" i="8"/>
  <c r="EI16" i="8"/>
  <c r="EK16" i="8" s="1"/>
  <c r="EE16" i="8"/>
  <c r="EG16" i="8" s="1"/>
  <c r="EA16" i="8"/>
  <c r="EC16" i="8" s="1"/>
  <c r="DW16" i="8"/>
  <c r="DY16" i="8" s="1"/>
  <c r="DS16" i="8"/>
  <c r="DU16" i="8" s="1"/>
  <c r="DO16" i="8"/>
  <c r="DQ16" i="8" s="1"/>
  <c r="DK16" i="8"/>
  <c r="DM16" i="8" s="1"/>
  <c r="DG16" i="8"/>
  <c r="DI16" i="8" s="1"/>
  <c r="DC16" i="8"/>
  <c r="DE16" i="8" s="1"/>
  <c r="CY16" i="8"/>
  <c r="DA16" i="8" s="1"/>
  <c r="CU16" i="8"/>
  <c r="CW16" i="8" s="1"/>
  <c r="CQ16" i="8"/>
  <c r="CS16" i="8" s="1"/>
  <c r="CM16" i="8"/>
  <c r="CO16" i="8" s="1"/>
  <c r="CI16" i="8"/>
  <c r="CK16" i="8" s="1"/>
  <c r="CE16" i="8"/>
  <c r="CG16" i="8" s="1"/>
  <c r="EM15" i="8"/>
  <c r="EI15" i="8"/>
  <c r="EK15" i="8" s="1"/>
  <c r="EE15" i="8"/>
  <c r="EG15" i="8" s="1"/>
  <c r="EA15" i="8"/>
  <c r="EC15" i="8" s="1"/>
  <c r="DW15" i="8"/>
  <c r="DY15" i="8" s="1"/>
  <c r="DS15" i="8"/>
  <c r="DU15" i="8" s="1"/>
  <c r="DO15" i="8"/>
  <c r="DQ15" i="8" s="1"/>
  <c r="DK15" i="8"/>
  <c r="DM15" i="8" s="1"/>
  <c r="DG15" i="8"/>
  <c r="DI15" i="8" s="1"/>
  <c r="DC15" i="8"/>
  <c r="DE15" i="8" s="1"/>
  <c r="CY15" i="8"/>
  <c r="DA15" i="8" s="1"/>
  <c r="CU15" i="8"/>
  <c r="CW15" i="8" s="1"/>
  <c r="CQ15" i="8"/>
  <c r="CS15" i="8" s="1"/>
  <c r="CM15" i="8"/>
  <c r="CO15" i="8" s="1"/>
  <c r="CI15" i="8"/>
  <c r="CK15" i="8" s="1"/>
  <c r="CE15" i="8"/>
  <c r="CG15" i="8" s="1"/>
  <c r="EM14" i="8"/>
  <c r="EI14" i="8"/>
  <c r="EK14" i="8" s="1"/>
  <c r="EE14" i="8"/>
  <c r="EG14" i="8" s="1"/>
  <c r="EA14" i="8"/>
  <c r="EC14" i="8" s="1"/>
  <c r="DW14" i="8"/>
  <c r="DY14" i="8" s="1"/>
  <c r="DS14" i="8"/>
  <c r="DU14" i="8" s="1"/>
  <c r="DO14" i="8"/>
  <c r="DQ14" i="8" s="1"/>
  <c r="DK14" i="8"/>
  <c r="DM14" i="8" s="1"/>
  <c r="DG14" i="8"/>
  <c r="DI14" i="8" s="1"/>
  <c r="DC14" i="8"/>
  <c r="DE14" i="8" s="1"/>
  <c r="CY14" i="8"/>
  <c r="DA14" i="8" s="1"/>
  <c r="CU14" i="8"/>
  <c r="CW14" i="8" s="1"/>
  <c r="CQ14" i="8"/>
  <c r="CS14" i="8" s="1"/>
  <c r="CM14" i="8"/>
  <c r="CO14" i="8" s="1"/>
  <c r="CI14" i="8"/>
  <c r="CK14" i="8" s="1"/>
  <c r="CE14" i="8"/>
  <c r="CG14" i="8" s="1"/>
  <c r="EM13" i="8"/>
  <c r="EI13" i="8"/>
  <c r="EK13" i="8" s="1"/>
  <c r="EE13" i="8"/>
  <c r="EG13" i="8" s="1"/>
  <c r="EA13" i="8"/>
  <c r="EC13" i="8" s="1"/>
  <c r="DW13" i="8"/>
  <c r="DY13" i="8" s="1"/>
  <c r="DS13" i="8"/>
  <c r="DU13" i="8" s="1"/>
  <c r="DO13" i="8"/>
  <c r="DQ13" i="8" s="1"/>
  <c r="DK13" i="8"/>
  <c r="DM13" i="8" s="1"/>
  <c r="DG13" i="8"/>
  <c r="DI13" i="8" s="1"/>
  <c r="DC13" i="8"/>
  <c r="DE13" i="8" s="1"/>
  <c r="CY13" i="8"/>
  <c r="DA13" i="8" s="1"/>
  <c r="CU13" i="8"/>
  <c r="CW13" i="8" s="1"/>
  <c r="CQ13" i="8"/>
  <c r="CS13" i="8" s="1"/>
  <c r="CM13" i="8"/>
  <c r="CO13" i="8" s="1"/>
  <c r="CI13" i="8"/>
  <c r="CK13" i="8" s="1"/>
  <c r="CE13" i="8"/>
  <c r="CG13" i="8" s="1"/>
  <c r="EM12" i="8"/>
  <c r="EI12" i="8"/>
  <c r="EK12" i="8" s="1"/>
  <c r="EE12" i="8"/>
  <c r="EG12" i="8" s="1"/>
  <c r="EA12" i="8"/>
  <c r="EC12" i="8" s="1"/>
  <c r="DW12" i="8"/>
  <c r="DY12" i="8" s="1"/>
  <c r="DS12" i="8"/>
  <c r="DU12" i="8" s="1"/>
  <c r="DO12" i="8"/>
  <c r="DQ12" i="8" s="1"/>
  <c r="DK12" i="8"/>
  <c r="DM12" i="8" s="1"/>
  <c r="DG12" i="8"/>
  <c r="DI12" i="8" s="1"/>
  <c r="DC12" i="8"/>
  <c r="DE12" i="8" s="1"/>
  <c r="CY12" i="8"/>
  <c r="DA12" i="8" s="1"/>
  <c r="CU12" i="8"/>
  <c r="CW12" i="8" s="1"/>
  <c r="CQ12" i="8"/>
  <c r="CS12" i="8" s="1"/>
  <c r="CM12" i="8"/>
  <c r="CO12" i="8" s="1"/>
  <c r="CI12" i="8"/>
  <c r="CK12" i="8" s="1"/>
  <c r="CE12" i="8"/>
  <c r="CG12" i="8" s="1"/>
  <c r="EM11" i="8"/>
  <c r="EI11" i="8"/>
  <c r="EK11" i="8" s="1"/>
  <c r="EE11" i="8"/>
  <c r="EG11" i="8" s="1"/>
  <c r="EA11" i="8"/>
  <c r="EC11" i="8" s="1"/>
  <c r="DW11" i="8"/>
  <c r="DY11" i="8" s="1"/>
  <c r="DS11" i="8"/>
  <c r="DU11" i="8" s="1"/>
  <c r="DO11" i="8"/>
  <c r="DQ11" i="8" s="1"/>
  <c r="DK11" i="8"/>
  <c r="DM11" i="8" s="1"/>
  <c r="DG11" i="8"/>
  <c r="DI11" i="8" s="1"/>
  <c r="DC11" i="8"/>
  <c r="DE11" i="8" s="1"/>
  <c r="CY11" i="8"/>
  <c r="DA11" i="8" s="1"/>
  <c r="CU11" i="8"/>
  <c r="CW11" i="8" s="1"/>
  <c r="CQ11" i="8"/>
  <c r="CS11" i="8" s="1"/>
  <c r="CM11" i="8"/>
  <c r="CO11" i="8" s="1"/>
  <c r="CI11" i="8"/>
  <c r="CK11" i="8" s="1"/>
  <c r="CE11" i="8"/>
  <c r="CG11" i="8" s="1"/>
  <c r="EM10" i="8"/>
  <c r="EI10" i="8"/>
  <c r="EK10" i="8" s="1"/>
  <c r="EE10" i="8"/>
  <c r="EG10" i="8" s="1"/>
  <c r="EA10" i="8"/>
  <c r="EC10" i="8" s="1"/>
  <c r="DW10" i="8"/>
  <c r="DY10" i="8" s="1"/>
  <c r="DS10" i="8"/>
  <c r="DU10" i="8" s="1"/>
  <c r="DO10" i="8"/>
  <c r="DQ10" i="8" s="1"/>
  <c r="DK10" i="8"/>
  <c r="DM10" i="8" s="1"/>
  <c r="DG10" i="8"/>
  <c r="DI10" i="8" s="1"/>
  <c r="DC10" i="8"/>
  <c r="DE10" i="8" s="1"/>
  <c r="CY10" i="8"/>
  <c r="DA10" i="8" s="1"/>
  <c r="CU10" i="8"/>
  <c r="CW10" i="8" s="1"/>
  <c r="CQ10" i="8"/>
  <c r="CS10" i="8" s="1"/>
  <c r="CM10" i="8"/>
  <c r="CO10" i="8" s="1"/>
  <c r="CI10" i="8"/>
  <c r="CK10" i="8" s="1"/>
  <c r="CE10" i="8"/>
  <c r="CG10" i="8" s="1"/>
  <c r="EM9" i="8"/>
  <c r="EI9" i="8"/>
  <c r="EK9" i="8" s="1"/>
  <c r="EE9" i="8"/>
  <c r="EG9" i="8" s="1"/>
  <c r="EA9" i="8"/>
  <c r="EC9" i="8" s="1"/>
  <c r="DW9" i="8"/>
  <c r="DY9" i="8" s="1"/>
  <c r="DS9" i="8"/>
  <c r="DU9" i="8" s="1"/>
  <c r="DO9" i="8"/>
  <c r="DQ9" i="8" s="1"/>
  <c r="DK9" i="8"/>
  <c r="DM9" i="8" s="1"/>
  <c r="DG9" i="8"/>
  <c r="DI9" i="8" s="1"/>
  <c r="DC9" i="8"/>
  <c r="DE9" i="8" s="1"/>
  <c r="CY9" i="8"/>
  <c r="DA9" i="8" s="1"/>
  <c r="CU9" i="8"/>
  <c r="CW9" i="8" s="1"/>
  <c r="CQ9" i="8"/>
  <c r="CS9" i="8" s="1"/>
  <c r="CM9" i="8"/>
  <c r="CO9" i="8" s="1"/>
  <c r="CI9" i="8"/>
  <c r="CK9" i="8" s="1"/>
  <c r="CE9" i="8"/>
  <c r="CG9" i="8" s="1"/>
  <c r="EM8" i="8"/>
  <c r="EI8" i="8"/>
  <c r="EK8" i="8" s="1"/>
  <c r="EE8" i="8"/>
  <c r="EG8" i="8" s="1"/>
  <c r="EA8" i="8"/>
  <c r="EC8" i="8" s="1"/>
  <c r="DW8" i="8"/>
  <c r="DY8" i="8" s="1"/>
  <c r="DS8" i="8"/>
  <c r="DU8" i="8" s="1"/>
  <c r="DO8" i="8"/>
  <c r="DQ8" i="8" s="1"/>
  <c r="DK8" i="8"/>
  <c r="DM8" i="8" s="1"/>
  <c r="DG8" i="8"/>
  <c r="DI8" i="8" s="1"/>
  <c r="DC8" i="8"/>
  <c r="DE8" i="8" s="1"/>
  <c r="CY8" i="8"/>
  <c r="DA8" i="8" s="1"/>
  <c r="CU8" i="8"/>
  <c r="CW8" i="8" s="1"/>
  <c r="CQ8" i="8"/>
  <c r="CS8" i="8" s="1"/>
  <c r="CM8" i="8"/>
  <c r="CO8" i="8" s="1"/>
  <c r="CI8" i="8"/>
  <c r="CK8" i="8" s="1"/>
  <c r="CE8" i="8"/>
  <c r="CG8" i="8" s="1"/>
  <c r="EM7" i="8"/>
  <c r="EI7" i="8"/>
  <c r="EK7" i="8" s="1"/>
  <c r="EE7" i="8"/>
  <c r="EG7" i="8" s="1"/>
  <c r="EA7" i="8"/>
  <c r="EC7" i="8" s="1"/>
  <c r="DW7" i="8"/>
  <c r="DY7" i="8" s="1"/>
  <c r="DS7" i="8"/>
  <c r="DU7" i="8" s="1"/>
  <c r="DO7" i="8"/>
  <c r="DQ7" i="8" s="1"/>
  <c r="DK7" i="8"/>
  <c r="DM7" i="8" s="1"/>
  <c r="DG7" i="8"/>
  <c r="DI7" i="8" s="1"/>
  <c r="DC7" i="8"/>
  <c r="DE7" i="8" s="1"/>
  <c r="CY7" i="8"/>
  <c r="DA7" i="8" s="1"/>
  <c r="CU7" i="8"/>
  <c r="CW7" i="8" s="1"/>
  <c r="CQ7" i="8"/>
  <c r="CS7" i="8" s="1"/>
  <c r="CM7" i="8"/>
  <c r="CO7" i="8" s="1"/>
  <c r="CI7" i="8"/>
  <c r="CK7" i="8" s="1"/>
  <c r="CE7" i="8"/>
  <c r="CG7" i="8" s="1"/>
  <c r="EM6" i="8"/>
  <c r="EI6" i="8"/>
  <c r="EK6" i="8" s="1"/>
  <c r="EE6" i="8"/>
  <c r="EG6" i="8" s="1"/>
  <c r="EA6" i="8"/>
  <c r="EC6" i="8" s="1"/>
  <c r="DW6" i="8"/>
  <c r="DY6" i="8" s="1"/>
  <c r="DS6" i="8"/>
  <c r="DU6" i="8" s="1"/>
  <c r="DO6" i="8"/>
  <c r="DQ6" i="8" s="1"/>
  <c r="DK6" i="8"/>
  <c r="DM6" i="8" s="1"/>
  <c r="DG6" i="8"/>
  <c r="DI6" i="8" s="1"/>
  <c r="DC6" i="8"/>
  <c r="DE6" i="8" s="1"/>
  <c r="CY6" i="8"/>
  <c r="DA6" i="8" s="1"/>
  <c r="CU6" i="8"/>
  <c r="CW6" i="8" s="1"/>
  <c r="CQ6" i="8"/>
  <c r="CS6" i="8" s="1"/>
  <c r="CM6" i="8"/>
  <c r="CO6" i="8" s="1"/>
  <c r="CI6" i="8"/>
  <c r="CK6" i="8" s="1"/>
  <c r="CE6" i="8"/>
  <c r="CG6" i="8" s="1"/>
  <c r="EM5" i="8"/>
  <c r="EI5" i="8"/>
  <c r="EK5" i="8" s="1"/>
  <c r="EE5" i="8"/>
  <c r="EG5" i="8" s="1"/>
  <c r="EA5" i="8"/>
  <c r="EC5" i="8" s="1"/>
  <c r="DW5" i="8"/>
  <c r="DY5" i="8" s="1"/>
  <c r="DS5" i="8"/>
  <c r="DU5" i="8" s="1"/>
  <c r="DO5" i="8"/>
  <c r="DQ5" i="8" s="1"/>
  <c r="DK5" i="8"/>
  <c r="DM5" i="8" s="1"/>
  <c r="DG5" i="8"/>
  <c r="DI5" i="8" s="1"/>
  <c r="DC5" i="8"/>
  <c r="DE5" i="8" s="1"/>
  <c r="CY5" i="8"/>
  <c r="DA5" i="8" s="1"/>
  <c r="CU5" i="8"/>
  <c r="CW5" i="8" s="1"/>
  <c r="CQ5" i="8"/>
  <c r="CS5" i="8" s="1"/>
  <c r="CM5" i="8"/>
  <c r="CO5" i="8" s="1"/>
  <c r="CI5" i="8"/>
  <c r="CK5" i="8" s="1"/>
  <c r="CE5" i="8"/>
  <c r="CG5" i="8" s="1"/>
  <c r="CA20" i="8"/>
  <c r="CC20" i="8" s="1"/>
  <c r="BW20" i="8"/>
  <c r="BY20" i="8" s="1"/>
  <c r="BS20" i="8"/>
  <c r="BU20" i="8" s="1"/>
  <c r="BO20" i="8"/>
  <c r="BQ20" i="8" s="1"/>
  <c r="BK20" i="8"/>
  <c r="BM20" i="8" s="1"/>
  <c r="BG20" i="8"/>
  <c r="BI20" i="8" s="1"/>
  <c r="BC20" i="8"/>
  <c r="BE20" i="8" s="1"/>
  <c r="AY20" i="8"/>
  <c r="BA20" i="8" s="1"/>
  <c r="CA19" i="8"/>
  <c r="CC19" i="8" s="1"/>
  <c r="BW19" i="8"/>
  <c r="BY19" i="8" s="1"/>
  <c r="BS19" i="8"/>
  <c r="BU19" i="8" s="1"/>
  <c r="BO19" i="8"/>
  <c r="BQ19" i="8" s="1"/>
  <c r="BK19" i="8"/>
  <c r="BM19" i="8" s="1"/>
  <c r="BG19" i="8"/>
  <c r="BI19" i="8" s="1"/>
  <c r="BC19" i="8"/>
  <c r="BE19" i="8" s="1"/>
  <c r="AY19" i="8"/>
  <c r="BA19" i="8" s="1"/>
  <c r="CA18" i="8"/>
  <c r="CC18" i="8" s="1"/>
  <c r="BW18" i="8"/>
  <c r="BY18" i="8" s="1"/>
  <c r="BS18" i="8"/>
  <c r="BU18" i="8" s="1"/>
  <c r="BO18" i="8"/>
  <c r="BQ18" i="8" s="1"/>
  <c r="BK18" i="8"/>
  <c r="BM18" i="8" s="1"/>
  <c r="BG18" i="8"/>
  <c r="BI18" i="8" s="1"/>
  <c r="BC18" i="8"/>
  <c r="BE18" i="8" s="1"/>
  <c r="AY18" i="8"/>
  <c r="BA18" i="8" s="1"/>
  <c r="CA17" i="8"/>
  <c r="CC17" i="8" s="1"/>
  <c r="BW17" i="8"/>
  <c r="BY17" i="8" s="1"/>
  <c r="BS17" i="8"/>
  <c r="BU17" i="8" s="1"/>
  <c r="BO17" i="8"/>
  <c r="BQ17" i="8" s="1"/>
  <c r="BK17" i="8"/>
  <c r="BM17" i="8" s="1"/>
  <c r="BG17" i="8"/>
  <c r="BI17" i="8" s="1"/>
  <c r="BC17" i="8"/>
  <c r="BE17" i="8" s="1"/>
  <c r="AY17" i="8"/>
  <c r="BA17" i="8" s="1"/>
  <c r="CA16" i="8"/>
  <c r="CC16" i="8" s="1"/>
  <c r="BW16" i="8"/>
  <c r="BY16" i="8" s="1"/>
  <c r="BS16" i="8"/>
  <c r="BU16" i="8" s="1"/>
  <c r="BO16" i="8"/>
  <c r="BQ16" i="8" s="1"/>
  <c r="BK16" i="8"/>
  <c r="BM16" i="8" s="1"/>
  <c r="BG16" i="8"/>
  <c r="BI16" i="8" s="1"/>
  <c r="BC16" i="8"/>
  <c r="BE16" i="8" s="1"/>
  <c r="AY16" i="8"/>
  <c r="BA16" i="8" s="1"/>
  <c r="CA15" i="8"/>
  <c r="CC15" i="8" s="1"/>
  <c r="BW15" i="8"/>
  <c r="BY15" i="8" s="1"/>
  <c r="BS15" i="8"/>
  <c r="BU15" i="8" s="1"/>
  <c r="BO15" i="8"/>
  <c r="BQ15" i="8" s="1"/>
  <c r="BK15" i="8"/>
  <c r="BM15" i="8" s="1"/>
  <c r="BG15" i="8"/>
  <c r="BI15" i="8" s="1"/>
  <c r="BC15" i="8"/>
  <c r="BE15" i="8" s="1"/>
  <c r="AY15" i="8"/>
  <c r="BA15" i="8" s="1"/>
  <c r="CA14" i="8"/>
  <c r="CC14" i="8" s="1"/>
  <c r="BW14" i="8"/>
  <c r="BY14" i="8" s="1"/>
  <c r="BS14" i="8"/>
  <c r="BU14" i="8" s="1"/>
  <c r="BO14" i="8"/>
  <c r="BQ14" i="8" s="1"/>
  <c r="BK14" i="8"/>
  <c r="BM14" i="8" s="1"/>
  <c r="BG14" i="8"/>
  <c r="BI14" i="8" s="1"/>
  <c r="BC14" i="8"/>
  <c r="BE14" i="8" s="1"/>
  <c r="AY14" i="8"/>
  <c r="BA14" i="8" s="1"/>
  <c r="CA13" i="8"/>
  <c r="CC13" i="8" s="1"/>
  <c r="BW13" i="8"/>
  <c r="BY13" i="8" s="1"/>
  <c r="BS13" i="8"/>
  <c r="BU13" i="8" s="1"/>
  <c r="BO13" i="8"/>
  <c r="BQ13" i="8" s="1"/>
  <c r="BK13" i="8"/>
  <c r="BM13" i="8" s="1"/>
  <c r="BG13" i="8"/>
  <c r="BI13" i="8" s="1"/>
  <c r="BC13" i="8"/>
  <c r="BE13" i="8" s="1"/>
  <c r="AY13" i="8"/>
  <c r="BA13" i="8" s="1"/>
  <c r="CA12" i="8"/>
  <c r="CC12" i="8" s="1"/>
  <c r="BW12" i="8"/>
  <c r="BY12" i="8" s="1"/>
  <c r="BS12" i="8"/>
  <c r="BU12" i="8" s="1"/>
  <c r="BO12" i="8"/>
  <c r="BQ12" i="8" s="1"/>
  <c r="BM12" i="8"/>
  <c r="BG12" i="8"/>
  <c r="BI12" i="8" s="1"/>
  <c r="BC12" i="8"/>
  <c r="BE12" i="8" s="1"/>
  <c r="AY12" i="8"/>
  <c r="BA12" i="8" s="1"/>
  <c r="CA11" i="8"/>
  <c r="CC11" i="8" s="1"/>
  <c r="BW11" i="8"/>
  <c r="BY11" i="8" s="1"/>
  <c r="BS11" i="8"/>
  <c r="BU11" i="8" s="1"/>
  <c r="BO11" i="8"/>
  <c r="BQ11" i="8" s="1"/>
  <c r="BK11" i="8"/>
  <c r="BM11" i="8" s="1"/>
  <c r="BG11" i="8"/>
  <c r="BI11" i="8" s="1"/>
  <c r="BC11" i="8"/>
  <c r="BE11" i="8" s="1"/>
  <c r="AY11" i="8"/>
  <c r="BA11" i="8" s="1"/>
  <c r="CA10" i="8"/>
  <c r="CC10" i="8" s="1"/>
  <c r="BW10" i="8"/>
  <c r="BY10" i="8" s="1"/>
  <c r="BS10" i="8"/>
  <c r="BU10" i="8" s="1"/>
  <c r="BO10" i="8"/>
  <c r="BQ10" i="8" s="1"/>
  <c r="BK10" i="8"/>
  <c r="BM10" i="8" s="1"/>
  <c r="BG10" i="8"/>
  <c r="BI10" i="8" s="1"/>
  <c r="BC10" i="8"/>
  <c r="BE10" i="8" s="1"/>
  <c r="AY10" i="8"/>
  <c r="BA10" i="8" s="1"/>
  <c r="CA9" i="8"/>
  <c r="CC9" i="8" s="1"/>
  <c r="BW9" i="8"/>
  <c r="BY9" i="8" s="1"/>
  <c r="BS9" i="8"/>
  <c r="BU9" i="8" s="1"/>
  <c r="BO9" i="8"/>
  <c r="BQ9" i="8" s="1"/>
  <c r="BK9" i="8"/>
  <c r="BM9" i="8" s="1"/>
  <c r="BG9" i="8"/>
  <c r="BI9" i="8" s="1"/>
  <c r="BC9" i="8"/>
  <c r="BE9" i="8" s="1"/>
  <c r="AY9" i="8"/>
  <c r="BA9" i="8" s="1"/>
  <c r="CA8" i="8"/>
  <c r="CC8" i="8" s="1"/>
  <c r="BW8" i="8"/>
  <c r="BY8" i="8" s="1"/>
  <c r="BS8" i="8"/>
  <c r="BU8" i="8" s="1"/>
  <c r="BO8" i="8"/>
  <c r="BQ8" i="8" s="1"/>
  <c r="BK8" i="8"/>
  <c r="BM8" i="8" s="1"/>
  <c r="BG8" i="8"/>
  <c r="BI8" i="8" s="1"/>
  <c r="BC8" i="8"/>
  <c r="BE8" i="8" s="1"/>
  <c r="AY8" i="8"/>
  <c r="BA8" i="8" s="1"/>
  <c r="CA7" i="8"/>
  <c r="CC7" i="8" s="1"/>
  <c r="BW7" i="8"/>
  <c r="BY7" i="8" s="1"/>
  <c r="BS7" i="8"/>
  <c r="BU7" i="8" s="1"/>
  <c r="BO7" i="8"/>
  <c r="BQ7" i="8" s="1"/>
  <c r="BK7" i="8"/>
  <c r="BM7" i="8" s="1"/>
  <c r="BG7" i="8"/>
  <c r="BI7" i="8" s="1"/>
  <c r="BC7" i="8"/>
  <c r="BE7" i="8" s="1"/>
  <c r="AY7" i="8"/>
  <c r="BA7" i="8" s="1"/>
  <c r="CA6" i="8"/>
  <c r="CC6" i="8" s="1"/>
  <c r="BW6" i="8"/>
  <c r="BY6" i="8" s="1"/>
  <c r="BS6" i="8"/>
  <c r="BU6" i="8" s="1"/>
  <c r="BO6" i="8"/>
  <c r="BQ6" i="8" s="1"/>
  <c r="BK6" i="8"/>
  <c r="BM6" i="8" s="1"/>
  <c r="BG6" i="8"/>
  <c r="BI6" i="8" s="1"/>
  <c r="BC6" i="8"/>
  <c r="BE6" i="8" s="1"/>
  <c r="AY6" i="8"/>
  <c r="BA6" i="8" s="1"/>
  <c r="CA5" i="8"/>
  <c r="CC5" i="8" s="1"/>
  <c r="BW5" i="8"/>
  <c r="BY5" i="8" s="1"/>
  <c r="BS5" i="8"/>
  <c r="BU5" i="8" s="1"/>
  <c r="BO5" i="8"/>
  <c r="BQ5" i="8" s="1"/>
  <c r="BK5" i="8"/>
  <c r="BM5" i="8" s="1"/>
  <c r="BG5" i="8"/>
  <c r="BI5" i="8" s="1"/>
  <c r="BC5" i="8"/>
  <c r="BE5" i="8" s="1"/>
  <c r="AY5" i="8"/>
  <c r="BA5" i="8" s="1"/>
  <c r="AU20" i="8"/>
  <c r="AW20" i="8" s="1"/>
  <c r="AQ20" i="8"/>
  <c r="AS20" i="8" s="1"/>
  <c r="AI20" i="8"/>
  <c r="AK20" i="8" s="1"/>
  <c r="AU19" i="8"/>
  <c r="AW19" i="8" s="1"/>
  <c r="AQ19" i="8"/>
  <c r="AS19" i="8" s="1"/>
  <c r="AI19" i="8"/>
  <c r="AK19" i="8" s="1"/>
  <c r="AU18" i="8"/>
  <c r="AW18" i="8" s="1"/>
  <c r="AQ18" i="8"/>
  <c r="AS18" i="8" s="1"/>
  <c r="AI18" i="8"/>
  <c r="AK18" i="8" s="1"/>
  <c r="AQ17" i="8"/>
  <c r="AI17" i="8"/>
  <c r="AK17" i="8" s="1"/>
  <c r="AU16" i="8"/>
  <c r="AW16" i="8" s="1"/>
  <c r="AQ16" i="8"/>
  <c r="AS16" i="8" s="1"/>
  <c r="AI16" i="8"/>
  <c r="AK16" i="8" s="1"/>
  <c r="AU15" i="8"/>
  <c r="AW15" i="8" s="1"/>
  <c r="AQ15" i="8"/>
  <c r="AS15" i="8" s="1"/>
  <c r="AI15" i="8"/>
  <c r="AK15" i="8" s="1"/>
  <c r="AU14" i="8"/>
  <c r="AW14" i="8" s="1"/>
  <c r="AQ14" i="8"/>
  <c r="AS14" i="8" s="1"/>
  <c r="AI14" i="8"/>
  <c r="AK14" i="8" s="1"/>
  <c r="AU13" i="8"/>
  <c r="AW13" i="8" s="1"/>
  <c r="AQ13" i="8"/>
  <c r="AS13" i="8" s="1"/>
  <c r="AI13" i="8"/>
  <c r="AK13" i="8" s="1"/>
  <c r="AU12" i="8"/>
  <c r="AW12" i="8" s="1"/>
  <c r="AQ12" i="8"/>
  <c r="AS12" i="8" s="1"/>
  <c r="AI12" i="8"/>
  <c r="AK12" i="8" s="1"/>
  <c r="AU11" i="8"/>
  <c r="AW11" i="8" s="1"/>
  <c r="AQ11" i="8"/>
  <c r="AS11" i="8" s="1"/>
  <c r="AI11" i="8"/>
  <c r="AK11" i="8" s="1"/>
  <c r="AU10" i="8"/>
  <c r="AW10" i="8" s="1"/>
  <c r="AQ10" i="8"/>
  <c r="AS10" i="8" s="1"/>
  <c r="AI10" i="8"/>
  <c r="AK10" i="8" s="1"/>
  <c r="AU9" i="8"/>
  <c r="AW9" i="8" s="1"/>
  <c r="AQ9" i="8"/>
  <c r="AS9" i="8" s="1"/>
  <c r="AI9" i="8"/>
  <c r="AK9" i="8" s="1"/>
  <c r="AU8" i="8"/>
  <c r="AW8" i="8" s="1"/>
  <c r="AQ8" i="8"/>
  <c r="AS8" i="8" s="1"/>
  <c r="AI8" i="8"/>
  <c r="AK8" i="8" s="1"/>
  <c r="AU7" i="8"/>
  <c r="AW7" i="8" s="1"/>
  <c r="AQ7" i="8"/>
  <c r="AS7" i="8" s="1"/>
  <c r="AI7" i="8"/>
  <c r="AK7" i="8" s="1"/>
  <c r="AU6" i="8"/>
  <c r="AW6" i="8" s="1"/>
  <c r="AQ6" i="8"/>
  <c r="AS6" i="8" s="1"/>
  <c r="AI6" i="8"/>
  <c r="AK6" i="8" s="1"/>
  <c r="AU5" i="8"/>
  <c r="AW5" i="8" s="1"/>
  <c r="AQ5" i="8"/>
  <c r="AS5" i="8" s="1"/>
  <c r="AI5" i="8"/>
  <c r="AK5" i="8" s="1"/>
  <c r="AA20" i="8"/>
  <c r="AC20" i="8" s="1"/>
  <c r="AA19" i="8"/>
  <c r="AC19" i="8" s="1"/>
  <c r="AA18" i="8"/>
  <c r="AC18" i="8" s="1"/>
  <c r="AE17" i="8"/>
  <c r="AG17" i="8" s="1"/>
  <c r="AA17" i="8"/>
  <c r="AC17" i="8" s="1"/>
  <c r="AE16" i="8"/>
  <c r="AG16" i="8" s="1"/>
  <c r="AA16" i="8"/>
  <c r="AC16" i="8" s="1"/>
  <c r="AE15" i="8"/>
  <c r="AG15" i="8" s="1"/>
  <c r="AA15" i="8"/>
  <c r="AC15" i="8" s="1"/>
  <c r="AE14" i="8"/>
  <c r="AG14" i="8" s="1"/>
  <c r="AA14" i="8"/>
  <c r="AC14" i="8" s="1"/>
  <c r="AE13" i="8"/>
  <c r="AG13" i="8" s="1"/>
  <c r="AA13" i="8"/>
  <c r="AC13" i="8" s="1"/>
  <c r="AE12" i="8"/>
  <c r="AG12" i="8" s="1"/>
  <c r="AA12" i="8"/>
  <c r="AC12" i="8" s="1"/>
  <c r="AE11" i="8"/>
  <c r="AG11" i="8" s="1"/>
  <c r="AA11" i="8"/>
  <c r="AC11" i="8" s="1"/>
  <c r="AE10" i="8"/>
  <c r="AG10" i="8" s="1"/>
  <c r="AA10" i="8"/>
  <c r="AC10" i="8" s="1"/>
  <c r="AE9" i="8"/>
  <c r="AG9" i="8" s="1"/>
  <c r="AA9" i="8"/>
  <c r="AC9" i="8" s="1"/>
  <c r="AE8" i="8"/>
  <c r="AG8" i="8" s="1"/>
  <c r="AA8" i="8"/>
  <c r="AC8" i="8" s="1"/>
  <c r="AE7" i="8"/>
  <c r="AG7" i="8" s="1"/>
  <c r="AA7" i="8"/>
  <c r="AC7" i="8" s="1"/>
  <c r="AE6" i="8"/>
  <c r="AG6" i="8" s="1"/>
  <c r="AA6" i="8"/>
  <c r="AC6" i="8" s="1"/>
  <c r="AE5" i="8"/>
  <c r="AG5" i="8" s="1"/>
  <c r="AA5" i="8"/>
  <c r="AC5" i="8" s="1"/>
  <c r="W20" i="8"/>
  <c r="Y20" i="8" s="1"/>
  <c r="W19" i="8"/>
  <c r="Y19" i="8" s="1"/>
  <c r="W18" i="8"/>
  <c r="Y18" i="8" s="1"/>
  <c r="W17" i="8"/>
  <c r="Y17" i="8" s="1"/>
  <c r="W16" i="8"/>
  <c r="Y16" i="8" s="1"/>
  <c r="W15" i="8"/>
  <c r="Y15" i="8" s="1"/>
  <c r="W14" i="8"/>
  <c r="Y14" i="8" s="1"/>
  <c r="W13" i="8"/>
  <c r="Y13" i="8" s="1"/>
  <c r="W12" i="8"/>
  <c r="Y12" i="8" s="1"/>
  <c r="W10" i="8"/>
  <c r="Y10" i="8" s="1"/>
  <c r="W9" i="8"/>
  <c r="Y9" i="8" s="1"/>
  <c r="W8" i="8"/>
  <c r="Y8" i="8" s="1"/>
  <c r="W7" i="8"/>
  <c r="Y7" i="8" s="1"/>
  <c r="W6" i="8"/>
  <c r="Y6" i="8" s="1"/>
  <c r="W5" i="8"/>
  <c r="Y5" i="8" s="1"/>
  <c r="S20" i="8"/>
  <c r="U20" i="8" s="1"/>
  <c r="S19" i="8"/>
  <c r="U19" i="8" s="1"/>
  <c r="S18" i="8"/>
  <c r="U18" i="8" s="1"/>
  <c r="S17" i="8"/>
  <c r="U17" i="8" s="1"/>
  <c r="S16" i="8"/>
  <c r="U16" i="8" s="1"/>
  <c r="S15" i="8"/>
  <c r="U15" i="8" s="1"/>
  <c r="S14" i="8"/>
  <c r="U14" i="8" s="1"/>
  <c r="S13" i="8"/>
  <c r="U13" i="8" s="1"/>
  <c r="S12" i="8"/>
  <c r="U12" i="8" s="1"/>
  <c r="S11" i="8"/>
  <c r="S10" i="8"/>
  <c r="U10" i="8" s="1"/>
  <c r="S9" i="8"/>
  <c r="U9" i="8" s="1"/>
  <c r="S8" i="8"/>
  <c r="U8" i="8" s="1"/>
  <c r="S7" i="8"/>
  <c r="U7" i="8" s="1"/>
  <c r="S6" i="8"/>
  <c r="U6" i="8" s="1"/>
  <c r="S5" i="8"/>
  <c r="U5" i="8" s="1"/>
  <c r="BF65" i="6"/>
  <c r="BH65" i="6" s="1"/>
  <c r="BB65" i="6"/>
  <c r="BD65" i="6" s="1"/>
  <c r="AX65" i="6"/>
  <c r="AZ65" i="6" s="1"/>
  <c r="AT65" i="6"/>
  <c r="AV65" i="6" s="1"/>
  <c r="BF64" i="6"/>
  <c r="BH64" i="6" s="1"/>
  <c r="BB64" i="6"/>
  <c r="BD64" i="6" s="1"/>
  <c r="AX64" i="6"/>
  <c r="AZ64" i="6" s="1"/>
  <c r="AT64" i="6"/>
  <c r="AV64" i="6" s="1"/>
  <c r="BF63" i="6"/>
  <c r="BH63" i="6" s="1"/>
  <c r="BB63" i="6"/>
  <c r="BD63" i="6" s="1"/>
  <c r="AX63" i="6"/>
  <c r="AZ63" i="6" s="1"/>
  <c r="AT63" i="6"/>
  <c r="AV63" i="6" s="1"/>
  <c r="BF62" i="6"/>
  <c r="BH62" i="6" s="1"/>
  <c r="BB62" i="6"/>
  <c r="BD62" i="6" s="1"/>
  <c r="AX62" i="6"/>
  <c r="AZ62" i="6" s="1"/>
  <c r="AT62" i="6"/>
  <c r="AV62" i="6" s="1"/>
  <c r="BF61" i="6"/>
  <c r="BH61" i="6" s="1"/>
  <c r="BB61" i="6"/>
  <c r="BD61" i="6" s="1"/>
  <c r="AX61" i="6"/>
  <c r="AZ61" i="6" s="1"/>
  <c r="AT61" i="6"/>
  <c r="AV61" i="6" s="1"/>
  <c r="BF60" i="6"/>
  <c r="BH60" i="6" s="1"/>
  <c r="BB60" i="6"/>
  <c r="BD60" i="6" s="1"/>
  <c r="AX60" i="6"/>
  <c r="AZ60" i="6" s="1"/>
  <c r="AT60" i="6"/>
  <c r="AV60" i="6" s="1"/>
  <c r="BF59" i="6"/>
  <c r="BH59" i="6" s="1"/>
  <c r="BB59" i="6"/>
  <c r="BD59" i="6" s="1"/>
  <c r="AX59" i="6"/>
  <c r="AZ59" i="6" s="1"/>
  <c r="AT59" i="6"/>
  <c r="AV59" i="6" s="1"/>
  <c r="BF58" i="6"/>
  <c r="BH58" i="6" s="1"/>
  <c r="BB58" i="6"/>
  <c r="BD58" i="6" s="1"/>
  <c r="AX58" i="6"/>
  <c r="AZ58" i="6" s="1"/>
  <c r="AT58" i="6"/>
  <c r="AV58" i="6" s="1"/>
  <c r="BF57" i="6"/>
  <c r="BH57" i="6" s="1"/>
  <c r="BB57" i="6"/>
  <c r="BD57" i="6" s="1"/>
  <c r="AX57" i="6"/>
  <c r="AZ57" i="6" s="1"/>
  <c r="AT57" i="6"/>
  <c r="AV57" i="6" s="1"/>
  <c r="BF56" i="6"/>
  <c r="BH56" i="6" s="1"/>
  <c r="BB56" i="6"/>
  <c r="BD56" i="6" s="1"/>
  <c r="AX56" i="6"/>
  <c r="AZ56" i="6" s="1"/>
  <c r="AT56" i="6"/>
  <c r="AV56" i="6" s="1"/>
  <c r="BF55" i="6"/>
  <c r="BH55" i="6" s="1"/>
  <c r="BB55" i="6"/>
  <c r="BD55" i="6" s="1"/>
  <c r="AX55" i="6"/>
  <c r="AZ55" i="6" s="1"/>
  <c r="AT55" i="6"/>
  <c r="AV55" i="6" s="1"/>
  <c r="BF54" i="6"/>
  <c r="BH54" i="6" s="1"/>
  <c r="BB54" i="6"/>
  <c r="BD54" i="6" s="1"/>
  <c r="AX54" i="6"/>
  <c r="AZ54" i="6" s="1"/>
  <c r="AT54" i="6"/>
  <c r="AV54" i="6" s="1"/>
  <c r="BF53" i="6"/>
  <c r="BH53" i="6" s="1"/>
  <c r="BB53" i="6"/>
  <c r="BD53" i="6" s="1"/>
  <c r="AX53" i="6"/>
  <c r="AZ53" i="6" s="1"/>
  <c r="AT53" i="6"/>
  <c r="AV53" i="6" s="1"/>
  <c r="BF52" i="6"/>
  <c r="BH52" i="6" s="1"/>
  <c r="BB52" i="6"/>
  <c r="BD52" i="6" s="1"/>
  <c r="AX52" i="6"/>
  <c r="AZ52" i="6" s="1"/>
  <c r="AT52" i="6"/>
  <c r="AV52" i="6" s="1"/>
  <c r="BF51" i="6"/>
  <c r="BH51" i="6" s="1"/>
  <c r="BB51" i="6"/>
  <c r="BD51" i="6" s="1"/>
  <c r="AX51" i="6"/>
  <c r="AZ51" i="6" s="1"/>
  <c r="AT51" i="6"/>
  <c r="AV51" i="6" s="1"/>
  <c r="BF50" i="6"/>
  <c r="BH50" i="6" s="1"/>
  <c r="BB50" i="6"/>
  <c r="BD50" i="6" s="1"/>
  <c r="AX50" i="6"/>
  <c r="AZ50" i="6" s="1"/>
  <c r="AT50" i="6"/>
  <c r="AV50" i="6" s="1"/>
  <c r="BF49" i="6"/>
  <c r="BH49" i="6" s="1"/>
  <c r="BB49" i="6"/>
  <c r="BD49" i="6" s="1"/>
  <c r="AX49" i="6"/>
  <c r="AZ49" i="6" s="1"/>
  <c r="AT49" i="6"/>
  <c r="AV49" i="6" s="1"/>
  <c r="BF48" i="6"/>
  <c r="BH48" i="6" s="1"/>
  <c r="BB48" i="6"/>
  <c r="BD48" i="6" s="1"/>
  <c r="AX48" i="6"/>
  <c r="AZ48" i="6" s="1"/>
  <c r="AT48" i="6"/>
  <c r="AV48" i="6" s="1"/>
  <c r="BF47" i="6"/>
  <c r="BH47" i="6" s="1"/>
  <c r="BB47" i="6"/>
  <c r="BD47" i="6" s="1"/>
  <c r="AX47" i="6"/>
  <c r="AZ47" i="6" s="1"/>
  <c r="AT47" i="6"/>
  <c r="AV47" i="6" s="1"/>
  <c r="BF46" i="6"/>
  <c r="BH46" i="6" s="1"/>
  <c r="BB46" i="6"/>
  <c r="BD46" i="6" s="1"/>
  <c r="AX46" i="6"/>
  <c r="AZ46" i="6" s="1"/>
  <c r="AT46" i="6"/>
  <c r="AV46" i="6" s="1"/>
  <c r="BF45" i="6"/>
  <c r="BH45" i="6" s="1"/>
  <c r="BB45" i="6"/>
  <c r="BD45" i="6" s="1"/>
  <c r="AX45" i="6"/>
  <c r="AZ45" i="6" s="1"/>
  <c r="AT45" i="6"/>
  <c r="BF44" i="6"/>
  <c r="BH44" i="6" s="1"/>
  <c r="BB44" i="6"/>
  <c r="BD44" i="6" s="1"/>
  <c r="AX44" i="6"/>
  <c r="AZ44" i="6" s="1"/>
  <c r="AT44" i="6"/>
  <c r="AV44" i="6" s="1"/>
  <c r="BF43" i="6"/>
  <c r="BH43" i="6" s="1"/>
  <c r="BB43" i="6"/>
  <c r="BD43" i="6" s="1"/>
  <c r="AX43" i="6"/>
  <c r="AZ43" i="6" s="1"/>
  <c r="BF42" i="6"/>
  <c r="BH42" i="6" s="1"/>
  <c r="BB42" i="6"/>
  <c r="BD42" i="6" s="1"/>
  <c r="AX42" i="6"/>
  <c r="AZ42" i="6" s="1"/>
  <c r="BF41" i="6"/>
  <c r="BH41" i="6" s="1"/>
  <c r="BB41" i="6"/>
  <c r="BD41" i="6" s="1"/>
  <c r="AX41" i="6"/>
  <c r="AZ41" i="6" s="1"/>
  <c r="AT41" i="6"/>
  <c r="AV41" i="6" s="1"/>
  <c r="BF40" i="6"/>
  <c r="BH40" i="6" s="1"/>
  <c r="BB40" i="6"/>
  <c r="BD40" i="6" s="1"/>
  <c r="AX40" i="6"/>
  <c r="AZ40" i="6" s="1"/>
  <c r="AT40" i="6"/>
  <c r="AV40" i="6" s="1"/>
  <c r="BF39" i="6"/>
  <c r="BH39" i="6" s="1"/>
  <c r="BB39" i="6"/>
  <c r="BD39" i="6" s="1"/>
  <c r="AX39" i="6"/>
  <c r="AZ39" i="6" s="1"/>
  <c r="AT39" i="6"/>
  <c r="AV39" i="6" s="1"/>
  <c r="BF38" i="6"/>
  <c r="BH38" i="6" s="1"/>
  <c r="BB38" i="6"/>
  <c r="BD38" i="6" s="1"/>
  <c r="AX38" i="6"/>
  <c r="AZ38" i="6" s="1"/>
  <c r="AT38" i="6"/>
  <c r="AV38" i="6" s="1"/>
  <c r="BF37" i="6"/>
  <c r="BH37" i="6" s="1"/>
  <c r="BB37" i="6"/>
  <c r="BD37" i="6" s="1"/>
  <c r="AX37" i="6"/>
  <c r="AZ37" i="6" s="1"/>
  <c r="AT37" i="6"/>
  <c r="AV37" i="6" s="1"/>
  <c r="BF36" i="6"/>
  <c r="BH36" i="6" s="1"/>
  <c r="BB36" i="6"/>
  <c r="BD36" i="6" s="1"/>
  <c r="AX36" i="6"/>
  <c r="AZ36" i="6" s="1"/>
  <c r="AT36" i="6"/>
  <c r="AV36" i="6" s="1"/>
  <c r="BF35" i="6"/>
  <c r="BH35" i="6" s="1"/>
  <c r="BB35" i="6"/>
  <c r="BD35" i="6" s="1"/>
  <c r="AX35" i="6"/>
  <c r="AZ35" i="6" s="1"/>
  <c r="AT35" i="6"/>
  <c r="AV35" i="6" s="1"/>
  <c r="BF34" i="6"/>
  <c r="BH34" i="6" s="1"/>
  <c r="BB34" i="6"/>
  <c r="BD34" i="6" s="1"/>
  <c r="AX34" i="6"/>
  <c r="AZ34" i="6" s="1"/>
  <c r="AT34" i="6"/>
  <c r="AV34" i="6" s="1"/>
  <c r="BF33" i="6"/>
  <c r="BH33" i="6" s="1"/>
  <c r="BB33" i="6"/>
  <c r="BD33" i="6" s="1"/>
  <c r="AX33" i="6"/>
  <c r="AZ33" i="6" s="1"/>
  <c r="AT33" i="6"/>
  <c r="AV33" i="6" s="1"/>
  <c r="BF32" i="6"/>
  <c r="BH32" i="6" s="1"/>
  <c r="BB32" i="6"/>
  <c r="BD32" i="6" s="1"/>
  <c r="AX32" i="6"/>
  <c r="AZ32" i="6" s="1"/>
  <c r="AT32" i="6"/>
  <c r="AV32" i="6" s="1"/>
  <c r="BF31" i="6"/>
  <c r="BH31" i="6" s="1"/>
  <c r="BB31" i="6"/>
  <c r="BD31" i="6" s="1"/>
  <c r="AX31" i="6"/>
  <c r="AZ31" i="6" s="1"/>
  <c r="AT31" i="6"/>
  <c r="AV31" i="6" s="1"/>
  <c r="BF30" i="6"/>
  <c r="BH30" i="6" s="1"/>
  <c r="BB30" i="6"/>
  <c r="BD30" i="6" s="1"/>
  <c r="AX30" i="6"/>
  <c r="AZ30" i="6" s="1"/>
  <c r="AT30" i="6"/>
  <c r="AV30" i="6" s="1"/>
  <c r="BF29" i="6"/>
  <c r="BH29" i="6" s="1"/>
  <c r="BB29" i="6"/>
  <c r="BD29" i="6" s="1"/>
  <c r="AX29" i="6"/>
  <c r="AZ29" i="6" s="1"/>
  <c r="AT29" i="6"/>
  <c r="AV29" i="6" s="1"/>
  <c r="BF28" i="6"/>
  <c r="BH28" i="6" s="1"/>
  <c r="BB28" i="6"/>
  <c r="BD28" i="6" s="1"/>
  <c r="AX28" i="6"/>
  <c r="AZ28" i="6" s="1"/>
  <c r="AT28" i="6"/>
  <c r="AV28" i="6" s="1"/>
  <c r="BF27" i="6"/>
  <c r="BH27" i="6" s="1"/>
  <c r="BB27" i="6"/>
  <c r="BD27" i="6" s="1"/>
  <c r="AX27" i="6"/>
  <c r="AZ27" i="6" s="1"/>
  <c r="AT27" i="6"/>
  <c r="AV27" i="6" s="1"/>
  <c r="BF26" i="6"/>
  <c r="BH26" i="6" s="1"/>
  <c r="BB26" i="6"/>
  <c r="BD26" i="6" s="1"/>
  <c r="AX26" i="6"/>
  <c r="AZ26" i="6" s="1"/>
  <c r="AT26" i="6"/>
  <c r="AV26" i="6" s="1"/>
  <c r="BF25" i="6"/>
  <c r="BH25" i="6" s="1"/>
  <c r="BB25" i="6"/>
  <c r="BD25" i="6" s="1"/>
  <c r="AX25" i="6"/>
  <c r="AZ25" i="6" s="1"/>
  <c r="AT25" i="6"/>
  <c r="AV25" i="6" s="1"/>
  <c r="BF24" i="6"/>
  <c r="BH24" i="6" s="1"/>
  <c r="BB24" i="6"/>
  <c r="BD24" i="6" s="1"/>
  <c r="AX24" i="6"/>
  <c r="AZ24" i="6" s="1"/>
  <c r="AT24" i="6"/>
  <c r="AV24" i="6" s="1"/>
  <c r="BF23" i="6"/>
  <c r="BH23" i="6" s="1"/>
  <c r="BB23" i="6"/>
  <c r="BD23" i="6" s="1"/>
  <c r="AX23" i="6"/>
  <c r="AZ23" i="6" s="1"/>
  <c r="AT23" i="6"/>
  <c r="AV23" i="6" s="1"/>
  <c r="BF22" i="6"/>
  <c r="BH22" i="6" s="1"/>
  <c r="BB22" i="6"/>
  <c r="BD22" i="6" s="1"/>
  <c r="AX22" i="6"/>
  <c r="AZ22" i="6" s="1"/>
  <c r="AT22" i="6"/>
  <c r="AV22" i="6" s="1"/>
  <c r="BF21" i="6"/>
  <c r="BH21" i="6" s="1"/>
  <c r="BB21" i="6"/>
  <c r="BD21" i="6" s="1"/>
  <c r="AX21" i="6"/>
  <c r="AZ21" i="6" s="1"/>
  <c r="AT21" i="6"/>
  <c r="AV21" i="6" s="1"/>
  <c r="BF20" i="6"/>
  <c r="BH20" i="6" s="1"/>
  <c r="BB20" i="6"/>
  <c r="BD20" i="6" s="1"/>
  <c r="AX20" i="6"/>
  <c r="AZ20" i="6" s="1"/>
  <c r="AT20" i="6"/>
  <c r="AV20" i="6" s="1"/>
  <c r="BF19" i="6"/>
  <c r="BH19" i="6" s="1"/>
  <c r="BB19" i="6"/>
  <c r="BD19" i="6" s="1"/>
  <c r="AX19" i="6"/>
  <c r="AZ19" i="6" s="1"/>
  <c r="AT19" i="6"/>
  <c r="AV19" i="6" s="1"/>
  <c r="BF18" i="6"/>
  <c r="BH18" i="6" s="1"/>
  <c r="BB18" i="6"/>
  <c r="BD18" i="6" s="1"/>
  <c r="AX18" i="6"/>
  <c r="AZ18" i="6" s="1"/>
  <c r="AT18" i="6"/>
  <c r="AV18" i="6" s="1"/>
  <c r="BF17" i="6"/>
  <c r="BH17" i="6" s="1"/>
  <c r="BB17" i="6"/>
  <c r="BD17" i="6" s="1"/>
  <c r="AX17" i="6"/>
  <c r="AZ17" i="6" s="1"/>
  <c r="AT17" i="6"/>
  <c r="AV17" i="6" s="1"/>
  <c r="BF16" i="6"/>
  <c r="BH16" i="6" s="1"/>
  <c r="BB16" i="6"/>
  <c r="BD16" i="6" s="1"/>
  <c r="AX16" i="6"/>
  <c r="AZ16" i="6" s="1"/>
  <c r="AT16" i="6"/>
  <c r="AV16" i="6" s="1"/>
  <c r="BF15" i="6"/>
  <c r="BH15" i="6" s="1"/>
  <c r="BB15" i="6"/>
  <c r="BD15" i="6" s="1"/>
  <c r="AX15" i="6"/>
  <c r="AZ15" i="6" s="1"/>
  <c r="AT15" i="6"/>
  <c r="AV15" i="6" s="1"/>
  <c r="BF14" i="6"/>
  <c r="BH14" i="6" s="1"/>
  <c r="BB14" i="6"/>
  <c r="BD14" i="6" s="1"/>
  <c r="AX14" i="6"/>
  <c r="AZ14" i="6" s="1"/>
  <c r="AT14" i="6"/>
  <c r="AV14" i="6" s="1"/>
  <c r="BF13" i="6"/>
  <c r="BH13" i="6" s="1"/>
  <c r="BB13" i="6"/>
  <c r="BD13" i="6" s="1"/>
  <c r="AX13" i="6"/>
  <c r="AZ13" i="6" s="1"/>
  <c r="AT13" i="6"/>
  <c r="AV13" i="6" s="1"/>
  <c r="BF12" i="6"/>
  <c r="BH12" i="6" s="1"/>
  <c r="BB12" i="6"/>
  <c r="BD12" i="6" s="1"/>
  <c r="AX12" i="6"/>
  <c r="AZ12" i="6" s="1"/>
  <c r="AT12" i="6"/>
  <c r="AV12" i="6" s="1"/>
  <c r="BF11" i="6"/>
  <c r="BH11" i="6" s="1"/>
  <c r="BB11" i="6"/>
  <c r="BD11" i="6" s="1"/>
  <c r="AX11" i="6"/>
  <c r="AZ11" i="6" s="1"/>
  <c r="AT11" i="6"/>
  <c r="AV11" i="6" s="1"/>
  <c r="BF10" i="6"/>
  <c r="BH10" i="6" s="1"/>
  <c r="BB10" i="6"/>
  <c r="BD10" i="6" s="1"/>
  <c r="AX10" i="6"/>
  <c r="AZ10" i="6" s="1"/>
  <c r="AT10" i="6"/>
  <c r="AV10" i="6" s="1"/>
  <c r="BF9" i="6"/>
  <c r="BH9" i="6" s="1"/>
  <c r="BB9" i="6"/>
  <c r="BD9" i="6" s="1"/>
  <c r="AX9" i="6"/>
  <c r="AZ9" i="6" s="1"/>
  <c r="AT9" i="6"/>
  <c r="AV9" i="6" s="1"/>
  <c r="BF8" i="6"/>
  <c r="BH8" i="6" s="1"/>
  <c r="BB8" i="6"/>
  <c r="BD8" i="6" s="1"/>
  <c r="AX8" i="6"/>
  <c r="AZ8" i="6" s="1"/>
  <c r="AT8" i="6"/>
  <c r="AV8" i="6" s="1"/>
  <c r="BF7" i="6"/>
  <c r="BH7" i="6" s="1"/>
  <c r="BB7" i="6"/>
  <c r="BD7" i="6" s="1"/>
  <c r="AX7" i="6"/>
  <c r="AZ7" i="6" s="1"/>
  <c r="AT7" i="6"/>
  <c r="AV7" i="6" s="1"/>
  <c r="BF6" i="6"/>
  <c r="BH6" i="6" s="1"/>
  <c r="BB6" i="6"/>
  <c r="BD6" i="6" s="1"/>
  <c r="AX6" i="6"/>
  <c r="AZ6" i="6" s="1"/>
  <c r="AT6" i="6"/>
  <c r="AV6" i="6" s="1"/>
  <c r="BF5" i="6"/>
  <c r="BH5" i="6" s="1"/>
  <c r="BB5" i="6"/>
  <c r="BD5" i="6" s="1"/>
  <c r="AX5" i="6"/>
  <c r="AZ5" i="6" s="1"/>
  <c r="AT5" i="6"/>
  <c r="AV5" i="6" s="1"/>
  <c r="BF4" i="6"/>
  <c r="BH4" i="6" s="1"/>
  <c r="BB4" i="6"/>
  <c r="BD4" i="6" s="1"/>
  <c r="AX4" i="6"/>
  <c r="AZ4" i="6" s="1"/>
  <c r="AT4" i="6"/>
  <c r="AV4" i="6" s="1"/>
  <c r="AP65" i="6"/>
  <c r="AR65" i="6" s="1"/>
  <c r="AL65" i="6"/>
  <c r="AN65" i="6" s="1"/>
  <c r="AP63" i="6"/>
  <c r="AR63" i="6" s="1"/>
  <c r="AL63" i="6"/>
  <c r="AN63" i="6" s="1"/>
  <c r="AP62" i="6"/>
  <c r="AR62" i="6" s="1"/>
  <c r="AL62" i="6"/>
  <c r="AN62" i="6" s="1"/>
  <c r="AP61" i="6"/>
  <c r="AR61" i="6" s="1"/>
  <c r="AL61" i="6"/>
  <c r="AN61" i="6" s="1"/>
  <c r="AP60" i="6"/>
  <c r="AR60" i="6" s="1"/>
  <c r="AL60" i="6"/>
  <c r="AN60" i="6" s="1"/>
  <c r="AP59" i="6"/>
  <c r="AR59" i="6" s="1"/>
  <c r="AL59" i="6"/>
  <c r="AN59" i="6" s="1"/>
  <c r="AP58" i="6"/>
  <c r="AR58" i="6" s="1"/>
  <c r="AL58" i="6"/>
  <c r="AN58" i="6" s="1"/>
  <c r="AP57" i="6"/>
  <c r="AR57" i="6" s="1"/>
  <c r="AL57" i="6"/>
  <c r="AN57" i="6" s="1"/>
  <c r="AP56" i="6"/>
  <c r="AR56" i="6" s="1"/>
  <c r="AL56" i="6"/>
  <c r="AN56" i="6" s="1"/>
  <c r="AP55" i="6"/>
  <c r="AR55" i="6" s="1"/>
  <c r="AL55" i="6"/>
  <c r="AN55" i="6" s="1"/>
  <c r="AP54" i="6"/>
  <c r="AR54" i="6" s="1"/>
  <c r="AL54" i="6"/>
  <c r="AN54" i="6" s="1"/>
  <c r="AP53" i="6"/>
  <c r="AR53" i="6" s="1"/>
  <c r="AL53" i="6"/>
  <c r="AN53" i="6" s="1"/>
  <c r="AP52" i="6"/>
  <c r="AR52" i="6" s="1"/>
  <c r="AL52" i="6"/>
  <c r="AN52" i="6" s="1"/>
  <c r="AP51" i="6"/>
  <c r="AR51" i="6" s="1"/>
  <c r="AL51" i="6"/>
  <c r="AN51" i="6" s="1"/>
  <c r="AP50" i="6"/>
  <c r="AR50" i="6" s="1"/>
  <c r="AL50" i="6"/>
  <c r="AN50" i="6" s="1"/>
  <c r="AP49" i="6"/>
  <c r="AR49" i="6" s="1"/>
  <c r="AL49" i="6"/>
  <c r="AN49" i="6" s="1"/>
  <c r="AP48" i="6"/>
  <c r="AR48" i="6" s="1"/>
  <c r="AL48" i="6"/>
  <c r="AN48" i="6" s="1"/>
  <c r="AP47" i="6"/>
  <c r="AR47" i="6" s="1"/>
  <c r="AL47" i="6"/>
  <c r="AN47" i="6" s="1"/>
  <c r="AP46" i="6"/>
  <c r="AR46" i="6" s="1"/>
  <c r="AL46" i="6"/>
  <c r="AN46" i="6" s="1"/>
  <c r="AL43" i="6"/>
  <c r="AP42" i="6"/>
  <c r="AR42" i="6" s="1"/>
  <c r="AP41" i="6"/>
  <c r="AR41" i="6" s="1"/>
  <c r="AL41" i="6"/>
  <c r="AN41" i="6" s="1"/>
  <c r="AP40" i="6"/>
  <c r="AR40" i="6" s="1"/>
  <c r="AL40" i="6"/>
  <c r="AN40" i="6" s="1"/>
  <c r="AP39" i="6"/>
  <c r="AR39" i="6" s="1"/>
  <c r="AL39" i="6"/>
  <c r="AN39" i="6" s="1"/>
  <c r="AP38" i="6"/>
  <c r="AR38" i="6" s="1"/>
  <c r="AL38" i="6"/>
  <c r="AN38" i="6" s="1"/>
  <c r="AP37" i="6"/>
  <c r="AR37" i="6" s="1"/>
  <c r="AL37" i="6"/>
  <c r="AN37" i="6" s="1"/>
  <c r="AP36" i="6"/>
  <c r="AR36" i="6" s="1"/>
  <c r="AL36" i="6"/>
  <c r="AN36" i="6" s="1"/>
  <c r="AP35" i="6"/>
  <c r="AR35" i="6" s="1"/>
  <c r="AL35" i="6"/>
  <c r="AN35" i="6" s="1"/>
  <c r="AP34" i="6"/>
  <c r="AR34" i="6" s="1"/>
  <c r="AL34" i="6"/>
  <c r="AN34" i="6" s="1"/>
  <c r="AP33" i="6"/>
  <c r="AR33" i="6" s="1"/>
  <c r="AL33" i="6"/>
  <c r="AN33" i="6" s="1"/>
  <c r="AP32" i="6"/>
  <c r="AR32" i="6" s="1"/>
  <c r="AL32" i="6"/>
  <c r="AN32" i="6" s="1"/>
  <c r="AP31" i="6"/>
  <c r="AR31" i="6" s="1"/>
  <c r="AL31" i="6"/>
  <c r="AN31" i="6" s="1"/>
  <c r="AP30" i="6"/>
  <c r="AR30" i="6" s="1"/>
  <c r="AP29" i="6"/>
  <c r="AR29" i="6" s="1"/>
  <c r="AP27" i="6"/>
  <c r="AR27" i="6" s="1"/>
  <c r="AL27" i="6"/>
  <c r="AN27" i="6" s="1"/>
  <c r="AP26" i="6"/>
  <c r="AR26" i="6" s="1"/>
  <c r="AL26" i="6"/>
  <c r="AN26" i="6" s="1"/>
  <c r="AP25" i="6"/>
  <c r="AR25" i="6" s="1"/>
  <c r="AL25" i="6"/>
  <c r="AN25" i="6" s="1"/>
  <c r="AP24" i="6"/>
  <c r="AR24" i="6" s="1"/>
  <c r="AL24" i="6"/>
  <c r="AN24" i="6" s="1"/>
  <c r="AP23" i="6"/>
  <c r="AR23" i="6" s="1"/>
  <c r="AL23" i="6"/>
  <c r="AN23" i="6" s="1"/>
  <c r="AP22" i="6"/>
  <c r="AR22" i="6" s="1"/>
  <c r="AL22" i="6"/>
  <c r="AN22" i="6" s="1"/>
  <c r="AP21" i="6"/>
  <c r="AR21" i="6" s="1"/>
  <c r="AL21" i="6"/>
  <c r="AN21" i="6" s="1"/>
  <c r="AP20" i="6"/>
  <c r="AR20" i="6" s="1"/>
  <c r="AL20" i="6"/>
  <c r="AN20" i="6" s="1"/>
  <c r="AP19" i="6"/>
  <c r="AR19" i="6" s="1"/>
  <c r="AL19" i="6"/>
  <c r="AN19" i="6" s="1"/>
  <c r="AP18" i="6"/>
  <c r="AR18" i="6" s="1"/>
  <c r="AL18" i="6"/>
  <c r="AN18" i="6" s="1"/>
  <c r="AP17" i="6"/>
  <c r="AR17" i="6" s="1"/>
  <c r="AL17" i="6"/>
  <c r="AN17" i="6" s="1"/>
  <c r="AP16" i="6"/>
  <c r="AR16" i="6" s="1"/>
  <c r="AL16" i="6"/>
  <c r="AN16" i="6" s="1"/>
  <c r="AP15" i="6"/>
  <c r="AR15" i="6" s="1"/>
  <c r="AL15" i="6"/>
  <c r="AN15" i="6" s="1"/>
  <c r="AP14" i="6"/>
  <c r="AR14" i="6" s="1"/>
  <c r="AL14" i="6"/>
  <c r="AN14" i="6" s="1"/>
  <c r="AP13" i="6"/>
  <c r="AR13" i="6" s="1"/>
  <c r="AL13" i="6"/>
  <c r="AN13" i="6" s="1"/>
  <c r="AP12" i="6"/>
  <c r="AR12" i="6" s="1"/>
  <c r="AL12" i="6"/>
  <c r="AN12" i="6" s="1"/>
  <c r="AP11" i="6"/>
  <c r="AR11" i="6" s="1"/>
  <c r="AL11" i="6"/>
  <c r="AN11" i="6" s="1"/>
  <c r="AP10" i="6"/>
  <c r="AR10" i="6" s="1"/>
  <c r="AL10" i="6"/>
  <c r="AN10" i="6" s="1"/>
  <c r="AP9" i="6"/>
  <c r="AR9" i="6" s="1"/>
  <c r="AL9" i="6"/>
  <c r="AN9" i="6" s="1"/>
  <c r="AP8" i="6"/>
  <c r="AR8" i="6" s="1"/>
  <c r="AL8" i="6"/>
  <c r="AN8" i="6" s="1"/>
  <c r="AP7" i="6"/>
  <c r="AR7" i="6" s="1"/>
  <c r="AL7" i="6"/>
  <c r="AN7" i="6" s="1"/>
  <c r="AP6" i="6"/>
  <c r="AR6" i="6" s="1"/>
  <c r="AL6" i="6"/>
  <c r="AN6" i="6" s="1"/>
  <c r="AP5" i="6"/>
  <c r="AR5" i="6" s="1"/>
  <c r="AL5" i="6"/>
  <c r="AN5" i="6" s="1"/>
  <c r="AP4" i="6"/>
  <c r="AR4" i="6" s="1"/>
  <c r="AL4" i="6"/>
  <c r="AN4" i="6" s="1"/>
  <c r="AH65" i="6"/>
  <c r="AJ65" i="6" s="1"/>
  <c r="AH64" i="6"/>
  <c r="AH63" i="6"/>
  <c r="AJ63" i="6" s="1"/>
  <c r="AH62" i="6"/>
  <c r="AJ62" i="6" s="1"/>
  <c r="AH61" i="6"/>
  <c r="AJ61" i="6" s="1"/>
  <c r="AH60" i="6"/>
  <c r="AJ60" i="6" s="1"/>
  <c r="AH59" i="6"/>
  <c r="AJ59" i="6" s="1"/>
  <c r="AH58" i="6"/>
  <c r="AJ58" i="6" s="1"/>
  <c r="AH57" i="6"/>
  <c r="AJ57" i="6" s="1"/>
  <c r="AH56" i="6"/>
  <c r="AJ56" i="6" s="1"/>
  <c r="AH55" i="6"/>
  <c r="AH54" i="6"/>
  <c r="AJ54" i="6" s="1"/>
  <c r="AH53" i="6"/>
  <c r="AJ53" i="6" s="1"/>
  <c r="AH52" i="6"/>
  <c r="AJ52" i="6" s="1"/>
  <c r="AH51" i="6"/>
  <c r="AJ51" i="6" s="1"/>
  <c r="AH50" i="6"/>
  <c r="AJ50" i="6" s="1"/>
  <c r="AH49" i="6"/>
  <c r="AJ49" i="6" s="1"/>
  <c r="AH48" i="6"/>
  <c r="AJ48" i="6" s="1"/>
  <c r="AH47" i="6"/>
  <c r="AJ47" i="6" s="1"/>
  <c r="AH43" i="6"/>
  <c r="AJ43" i="6" s="1"/>
  <c r="AH42" i="6"/>
  <c r="AH41" i="6"/>
  <c r="AJ41" i="6" s="1"/>
  <c r="AH40" i="6"/>
  <c r="AJ40" i="6" s="1"/>
  <c r="AH39" i="6"/>
  <c r="AJ39" i="6" s="1"/>
  <c r="AH38" i="6"/>
  <c r="AJ38" i="6" s="1"/>
  <c r="AH37" i="6"/>
  <c r="AJ37" i="6" s="1"/>
  <c r="AH36" i="6"/>
  <c r="AJ36" i="6" s="1"/>
  <c r="AH35" i="6"/>
  <c r="AJ35" i="6" s="1"/>
  <c r="AH34" i="6"/>
  <c r="AJ34" i="6" s="1"/>
  <c r="AH33" i="6"/>
  <c r="AJ33" i="6" s="1"/>
  <c r="AH32" i="6"/>
  <c r="AJ32" i="6" s="1"/>
  <c r="AH31" i="6"/>
  <c r="AJ31" i="6" s="1"/>
  <c r="AH30" i="6"/>
  <c r="AH29" i="6"/>
  <c r="AH27" i="6"/>
  <c r="AJ27" i="6" s="1"/>
  <c r="AH26" i="6"/>
  <c r="AJ26" i="6" s="1"/>
  <c r="AH25" i="6"/>
  <c r="AJ25" i="6" s="1"/>
  <c r="AH24" i="6"/>
  <c r="AJ24" i="6" s="1"/>
  <c r="AH23" i="6"/>
  <c r="AJ23" i="6" s="1"/>
  <c r="AH22" i="6"/>
  <c r="AJ22" i="6" s="1"/>
  <c r="AH21" i="6"/>
  <c r="AJ21" i="6" s="1"/>
  <c r="AH20" i="6"/>
  <c r="AJ20" i="6" s="1"/>
  <c r="AH19" i="6"/>
  <c r="AJ19" i="6" s="1"/>
  <c r="AH18" i="6"/>
  <c r="AJ18" i="6" s="1"/>
  <c r="AH17" i="6"/>
  <c r="AJ17" i="6" s="1"/>
  <c r="AH16" i="6"/>
  <c r="AJ16" i="6" s="1"/>
  <c r="AH15" i="6"/>
  <c r="AJ15" i="6" s="1"/>
  <c r="AH14" i="6"/>
  <c r="AJ14" i="6" s="1"/>
  <c r="AH13" i="6"/>
  <c r="AJ13" i="6" s="1"/>
  <c r="AH12" i="6"/>
  <c r="AJ12" i="6" s="1"/>
  <c r="AH11" i="6"/>
  <c r="AJ11" i="6" s="1"/>
  <c r="AH10" i="6"/>
  <c r="AJ10" i="6" s="1"/>
  <c r="AH9" i="6"/>
  <c r="AJ9" i="6" s="1"/>
  <c r="AH8" i="6"/>
  <c r="AJ8" i="6" s="1"/>
  <c r="AH7" i="6"/>
  <c r="AJ7" i="6" s="1"/>
  <c r="AH6" i="6"/>
  <c r="AJ6" i="6" s="1"/>
  <c r="AH5" i="6"/>
  <c r="AJ5" i="6" s="1"/>
  <c r="AH4" i="6"/>
  <c r="AJ4" i="6" s="1"/>
  <c r="M22" i="2"/>
  <c r="U7" i="5"/>
  <c r="W7" i="5" s="1"/>
  <c r="Q7" i="5"/>
  <c r="S7" i="5" s="1"/>
  <c r="M7" i="5"/>
  <c r="O7" i="5" s="1"/>
  <c r="I7" i="5"/>
  <c r="O20" i="8"/>
  <c r="Q20" i="8" s="1"/>
  <c r="O19" i="8"/>
  <c r="Q19" i="8" s="1"/>
  <c r="O18" i="8"/>
  <c r="Q18" i="8" s="1"/>
  <c r="O17" i="8"/>
  <c r="Q17" i="8" s="1"/>
  <c r="O16" i="8"/>
  <c r="Q16" i="8" s="1"/>
  <c r="O15" i="8"/>
  <c r="Q15" i="8" s="1"/>
  <c r="O13" i="8"/>
  <c r="Q13" i="8" s="1"/>
  <c r="O12" i="8"/>
  <c r="Q12" i="8" s="1"/>
  <c r="O11" i="8"/>
  <c r="Q11" i="8" s="1"/>
  <c r="O10" i="8"/>
  <c r="Q10" i="8" s="1"/>
  <c r="O9" i="8"/>
  <c r="Q9" i="8" s="1"/>
  <c r="O8" i="8"/>
  <c r="Q8" i="8" s="1"/>
  <c r="O7" i="8"/>
  <c r="Q7" i="8" s="1"/>
  <c r="O6" i="8"/>
  <c r="Q6" i="8" s="1"/>
  <c r="O5" i="8"/>
  <c r="Q5" i="8" s="1"/>
  <c r="G13" i="8"/>
  <c r="I13" i="8" s="1"/>
  <c r="K20" i="8"/>
  <c r="M20" i="8" s="1"/>
  <c r="K19" i="8"/>
  <c r="M19" i="8" s="1"/>
  <c r="K18" i="8"/>
  <c r="M18" i="8" s="1"/>
  <c r="K17" i="8"/>
  <c r="M17" i="8" s="1"/>
  <c r="K16" i="8"/>
  <c r="M16" i="8" s="1"/>
  <c r="K15" i="8"/>
  <c r="M15" i="8" s="1"/>
  <c r="K14" i="8"/>
  <c r="M14" i="8" s="1"/>
  <c r="K13" i="8"/>
  <c r="M13" i="8" s="1"/>
  <c r="K12" i="8"/>
  <c r="M12" i="8" s="1"/>
  <c r="K11" i="8"/>
  <c r="M11" i="8" s="1"/>
  <c r="K10" i="8"/>
  <c r="M10" i="8" s="1"/>
  <c r="K9" i="8"/>
  <c r="M9" i="8" s="1"/>
  <c r="K8" i="8"/>
  <c r="M8" i="8" s="1"/>
  <c r="K7" i="8"/>
  <c r="M7" i="8" s="1"/>
  <c r="K6" i="8"/>
  <c r="M6" i="8" s="1"/>
  <c r="K5" i="8"/>
  <c r="M5" i="8" s="1"/>
  <c r="M27" i="14"/>
  <c r="J9" i="2"/>
  <c r="J70" i="2"/>
  <c r="J54" i="2"/>
  <c r="J45" i="2"/>
  <c r="J7" i="2"/>
  <c r="J61" i="14"/>
  <c r="J43" i="14"/>
  <c r="J37" i="14"/>
  <c r="J32" i="14"/>
  <c r="I26" i="14"/>
  <c r="I27" i="14"/>
  <c r="K27" i="14" s="1"/>
  <c r="I28" i="14"/>
  <c r="K28" i="14" s="1"/>
  <c r="I29" i="14"/>
  <c r="K29" i="14" s="1"/>
  <c r="J11" i="14"/>
  <c r="J6" i="14"/>
  <c r="J46" i="3"/>
  <c r="J26" i="5"/>
  <c r="AW18" i="12"/>
  <c r="AY18" i="12" s="1"/>
  <c r="AS18" i="12"/>
  <c r="AU18" i="12" s="1"/>
  <c r="AO18" i="12"/>
  <c r="AQ18" i="12" s="1"/>
  <c r="AK18" i="12"/>
  <c r="AG18" i="12"/>
  <c r="AI18" i="12" s="1"/>
  <c r="AC18" i="12"/>
  <c r="AE18" i="12" s="1"/>
  <c r="Y18" i="12"/>
  <c r="AA18" i="12" s="1"/>
  <c r="U18" i="12"/>
  <c r="Q18" i="12"/>
  <c r="S18" i="12" s="1"/>
  <c r="M18" i="12"/>
  <c r="O18" i="12" s="1"/>
  <c r="I18" i="12"/>
  <c r="K18" i="12" s="1"/>
  <c r="R60" i="6"/>
  <c r="S46" i="6"/>
  <c r="S44" i="6"/>
  <c r="S43" i="6"/>
  <c r="S42" i="6"/>
  <c r="S31" i="6"/>
  <c r="S30" i="6"/>
  <c r="S29" i="6"/>
  <c r="F54" i="2"/>
  <c r="F52" i="2"/>
  <c r="F47" i="2"/>
  <c r="F46" i="2"/>
  <c r="F45" i="2"/>
  <c r="F46" i="3"/>
  <c r="F32" i="14"/>
  <c r="AW29" i="14"/>
  <c r="AY29" i="14" s="1"/>
  <c r="AS29" i="14"/>
  <c r="AU29" i="14" s="1"/>
  <c r="AO29" i="14"/>
  <c r="AQ29" i="14" s="1"/>
  <c r="AK29" i="14"/>
  <c r="AG29" i="14"/>
  <c r="AI29" i="14" s="1"/>
  <c r="AC29" i="14"/>
  <c r="AE29" i="14" s="1"/>
  <c r="Y29" i="14"/>
  <c r="AA29" i="14" s="1"/>
  <c r="U29" i="14"/>
  <c r="Q29" i="14"/>
  <c r="S29" i="14" s="1"/>
  <c r="M29" i="14"/>
  <c r="O29" i="14" s="1"/>
  <c r="U34" i="5"/>
  <c r="W34" i="5" s="1"/>
  <c r="Q34" i="5"/>
  <c r="S34" i="5" s="1"/>
  <c r="M34" i="5"/>
  <c r="O34" i="5" s="1"/>
  <c r="I34" i="5"/>
  <c r="AW24" i="14"/>
  <c r="AY24" i="14" s="1"/>
  <c r="AS24" i="14"/>
  <c r="AU24" i="14" s="1"/>
  <c r="AO24" i="14"/>
  <c r="AQ24" i="14" s="1"/>
  <c r="AK24" i="14"/>
  <c r="AM24" i="14" s="1"/>
  <c r="AG24" i="14"/>
  <c r="AI24" i="14" s="1"/>
  <c r="AC24" i="14"/>
  <c r="AE24" i="14" s="1"/>
  <c r="Y24" i="14"/>
  <c r="AA24" i="14" s="1"/>
  <c r="U24" i="14"/>
  <c r="Q24" i="14"/>
  <c r="S24" i="14" s="1"/>
  <c r="M24" i="14"/>
  <c r="O24" i="14" s="1"/>
  <c r="I24" i="14"/>
  <c r="K24" i="14" s="1"/>
  <c r="F21" i="14"/>
  <c r="F12" i="14"/>
  <c r="F11" i="14"/>
  <c r="F26" i="5"/>
  <c r="O59" i="6"/>
  <c r="O58" i="6"/>
  <c r="O57" i="6"/>
  <c r="O54" i="6"/>
  <c r="O53" i="6"/>
  <c r="O52" i="6"/>
  <c r="O49" i="6"/>
  <c r="O46" i="6"/>
  <c r="O45" i="6"/>
  <c r="O44" i="6"/>
  <c r="O43" i="6"/>
  <c r="O42" i="6"/>
  <c r="O32" i="6"/>
  <c r="O31" i="6"/>
  <c r="O30" i="6"/>
  <c r="O29" i="6"/>
  <c r="O28" i="6"/>
  <c r="U14" i="5"/>
  <c r="W14" i="5" s="1"/>
  <c r="Q14" i="5"/>
  <c r="S14" i="5" s="1"/>
  <c r="M14" i="5"/>
  <c r="O14" i="5" s="1"/>
  <c r="I14" i="5"/>
  <c r="K14" i="5" s="1"/>
  <c r="AN28" i="6" l="1"/>
  <c r="AJ44" i="6"/>
  <c r="AA70" i="2"/>
  <c r="AA5" i="5"/>
  <c r="AJ28" i="6"/>
  <c r="AA46" i="2"/>
  <c r="AE12" i="2"/>
  <c r="BK4" i="12"/>
  <c r="BC4" i="12"/>
  <c r="BK7" i="12"/>
  <c r="BC7" i="12"/>
  <c r="BK8" i="12"/>
  <c r="BC8" i="12"/>
  <c r="BK9" i="12"/>
  <c r="BC9" i="12"/>
  <c r="BK10" i="12"/>
  <c r="BC10" i="12"/>
  <c r="BK13" i="12"/>
  <c r="BC13" i="12"/>
  <c r="BK14" i="12"/>
  <c r="BC14" i="12"/>
  <c r="BK15" i="12"/>
  <c r="BC15" i="12"/>
  <c r="BK16" i="12"/>
  <c r="BC16" i="12"/>
  <c r="AN43" i="6"/>
  <c r="AE11" i="2"/>
  <c r="BK17" i="12"/>
  <c r="BC17" i="12"/>
  <c r="AJ55" i="6"/>
  <c r="AA11" i="2"/>
  <c r="AE9" i="2"/>
  <c r="AN42" i="6"/>
  <c r="AN64" i="6"/>
  <c r="AA54" i="2"/>
  <c r="AA12" i="2"/>
  <c r="AJ64" i="6"/>
  <c r="AN45" i="6"/>
  <c r="AE26" i="5"/>
  <c r="AJ29" i="6"/>
  <c r="AJ45" i="6"/>
  <c r="AE46" i="2"/>
  <c r="AA26" i="5"/>
  <c r="AA66" i="2"/>
  <c r="AJ30" i="6"/>
  <c r="AJ42" i="6"/>
  <c r="AN44" i="6"/>
  <c r="AA24" i="2"/>
  <c r="AE54" i="2"/>
  <c r="BW17" i="12"/>
  <c r="AM17" i="12"/>
  <c r="BS17" i="12"/>
  <c r="U11" i="8"/>
  <c r="AS17" i="8"/>
  <c r="BC39" i="14"/>
  <c r="BW9" i="12"/>
  <c r="BC32" i="14"/>
  <c r="BW4" i="12"/>
  <c r="BW14" i="12"/>
  <c r="BW15" i="12"/>
  <c r="BW16" i="12"/>
  <c r="BW8" i="12"/>
  <c r="BW10" i="12"/>
  <c r="BK5" i="12"/>
  <c r="BK11" i="12"/>
  <c r="BK18" i="12"/>
  <c r="BC28" i="14"/>
  <c r="BC38" i="14"/>
  <c r="BC47" i="14"/>
  <c r="CA6" i="12"/>
  <c r="BW6" i="12"/>
  <c r="BW7" i="12"/>
  <c r="CA12" i="12"/>
  <c r="BW12" i="12"/>
  <c r="BW13" i="12"/>
  <c r="BK6" i="12"/>
  <c r="BK12" i="12"/>
  <c r="CA5" i="12"/>
  <c r="BW5" i="12"/>
  <c r="CA11" i="12"/>
  <c r="BW11" i="12"/>
  <c r="CA18" i="12"/>
  <c r="BW18" i="12"/>
  <c r="AA4" i="11"/>
  <c r="AQ4" i="11"/>
  <c r="AA5" i="11"/>
  <c r="AQ5" i="11"/>
  <c r="AA6" i="11"/>
  <c r="AQ6" i="11"/>
  <c r="AA7" i="11"/>
  <c r="AQ7" i="11"/>
  <c r="AA8" i="11"/>
  <c r="AQ8" i="11"/>
  <c r="AA9" i="11"/>
  <c r="AQ9" i="11"/>
  <c r="AA10" i="11"/>
  <c r="AQ10" i="11"/>
  <c r="AA11" i="11"/>
  <c r="AQ11" i="11"/>
  <c r="AA12" i="11"/>
  <c r="AQ12" i="11"/>
  <c r="AA13" i="11"/>
  <c r="AQ13" i="11"/>
  <c r="AA14" i="11"/>
  <c r="AQ14" i="11"/>
  <c r="AA15" i="11"/>
  <c r="AQ15" i="11"/>
  <c r="BS4" i="12"/>
  <c r="BS5" i="12"/>
  <c r="BS6" i="12"/>
  <c r="BS7" i="12"/>
  <c r="BS8" i="12"/>
  <c r="BS9" i="12"/>
  <c r="BS10" i="12"/>
  <c r="BS11" i="12"/>
  <c r="BS12" i="12"/>
  <c r="BS13" i="12"/>
  <c r="BS14" i="12"/>
  <c r="BS15" i="12"/>
  <c r="BS16" i="12"/>
  <c r="BS18" i="12"/>
  <c r="BC29" i="14"/>
  <c r="BC33" i="14"/>
  <c r="BC41" i="14"/>
  <c r="BC34" i="14"/>
  <c r="BC30" i="14"/>
  <c r="CA27" i="14"/>
  <c r="CA28" i="14"/>
  <c r="CA29" i="14"/>
  <c r="CA30" i="14"/>
  <c r="CA31" i="14"/>
  <c r="CA32" i="14"/>
  <c r="CA35" i="14"/>
  <c r="CA36" i="14"/>
  <c r="BS27" i="14"/>
  <c r="BS29" i="14"/>
  <c r="BS31" i="14"/>
  <c r="BS34" i="14"/>
  <c r="BS36" i="14"/>
  <c r="BS38" i="14"/>
  <c r="BS40" i="14"/>
  <c r="BS41" i="14"/>
  <c r="BS43" i="14"/>
  <c r="BC48" i="14"/>
  <c r="CA4" i="14"/>
  <c r="CA5" i="14"/>
  <c r="CA6" i="14"/>
  <c r="BS45" i="14"/>
  <c r="CA47" i="14"/>
  <c r="CA33" i="14"/>
  <c r="CA34" i="14"/>
  <c r="CA37" i="14"/>
  <c r="CA38" i="14"/>
  <c r="CA39" i="14"/>
  <c r="CA40" i="14"/>
  <c r="CA41" i="14"/>
  <c r="CA42" i="14"/>
  <c r="CA43" i="14"/>
  <c r="CA44" i="14"/>
  <c r="BC4" i="14"/>
  <c r="BC5" i="14"/>
  <c r="BC6" i="14"/>
  <c r="BC7" i="14"/>
  <c r="BS28" i="14"/>
  <c r="BS30" i="14"/>
  <c r="BS32" i="14"/>
  <c r="BS33" i="14"/>
  <c r="BS35" i="14"/>
  <c r="BS37" i="14"/>
  <c r="BS39" i="14"/>
  <c r="BS42" i="14"/>
  <c r="BS44" i="14"/>
  <c r="CA45" i="14"/>
  <c r="BS4" i="14"/>
  <c r="BS5" i="14"/>
  <c r="BS6" i="14"/>
  <c r="BW26" i="14"/>
  <c r="BC31" i="14"/>
  <c r="BC35" i="14"/>
  <c r="BC36" i="14"/>
  <c r="BC37" i="14"/>
  <c r="BC40" i="14"/>
  <c r="BC42" i="14"/>
  <c r="BC43" i="14"/>
  <c r="BC44" i="14"/>
  <c r="BC45" i="14"/>
  <c r="BS47" i="14"/>
  <c r="BC63" i="14"/>
  <c r="BC8" i="14"/>
  <c r="BC9" i="14"/>
  <c r="BC10" i="14"/>
  <c r="BC11" i="14"/>
  <c r="BC12" i="14"/>
  <c r="BC13" i="14"/>
  <c r="BC14" i="14"/>
  <c r="BC15" i="14"/>
  <c r="BC16" i="14"/>
  <c r="BC17" i="14"/>
  <c r="BC18" i="14"/>
  <c r="BC19" i="14"/>
  <c r="BC20" i="14"/>
  <c r="BC21" i="14"/>
  <c r="BC22" i="14"/>
  <c r="BC23" i="14"/>
  <c r="BC24" i="14"/>
  <c r="BC25" i="14"/>
  <c r="BC62" i="14"/>
  <c r="CA63" i="14"/>
  <c r="BS63" i="14"/>
  <c r="BW63" i="14"/>
  <c r="BC49" i="14"/>
  <c r="CA49" i="14"/>
  <c r="BS49" i="14"/>
  <c r="BW49" i="14"/>
  <c r="BC50" i="14"/>
  <c r="CA50" i="14"/>
  <c r="BS50" i="14"/>
  <c r="BW50" i="14"/>
  <c r="BC51" i="14"/>
  <c r="CA51" i="14"/>
  <c r="BS51" i="14"/>
  <c r="BW51" i="14"/>
  <c r="BC52" i="14"/>
  <c r="CA52" i="14"/>
  <c r="BS52" i="14"/>
  <c r="BW52" i="14"/>
  <c r="BC53" i="14"/>
  <c r="CA53" i="14"/>
  <c r="BS53" i="14"/>
  <c r="BW53" i="14"/>
  <c r="BC54" i="14"/>
  <c r="CA54" i="14"/>
  <c r="BS54" i="14"/>
  <c r="BW54" i="14"/>
  <c r="BC55" i="14"/>
  <c r="CA55" i="14"/>
  <c r="BS55" i="14"/>
  <c r="BW55" i="14"/>
  <c r="BC56" i="14"/>
  <c r="CA56" i="14"/>
  <c r="BS56" i="14"/>
  <c r="BW56" i="14"/>
  <c r="BC58" i="14"/>
  <c r="CA58" i="14"/>
  <c r="BS58" i="14"/>
  <c r="BW58" i="14"/>
  <c r="BC59" i="14"/>
  <c r="CA59" i="14"/>
  <c r="BS59" i="14"/>
  <c r="BW59" i="14"/>
  <c r="BC60" i="14"/>
  <c r="CA60" i="14"/>
  <c r="BS60" i="14"/>
  <c r="BW60" i="14"/>
  <c r="CA62" i="14"/>
  <c r="BS62" i="14"/>
  <c r="BW62" i="14"/>
  <c r="CA7" i="14"/>
  <c r="BS7" i="14"/>
  <c r="CA8" i="14"/>
  <c r="BS8" i="14"/>
  <c r="CA9" i="14"/>
  <c r="BS9" i="14"/>
  <c r="CA10" i="14"/>
  <c r="BS10" i="14"/>
  <c r="CA11" i="14"/>
  <c r="BS11" i="14"/>
  <c r="CA12" i="14"/>
  <c r="BS12" i="14"/>
  <c r="CA13" i="14"/>
  <c r="BS13" i="14"/>
  <c r="CA14" i="14"/>
  <c r="BS14" i="14"/>
  <c r="CA15" i="14"/>
  <c r="BS15" i="14"/>
  <c r="CA16" i="14"/>
  <c r="BS16" i="14"/>
  <c r="CA17" i="14"/>
  <c r="BS17" i="14"/>
  <c r="CA18" i="14"/>
  <c r="BS18" i="14"/>
  <c r="CA19" i="14"/>
  <c r="BS19" i="14"/>
  <c r="CA20" i="14"/>
  <c r="BS20" i="14"/>
  <c r="CA21" i="14"/>
  <c r="BS21" i="14"/>
  <c r="CA22" i="14"/>
  <c r="BS22" i="14"/>
  <c r="CA23" i="14"/>
  <c r="BS23" i="14"/>
  <c r="CA24" i="14"/>
  <c r="BS24" i="14"/>
  <c r="CA25" i="14"/>
  <c r="BS25" i="14"/>
  <c r="BC26" i="14"/>
  <c r="BS26" i="14"/>
  <c r="CA48" i="14"/>
  <c r="BW48" i="14"/>
  <c r="K7" i="5"/>
  <c r="W18" i="12"/>
  <c r="AM18" i="12"/>
  <c r="W29" i="14"/>
  <c r="AM29" i="14"/>
  <c r="K34" i="5"/>
  <c r="W24" i="14"/>
  <c r="I63" i="14"/>
  <c r="K63" i="14" s="1"/>
  <c r="M63" i="14"/>
  <c r="O63" i="14" s="1"/>
  <c r="Q63" i="14"/>
  <c r="S63" i="14" s="1"/>
  <c r="U63" i="14"/>
  <c r="W63" i="14" s="1"/>
  <c r="Y63" i="14"/>
  <c r="AA63" i="14" s="1"/>
  <c r="AC63" i="14"/>
  <c r="AE63" i="14" s="1"/>
  <c r="AG63" i="14"/>
  <c r="AI63" i="14" s="1"/>
  <c r="AK63" i="14"/>
  <c r="AM63" i="14" s="1"/>
  <c r="AO63" i="14"/>
  <c r="AQ63" i="14" s="1"/>
  <c r="AS63" i="14"/>
  <c r="AU63" i="14" s="1"/>
  <c r="AW63" i="14"/>
  <c r="AY63" i="14" s="1"/>
  <c r="E61" i="14"/>
  <c r="Y61" i="14" s="1"/>
  <c r="AA61" i="14" s="1"/>
  <c r="I60" i="14"/>
  <c r="K60" i="14" s="1"/>
  <c r="M60" i="14"/>
  <c r="O60" i="14" s="1"/>
  <c r="Q60" i="14"/>
  <c r="S60" i="14" s="1"/>
  <c r="U60" i="14"/>
  <c r="W60" i="14" s="1"/>
  <c r="Y60" i="14"/>
  <c r="AA60" i="14" s="1"/>
  <c r="AC60" i="14"/>
  <c r="AE60" i="14" s="1"/>
  <c r="AG60" i="14"/>
  <c r="AI60" i="14" s="1"/>
  <c r="AK60" i="14"/>
  <c r="AM60" i="14" s="1"/>
  <c r="AO60" i="14"/>
  <c r="AQ60" i="14" s="1"/>
  <c r="AS60" i="14"/>
  <c r="AU60" i="14" s="1"/>
  <c r="AW60" i="14"/>
  <c r="AY60" i="14" s="1"/>
  <c r="I62" i="14"/>
  <c r="K62" i="14" s="1"/>
  <c r="M62" i="14"/>
  <c r="O62" i="14" s="1"/>
  <c r="Q62" i="14"/>
  <c r="S62" i="14" s="1"/>
  <c r="U62" i="14"/>
  <c r="Y62" i="14"/>
  <c r="AA62" i="14" s="1"/>
  <c r="AC62" i="14"/>
  <c r="AE62" i="14" s="1"/>
  <c r="AG62" i="14"/>
  <c r="AI62" i="14" s="1"/>
  <c r="AK62" i="14"/>
  <c r="AO62" i="14"/>
  <c r="AQ62" i="14" s="1"/>
  <c r="AS62" i="14"/>
  <c r="AU62" i="14" s="1"/>
  <c r="AW62" i="14"/>
  <c r="AY62" i="14" s="1"/>
  <c r="I59" i="14"/>
  <c r="K59" i="14" s="1"/>
  <c r="M59" i="14"/>
  <c r="O59" i="14" s="1"/>
  <c r="Q59" i="14"/>
  <c r="S59" i="14" s="1"/>
  <c r="U59" i="14"/>
  <c r="W59" i="14" s="1"/>
  <c r="Y59" i="14"/>
  <c r="AA59" i="14" s="1"/>
  <c r="AC59" i="14"/>
  <c r="AE59" i="14" s="1"/>
  <c r="AG59" i="14"/>
  <c r="AI59" i="14" s="1"/>
  <c r="AK59" i="14"/>
  <c r="AM59" i="14" s="1"/>
  <c r="AO59" i="14"/>
  <c r="AQ59" i="14" s="1"/>
  <c r="AS59" i="14"/>
  <c r="AU59" i="14" s="1"/>
  <c r="AW59" i="14"/>
  <c r="AY59" i="14" s="1"/>
  <c r="E46" i="14"/>
  <c r="I38" i="14"/>
  <c r="K38" i="14" s="1"/>
  <c r="M38" i="14"/>
  <c r="O38" i="14" s="1"/>
  <c r="Q38" i="14"/>
  <c r="S38" i="14" s="1"/>
  <c r="U38" i="14"/>
  <c r="W38" i="14" s="1"/>
  <c r="Y38" i="14"/>
  <c r="AA38" i="14" s="1"/>
  <c r="AC38" i="14"/>
  <c r="AE38" i="14" s="1"/>
  <c r="AG38" i="14"/>
  <c r="AI38" i="14" s="1"/>
  <c r="AK38" i="14"/>
  <c r="AM38" i="14" s="1"/>
  <c r="AO38" i="14"/>
  <c r="AQ38" i="14" s="1"/>
  <c r="AS38" i="14"/>
  <c r="AU38" i="14" s="1"/>
  <c r="AW38" i="14"/>
  <c r="AY38" i="14" s="1"/>
  <c r="I39" i="14"/>
  <c r="K39" i="14" s="1"/>
  <c r="M39" i="14"/>
  <c r="O39" i="14" s="1"/>
  <c r="Q39" i="14"/>
  <c r="S39" i="14" s="1"/>
  <c r="U39" i="14"/>
  <c r="W39" i="14" s="1"/>
  <c r="Y39" i="14"/>
  <c r="AA39" i="14" s="1"/>
  <c r="AC39" i="14"/>
  <c r="AE39" i="14" s="1"/>
  <c r="AG39" i="14"/>
  <c r="AI39" i="14" s="1"/>
  <c r="AK39" i="14"/>
  <c r="AM39" i="14" s="1"/>
  <c r="AO39" i="14"/>
  <c r="AQ39" i="14" s="1"/>
  <c r="AS39" i="14"/>
  <c r="AU39" i="14" s="1"/>
  <c r="AW39" i="14"/>
  <c r="AY39" i="14" s="1"/>
  <c r="I40" i="14"/>
  <c r="K40" i="14" s="1"/>
  <c r="M40" i="14"/>
  <c r="O40" i="14" s="1"/>
  <c r="Q40" i="14"/>
  <c r="S40" i="14" s="1"/>
  <c r="U40" i="14"/>
  <c r="Y40" i="14"/>
  <c r="AA40" i="14" s="1"/>
  <c r="AC40" i="14"/>
  <c r="AE40" i="14" s="1"/>
  <c r="AG40" i="14"/>
  <c r="AI40" i="14" s="1"/>
  <c r="AK40" i="14"/>
  <c r="AO40" i="14"/>
  <c r="AQ40" i="14" s="1"/>
  <c r="AS40" i="14"/>
  <c r="AU40" i="14" s="1"/>
  <c r="AW40" i="14"/>
  <c r="AY40" i="14" s="1"/>
  <c r="I41" i="14"/>
  <c r="K41" i="14" s="1"/>
  <c r="M41" i="14"/>
  <c r="O41" i="14" s="1"/>
  <c r="Q41" i="14"/>
  <c r="S41" i="14" s="1"/>
  <c r="U41" i="14"/>
  <c r="Y41" i="14"/>
  <c r="AA41" i="14" s="1"/>
  <c r="AC41" i="14"/>
  <c r="AE41" i="14" s="1"/>
  <c r="AG41" i="14"/>
  <c r="AI41" i="14" s="1"/>
  <c r="AK41" i="14"/>
  <c r="AO41" i="14"/>
  <c r="AQ41" i="14" s="1"/>
  <c r="AS41" i="14"/>
  <c r="AU41" i="14" s="1"/>
  <c r="AW41" i="14"/>
  <c r="AY41" i="14" s="1"/>
  <c r="I42" i="14"/>
  <c r="K42" i="14" s="1"/>
  <c r="M42" i="14"/>
  <c r="O42" i="14" s="1"/>
  <c r="Q42" i="14"/>
  <c r="S42" i="14" s="1"/>
  <c r="U42" i="14"/>
  <c r="Y42" i="14"/>
  <c r="AA42" i="14" s="1"/>
  <c r="AC42" i="14"/>
  <c r="AE42" i="14" s="1"/>
  <c r="AG42" i="14"/>
  <c r="AI42" i="14" s="1"/>
  <c r="AK42" i="14"/>
  <c r="AO42" i="14"/>
  <c r="AQ42" i="14" s="1"/>
  <c r="AS42" i="14"/>
  <c r="AU42" i="14" s="1"/>
  <c r="AW42" i="14"/>
  <c r="AY42" i="14" s="1"/>
  <c r="I43" i="14"/>
  <c r="K43" i="14" s="1"/>
  <c r="M43" i="14"/>
  <c r="O43" i="14" s="1"/>
  <c r="Q43" i="14"/>
  <c r="S43" i="14" s="1"/>
  <c r="U43" i="14"/>
  <c r="W43" i="14" s="1"/>
  <c r="Y43" i="14"/>
  <c r="AA43" i="14" s="1"/>
  <c r="AC43" i="14"/>
  <c r="AE43" i="14" s="1"/>
  <c r="AG43" i="14"/>
  <c r="AI43" i="14" s="1"/>
  <c r="AK43" i="14"/>
  <c r="AM43" i="14" s="1"/>
  <c r="AO43" i="14"/>
  <c r="AQ43" i="14" s="1"/>
  <c r="AS43" i="14"/>
  <c r="AU43" i="14" s="1"/>
  <c r="AW43" i="14"/>
  <c r="AY43" i="14" s="1"/>
  <c r="I44" i="14"/>
  <c r="K44" i="14" s="1"/>
  <c r="M44" i="14"/>
  <c r="O44" i="14" s="1"/>
  <c r="Q44" i="14"/>
  <c r="S44" i="14" s="1"/>
  <c r="U44" i="14"/>
  <c r="Y44" i="14"/>
  <c r="AA44" i="14" s="1"/>
  <c r="AC44" i="14"/>
  <c r="AE44" i="14" s="1"/>
  <c r="AG44" i="14"/>
  <c r="AI44" i="14" s="1"/>
  <c r="AK44" i="14"/>
  <c r="AO44" i="14"/>
  <c r="AQ44" i="14" s="1"/>
  <c r="AS44" i="14"/>
  <c r="AU44" i="14" s="1"/>
  <c r="AW44" i="14"/>
  <c r="AY44" i="14" s="1"/>
  <c r="I45" i="14"/>
  <c r="K45" i="14" s="1"/>
  <c r="M45" i="14"/>
  <c r="O45" i="14" s="1"/>
  <c r="Q45" i="14"/>
  <c r="S45" i="14" s="1"/>
  <c r="U45" i="14"/>
  <c r="Y45" i="14"/>
  <c r="AA45" i="14" s="1"/>
  <c r="AC45" i="14"/>
  <c r="AE45" i="14" s="1"/>
  <c r="AG45" i="14"/>
  <c r="AI45" i="14" s="1"/>
  <c r="AK45" i="14"/>
  <c r="AO45" i="14"/>
  <c r="AQ45" i="14" s="1"/>
  <c r="AS45" i="14"/>
  <c r="AU45" i="14" s="1"/>
  <c r="AW45" i="14"/>
  <c r="AY45" i="14" s="1"/>
  <c r="I47" i="14"/>
  <c r="K47" i="14" s="1"/>
  <c r="M47" i="14"/>
  <c r="O47" i="14" s="1"/>
  <c r="Q47" i="14"/>
  <c r="S47" i="14" s="1"/>
  <c r="U47" i="14"/>
  <c r="W47" i="14" s="1"/>
  <c r="Y47" i="14"/>
  <c r="AA47" i="14" s="1"/>
  <c r="AC47" i="14"/>
  <c r="AE47" i="14" s="1"/>
  <c r="AG47" i="14"/>
  <c r="AI47" i="14" s="1"/>
  <c r="AK47" i="14"/>
  <c r="AM47" i="14" s="1"/>
  <c r="AO47" i="14"/>
  <c r="AQ47" i="14" s="1"/>
  <c r="AS47" i="14"/>
  <c r="AU47" i="14" s="1"/>
  <c r="AW47" i="14"/>
  <c r="AY47" i="14" s="1"/>
  <c r="I48" i="14"/>
  <c r="K48" i="14" s="1"/>
  <c r="M48" i="14"/>
  <c r="O48" i="14" s="1"/>
  <c r="Q48" i="14"/>
  <c r="S48" i="14" s="1"/>
  <c r="U48" i="14"/>
  <c r="Y48" i="14"/>
  <c r="AA48" i="14" s="1"/>
  <c r="AC48" i="14"/>
  <c r="AE48" i="14" s="1"/>
  <c r="AG48" i="14"/>
  <c r="AI48" i="14" s="1"/>
  <c r="AK48" i="14"/>
  <c r="AO48" i="14"/>
  <c r="AQ48" i="14" s="1"/>
  <c r="AS48" i="14"/>
  <c r="AU48" i="14" s="1"/>
  <c r="AW48" i="14"/>
  <c r="AY48" i="14" s="1"/>
  <c r="I49" i="14"/>
  <c r="K49" i="14" s="1"/>
  <c r="M49" i="14"/>
  <c r="O49" i="14" s="1"/>
  <c r="Q49" i="14"/>
  <c r="S49" i="14" s="1"/>
  <c r="U49" i="14"/>
  <c r="Y49" i="14"/>
  <c r="AA49" i="14" s="1"/>
  <c r="AC49" i="14"/>
  <c r="AE49" i="14" s="1"/>
  <c r="AG49" i="14"/>
  <c r="AI49" i="14" s="1"/>
  <c r="AK49" i="14"/>
  <c r="AO49" i="14"/>
  <c r="AQ49" i="14" s="1"/>
  <c r="AS49" i="14"/>
  <c r="AU49" i="14" s="1"/>
  <c r="AW49" i="14"/>
  <c r="AY49" i="14" s="1"/>
  <c r="I50" i="14"/>
  <c r="K50" i="14" s="1"/>
  <c r="M50" i="14"/>
  <c r="O50" i="14" s="1"/>
  <c r="Q50" i="14"/>
  <c r="S50" i="14" s="1"/>
  <c r="U50" i="14"/>
  <c r="Y50" i="14"/>
  <c r="AA50" i="14" s="1"/>
  <c r="AC50" i="14"/>
  <c r="AE50" i="14" s="1"/>
  <c r="AG50" i="14"/>
  <c r="AI50" i="14" s="1"/>
  <c r="AK50" i="14"/>
  <c r="AO50" i="14"/>
  <c r="AQ50" i="14" s="1"/>
  <c r="AS50" i="14"/>
  <c r="AU50" i="14" s="1"/>
  <c r="AW50" i="14"/>
  <c r="AY50" i="14" s="1"/>
  <c r="I51" i="14"/>
  <c r="K51" i="14" s="1"/>
  <c r="M51" i="14"/>
  <c r="O51" i="14" s="1"/>
  <c r="Q51" i="14"/>
  <c r="S51" i="14" s="1"/>
  <c r="U51" i="14"/>
  <c r="W51" i="14" s="1"/>
  <c r="Y51" i="14"/>
  <c r="AA51" i="14" s="1"/>
  <c r="AC51" i="14"/>
  <c r="AE51" i="14" s="1"/>
  <c r="AG51" i="14"/>
  <c r="AI51" i="14" s="1"/>
  <c r="AK51" i="14"/>
  <c r="AM51" i="14" s="1"/>
  <c r="AO51" i="14"/>
  <c r="AQ51" i="14" s="1"/>
  <c r="AS51" i="14"/>
  <c r="AU51" i="14" s="1"/>
  <c r="AW51" i="14"/>
  <c r="AY51" i="14" s="1"/>
  <c r="I52" i="14"/>
  <c r="K52" i="14" s="1"/>
  <c r="M52" i="14"/>
  <c r="O52" i="14" s="1"/>
  <c r="Q52" i="14"/>
  <c r="S52" i="14" s="1"/>
  <c r="U52" i="14"/>
  <c r="Y52" i="14"/>
  <c r="AA52" i="14" s="1"/>
  <c r="AC52" i="14"/>
  <c r="AE52" i="14" s="1"/>
  <c r="AG52" i="14"/>
  <c r="AI52" i="14" s="1"/>
  <c r="AK52" i="14"/>
  <c r="AO52" i="14"/>
  <c r="AQ52" i="14" s="1"/>
  <c r="AS52" i="14"/>
  <c r="AU52" i="14" s="1"/>
  <c r="AW52" i="14"/>
  <c r="AY52" i="14" s="1"/>
  <c r="I53" i="14"/>
  <c r="K53" i="14" s="1"/>
  <c r="M53" i="14"/>
  <c r="O53" i="14" s="1"/>
  <c r="Q53" i="14"/>
  <c r="S53" i="14" s="1"/>
  <c r="U53" i="14"/>
  <c r="Y53" i="14"/>
  <c r="AA53" i="14" s="1"/>
  <c r="AC53" i="14"/>
  <c r="AE53" i="14" s="1"/>
  <c r="AG53" i="14"/>
  <c r="AI53" i="14" s="1"/>
  <c r="AK53" i="14"/>
  <c r="AO53" i="14"/>
  <c r="AQ53" i="14" s="1"/>
  <c r="AS53" i="14"/>
  <c r="AU53" i="14" s="1"/>
  <c r="AW53" i="14"/>
  <c r="AY53" i="14" s="1"/>
  <c r="I54" i="14"/>
  <c r="K54" i="14" s="1"/>
  <c r="M54" i="14"/>
  <c r="O54" i="14" s="1"/>
  <c r="Q54" i="14"/>
  <c r="S54" i="14" s="1"/>
  <c r="U54" i="14"/>
  <c r="W54" i="14" s="1"/>
  <c r="Y54" i="14"/>
  <c r="AA54" i="14" s="1"/>
  <c r="AC54" i="14"/>
  <c r="AE54" i="14" s="1"/>
  <c r="AG54" i="14"/>
  <c r="AI54" i="14" s="1"/>
  <c r="AK54" i="14"/>
  <c r="AM54" i="14" s="1"/>
  <c r="AO54" i="14"/>
  <c r="AQ54" i="14" s="1"/>
  <c r="AS54" i="14"/>
  <c r="AU54" i="14" s="1"/>
  <c r="AW54" i="14"/>
  <c r="AY54" i="14" s="1"/>
  <c r="I55" i="14"/>
  <c r="K55" i="14" s="1"/>
  <c r="M55" i="14"/>
  <c r="O55" i="14" s="1"/>
  <c r="Q55" i="14"/>
  <c r="S55" i="14" s="1"/>
  <c r="U55" i="14"/>
  <c r="W55" i="14" s="1"/>
  <c r="Y55" i="14"/>
  <c r="AA55" i="14" s="1"/>
  <c r="AC55" i="14"/>
  <c r="AE55" i="14" s="1"/>
  <c r="AG55" i="14"/>
  <c r="AI55" i="14" s="1"/>
  <c r="AK55" i="14"/>
  <c r="AM55" i="14" s="1"/>
  <c r="AO55" i="14"/>
  <c r="AQ55" i="14" s="1"/>
  <c r="AS55" i="14"/>
  <c r="AU55" i="14" s="1"/>
  <c r="AW55" i="14"/>
  <c r="AY55" i="14" s="1"/>
  <c r="I56" i="14"/>
  <c r="K56" i="14" s="1"/>
  <c r="M56" i="14"/>
  <c r="O56" i="14" s="1"/>
  <c r="Q56" i="14"/>
  <c r="S56" i="14" s="1"/>
  <c r="U56" i="14"/>
  <c r="Y56" i="14"/>
  <c r="AA56" i="14" s="1"/>
  <c r="AC56" i="14"/>
  <c r="AE56" i="14" s="1"/>
  <c r="AG56" i="14"/>
  <c r="AI56" i="14" s="1"/>
  <c r="AK56" i="14"/>
  <c r="AO56" i="14"/>
  <c r="AQ56" i="14" s="1"/>
  <c r="AS56" i="14"/>
  <c r="AU56" i="14" s="1"/>
  <c r="AW56" i="14"/>
  <c r="AY56" i="14" s="1"/>
  <c r="I58" i="14"/>
  <c r="K58" i="14" s="1"/>
  <c r="M58" i="14"/>
  <c r="O58" i="14" s="1"/>
  <c r="Q58" i="14"/>
  <c r="AC58" i="14"/>
  <c r="AE58" i="14" s="1"/>
  <c r="AG58" i="14"/>
  <c r="AI58" i="14" s="1"/>
  <c r="AK58" i="14"/>
  <c r="AM58" i="14" s="1"/>
  <c r="AO58" i="14"/>
  <c r="AQ58" i="14" s="1"/>
  <c r="AS58" i="14"/>
  <c r="AU58" i="14" s="1"/>
  <c r="AW58" i="14"/>
  <c r="AY58" i="14" s="1"/>
  <c r="I37" i="14"/>
  <c r="K37" i="14" s="1"/>
  <c r="M37" i="14"/>
  <c r="O37" i="14" s="1"/>
  <c r="Q37" i="14"/>
  <c r="S37" i="14" s="1"/>
  <c r="U37" i="14"/>
  <c r="Y37" i="14"/>
  <c r="AA37" i="14" s="1"/>
  <c r="AC37" i="14"/>
  <c r="AE37" i="14" s="1"/>
  <c r="AG37" i="14"/>
  <c r="AI37" i="14" s="1"/>
  <c r="AK37" i="14"/>
  <c r="AO37" i="14"/>
  <c r="AQ37" i="14" s="1"/>
  <c r="AS37" i="14"/>
  <c r="AU37" i="14" s="1"/>
  <c r="AW37" i="14"/>
  <c r="AY37" i="14" s="1"/>
  <c r="AW36" i="14"/>
  <c r="AY36" i="14" s="1"/>
  <c r="AS36" i="14"/>
  <c r="AU36" i="14" s="1"/>
  <c r="AO36" i="14"/>
  <c r="AQ36" i="14" s="1"/>
  <c r="AK36" i="14"/>
  <c r="AG36" i="14"/>
  <c r="AI36" i="14" s="1"/>
  <c r="AC36" i="14"/>
  <c r="AE36" i="14" s="1"/>
  <c r="Y36" i="14"/>
  <c r="AA36" i="14" s="1"/>
  <c r="U36" i="14"/>
  <c r="Q36" i="14"/>
  <c r="S36" i="14" s="1"/>
  <c r="M36" i="14"/>
  <c r="O36" i="14" s="1"/>
  <c r="I36" i="14"/>
  <c r="K36" i="14" s="1"/>
  <c r="AW35" i="14"/>
  <c r="AY35" i="14" s="1"/>
  <c r="AS35" i="14"/>
  <c r="AU35" i="14" s="1"/>
  <c r="AO35" i="14"/>
  <c r="AQ35" i="14" s="1"/>
  <c r="AK35" i="14"/>
  <c r="AG35" i="14"/>
  <c r="AI35" i="14" s="1"/>
  <c r="AC35" i="14"/>
  <c r="AE35" i="14" s="1"/>
  <c r="Y35" i="14"/>
  <c r="AA35" i="14" s="1"/>
  <c r="U35" i="14"/>
  <c r="Q35" i="14"/>
  <c r="S35" i="14" s="1"/>
  <c r="M35" i="14"/>
  <c r="O35" i="14" s="1"/>
  <c r="I35" i="14"/>
  <c r="K35" i="14" s="1"/>
  <c r="AW34" i="14"/>
  <c r="AY34" i="14" s="1"/>
  <c r="AS34" i="14"/>
  <c r="AU34" i="14" s="1"/>
  <c r="AO34" i="14"/>
  <c r="AQ34" i="14" s="1"/>
  <c r="AK34" i="14"/>
  <c r="AG34" i="14"/>
  <c r="AI34" i="14" s="1"/>
  <c r="AC34" i="14"/>
  <c r="AE34" i="14" s="1"/>
  <c r="Y34" i="14"/>
  <c r="AA34" i="14" s="1"/>
  <c r="U34" i="14"/>
  <c r="Q34" i="14"/>
  <c r="S34" i="14" s="1"/>
  <c r="M34" i="14"/>
  <c r="O34" i="14" s="1"/>
  <c r="I34" i="14"/>
  <c r="K34" i="14" s="1"/>
  <c r="AW33" i="14"/>
  <c r="AY33" i="14" s="1"/>
  <c r="AS33" i="14"/>
  <c r="AU33" i="14" s="1"/>
  <c r="AO33" i="14"/>
  <c r="AQ33" i="14" s="1"/>
  <c r="AK33" i="14"/>
  <c r="AG33" i="14"/>
  <c r="AI33" i="14" s="1"/>
  <c r="AC33" i="14"/>
  <c r="AE33" i="14" s="1"/>
  <c r="Y33" i="14"/>
  <c r="AA33" i="14" s="1"/>
  <c r="U33" i="14"/>
  <c r="Q33" i="14"/>
  <c r="S33" i="14" s="1"/>
  <c r="M33" i="14"/>
  <c r="O33" i="14" s="1"/>
  <c r="I33" i="14"/>
  <c r="K33" i="14" s="1"/>
  <c r="AW32" i="14"/>
  <c r="AY32" i="14" s="1"/>
  <c r="AS32" i="14"/>
  <c r="AU32" i="14" s="1"/>
  <c r="AO32" i="14"/>
  <c r="AQ32" i="14" s="1"/>
  <c r="AK32" i="14"/>
  <c r="AG32" i="14"/>
  <c r="AI32" i="14" s="1"/>
  <c r="AC32" i="14"/>
  <c r="AE32" i="14" s="1"/>
  <c r="Y32" i="14"/>
  <c r="AA32" i="14" s="1"/>
  <c r="U32" i="14"/>
  <c r="Q32" i="14"/>
  <c r="S32" i="14" s="1"/>
  <c r="M32" i="14"/>
  <c r="O32" i="14" s="1"/>
  <c r="I32" i="14"/>
  <c r="K32" i="14" s="1"/>
  <c r="AW31" i="14"/>
  <c r="AY31" i="14" s="1"/>
  <c r="AS31" i="14"/>
  <c r="AU31" i="14" s="1"/>
  <c r="AO31" i="14"/>
  <c r="AQ31" i="14" s="1"/>
  <c r="AK31" i="14"/>
  <c r="AG31" i="14"/>
  <c r="AI31" i="14" s="1"/>
  <c r="AC31" i="14"/>
  <c r="AE31" i="14" s="1"/>
  <c r="Y31" i="14"/>
  <c r="AA31" i="14" s="1"/>
  <c r="U31" i="14"/>
  <c r="Q31" i="14"/>
  <c r="S31" i="14" s="1"/>
  <c r="M31" i="14"/>
  <c r="O31" i="14" s="1"/>
  <c r="I31" i="14"/>
  <c r="K31" i="14" s="1"/>
  <c r="AW30" i="14"/>
  <c r="AY30" i="14" s="1"/>
  <c r="AS30" i="14"/>
  <c r="AU30" i="14" s="1"/>
  <c r="AO30" i="14"/>
  <c r="AQ30" i="14" s="1"/>
  <c r="AK30" i="14"/>
  <c r="AG30" i="14"/>
  <c r="AI30" i="14" s="1"/>
  <c r="AC30" i="14"/>
  <c r="AE30" i="14" s="1"/>
  <c r="Y30" i="14"/>
  <c r="AA30" i="14" s="1"/>
  <c r="U30" i="14"/>
  <c r="Q30" i="14"/>
  <c r="S30" i="14" s="1"/>
  <c r="M30" i="14"/>
  <c r="O30" i="14" s="1"/>
  <c r="I30" i="14"/>
  <c r="K30" i="14" s="1"/>
  <c r="AW28" i="14"/>
  <c r="AY28" i="14" s="1"/>
  <c r="AS28" i="14"/>
  <c r="AU28" i="14" s="1"/>
  <c r="AO28" i="14"/>
  <c r="AQ28" i="14" s="1"/>
  <c r="AK28" i="14"/>
  <c r="AG28" i="14"/>
  <c r="AI28" i="14" s="1"/>
  <c r="AC28" i="14"/>
  <c r="AE28" i="14" s="1"/>
  <c r="Y28" i="14"/>
  <c r="AA28" i="14" s="1"/>
  <c r="U28" i="14"/>
  <c r="Q28" i="14"/>
  <c r="S28" i="14" s="1"/>
  <c r="M28" i="14"/>
  <c r="O28" i="14" s="1"/>
  <c r="AW27" i="14"/>
  <c r="AY27" i="14" s="1"/>
  <c r="AS27" i="14"/>
  <c r="AU27" i="14" s="1"/>
  <c r="AO27" i="14"/>
  <c r="AQ27" i="14" s="1"/>
  <c r="AK27" i="14"/>
  <c r="AG27" i="14"/>
  <c r="AI27" i="14" s="1"/>
  <c r="AC27" i="14"/>
  <c r="AE27" i="14" s="1"/>
  <c r="Y27" i="14"/>
  <c r="AA27" i="14" s="1"/>
  <c r="W27" i="14"/>
  <c r="AW26" i="14"/>
  <c r="AY26" i="14" s="1"/>
  <c r="AS26" i="14"/>
  <c r="AU26" i="14" s="1"/>
  <c r="AO26" i="14"/>
  <c r="AQ26" i="14" s="1"/>
  <c r="AK26" i="14"/>
  <c r="AG26" i="14"/>
  <c r="AI26" i="14" s="1"/>
  <c r="AC26" i="14"/>
  <c r="AE26" i="14" s="1"/>
  <c r="Y26" i="14"/>
  <c r="AA26" i="14" s="1"/>
  <c r="Q26" i="14"/>
  <c r="S26" i="14" s="1"/>
  <c r="M26" i="14"/>
  <c r="O26" i="14" s="1"/>
  <c r="K26" i="14"/>
  <c r="AW25" i="14"/>
  <c r="AY25" i="14" s="1"/>
  <c r="AS25" i="14"/>
  <c r="AU25" i="14" s="1"/>
  <c r="AO25" i="14"/>
  <c r="AQ25" i="14" s="1"/>
  <c r="AK25" i="14"/>
  <c r="AG25" i="14"/>
  <c r="AI25" i="14" s="1"/>
  <c r="AC25" i="14"/>
  <c r="AE25" i="14" s="1"/>
  <c r="Y25" i="14"/>
  <c r="AA25" i="14" s="1"/>
  <c r="U25" i="14"/>
  <c r="Q25" i="14"/>
  <c r="S25" i="14" s="1"/>
  <c r="M25" i="14"/>
  <c r="O25" i="14" s="1"/>
  <c r="I25" i="14"/>
  <c r="K25" i="14" s="1"/>
  <c r="AW23" i="14"/>
  <c r="AY23" i="14" s="1"/>
  <c r="AS23" i="14"/>
  <c r="AU23" i="14" s="1"/>
  <c r="AO23" i="14"/>
  <c r="AQ23" i="14" s="1"/>
  <c r="AK23" i="14"/>
  <c r="AG23" i="14"/>
  <c r="AI23" i="14" s="1"/>
  <c r="AC23" i="14"/>
  <c r="AE23" i="14" s="1"/>
  <c r="Y23" i="14"/>
  <c r="AA23" i="14" s="1"/>
  <c r="U23" i="14"/>
  <c r="Q23" i="14"/>
  <c r="S23" i="14" s="1"/>
  <c r="M23" i="14"/>
  <c r="O23" i="14" s="1"/>
  <c r="I23" i="14"/>
  <c r="K23" i="14" s="1"/>
  <c r="AW22" i="14"/>
  <c r="AY22" i="14" s="1"/>
  <c r="AS22" i="14"/>
  <c r="AU22" i="14" s="1"/>
  <c r="AO22" i="14"/>
  <c r="AQ22" i="14" s="1"/>
  <c r="AK22" i="14"/>
  <c r="AG22" i="14"/>
  <c r="AI22" i="14" s="1"/>
  <c r="AC22" i="14"/>
  <c r="AE22" i="14" s="1"/>
  <c r="Y22" i="14"/>
  <c r="AA22" i="14" s="1"/>
  <c r="U22" i="14"/>
  <c r="Q22" i="14"/>
  <c r="S22" i="14" s="1"/>
  <c r="M22" i="14"/>
  <c r="O22" i="14" s="1"/>
  <c r="I22" i="14"/>
  <c r="K22" i="14" s="1"/>
  <c r="AW21" i="14"/>
  <c r="AY21" i="14" s="1"/>
  <c r="AS21" i="14"/>
  <c r="AU21" i="14" s="1"/>
  <c r="AO21" i="14"/>
  <c r="AQ21" i="14" s="1"/>
  <c r="AK21" i="14"/>
  <c r="AG21" i="14"/>
  <c r="AI21" i="14" s="1"/>
  <c r="AC21" i="14"/>
  <c r="AE21" i="14" s="1"/>
  <c r="Y21" i="14"/>
  <c r="AA21" i="14" s="1"/>
  <c r="U21" i="14"/>
  <c r="Q21" i="14"/>
  <c r="S21" i="14" s="1"/>
  <c r="M21" i="14"/>
  <c r="O21" i="14" s="1"/>
  <c r="I21" i="14"/>
  <c r="K21" i="14" s="1"/>
  <c r="AW20" i="14"/>
  <c r="AY20" i="14" s="1"/>
  <c r="AS20" i="14"/>
  <c r="AU20" i="14" s="1"/>
  <c r="AO20" i="14"/>
  <c r="AQ20" i="14" s="1"/>
  <c r="AK20" i="14"/>
  <c r="AG20" i="14"/>
  <c r="AI20" i="14" s="1"/>
  <c r="AC20" i="14"/>
  <c r="AE20" i="14" s="1"/>
  <c r="Y20" i="14"/>
  <c r="AA20" i="14" s="1"/>
  <c r="U20" i="14"/>
  <c r="Q20" i="14"/>
  <c r="S20" i="14" s="1"/>
  <c r="M20" i="14"/>
  <c r="O20" i="14" s="1"/>
  <c r="I20" i="14"/>
  <c r="K20" i="14" s="1"/>
  <c r="AW19" i="14"/>
  <c r="AY19" i="14" s="1"/>
  <c r="AS19" i="14"/>
  <c r="AU19" i="14" s="1"/>
  <c r="AO19" i="14"/>
  <c r="AQ19" i="14" s="1"/>
  <c r="AK19" i="14"/>
  <c r="AG19" i="14"/>
  <c r="AI19" i="14" s="1"/>
  <c r="AC19" i="14"/>
  <c r="AE19" i="14" s="1"/>
  <c r="Y19" i="14"/>
  <c r="AA19" i="14" s="1"/>
  <c r="U19" i="14"/>
  <c r="Q19" i="14"/>
  <c r="S19" i="14" s="1"/>
  <c r="M19" i="14"/>
  <c r="O19" i="14" s="1"/>
  <c r="I19" i="14"/>
  <c r="K19" i="14" s="1"/>
  <c r="AW18" i="14"/>
  <c r="AY18" i="14" s="1"/>
  <c r="AS18" i="14"/>
  <c r="AU18" i="14" s="1"/>
  <c r="AO18" i="14"/>
  <c r="AQ18" i="14" s="1"/>
  <c r="AK18" i="14"/>
  <c r="AG18" i="14"/>
  <c r="AI18" i="14" s="1"/>
  <c r="AC18" i="14"/>
  <c r="AE18" i="14" s="1"/>
  <c r="Y18" i="14"/>
  <c r="AA18" i="14" s="1"/>
  <c r="U18" i="14"/>
  <c r="Q18" i="14"/>
  <c r="S18" i="14" s="1"/>
  <c r="M18" i="14"/>
  <c r="O18" i="14" s="1"/>
  <c r="I18" i="14"/>
  <c r="K18" i="14" s="1"/>
  <c r="AW17" i="14"/>
  <c r="AY17" i="14" s="1"/>
  <c r="AS17" i="14"/>
  <c r="AU17" i="14" s="1"/>
  <c r="AO17" i="14"/>
  <c r="AQ17" i="14" s="1"/>
  <c r="AK17" i="14"/>
  <c r="AG17" i="14"/>
  <c r="AI17" i="14" s="1"/>
  <c r="AC17" i="14"/>
  <c r="AE17" i="14" s="1"/>
  <c r="Y17" i="14"/>
  <c r="AA17" i="14" s="1"/>
  <c r="U17" i="14"/>
  <c r="Q17" i="14"/>
  <c r="S17" i="14" s="1"/>
  <c r="M17" i="14"/>
  <c r="O17" i="14" s="1"/>
  <c r="I17" i="14"/>
  <c r="K17" i="14" s="1"/>
  <c r="AW16" i="14"/>
  <c r="AY16" i="14" s="1"/>
  <c r="AS16" i="14"/>
  <c r="AU16" i="14" s="1"/>
  <c r="AO16" i="14"/>
  <c r="AQ16" i="14" s="1"/>
  <c r="AK16" i="14"/>
  <c r="AG16" i="14"/>
  <c r="AI16" i="14" s="1"/>
  <c r="AC16" i="14"/>
  <c r="AE16" i="14" s="1"/>
  <c r="Y16" i="14"/>
  <c r="AA16" i="14" s="1"/>
  <c r="U16" i="14"/>
  <c r="Q16" i="14"/>
  <c r="S16" i="14" s="1"/>
  <c r="M16" i="14"/>
  <c r="O16" i="14" s="1"/>
  <c r="I16" i="14"/>
  <c r="K16" i="14" s="1"/>
  <c r="AW15" i="14"/>
  <c r="AY15" i="14" s="1"/>
  <c r="AS15" i="14"/>
  <c r="AU15" i="14" s="1"/>
  <c r="AO15" i="14"/>
  <c r="AQ15" i="14" s="1"/>
  <c r="AK15" i="14"/>
  <c r="AG15" i="14"/>
  <c r="AI15" i="14" s="1"/>
  <c r="AC15" i="14"/>
  <c r="AE15" i="14" s="1"/>
  <c r="Y15" i="14"/>
  <c r="AA15" i="14" s="1"/>
  <c r="U15" i="14"/>
  <c r="Q15" i="14"/>
  <c r="S15" i="14" s="1"/>
  <c r="M15" i="14"/>
  <c r="O15" i="14" s="1"/>
  <c r="I15" i="14"/>
  <c r="K15" i="14" s="1"/>
  <c r="AW14" i="14"/>
  <c r="AY14" i="14" s="1"/>
  <c r="AS14" i="14"/>
  <c r="AU14" i="14" s="1"/>
  <c r="AO14" i="14"/>
  <c r="AQ14" i="14" s="1"/>
  <c r="AK14" i="14"/>
  <c r="AG14" i="14"/>
  <c r="AI14" i="14" s="1"/>
  <c r="AC14" i="14"/>
  <c r="AE14" i="14" s="1"/>
  <c r="Y14" i="14"/>
  <c r="AA14" i="14" s="1"/>
  <c r="U14" i="14"/>
  <c r="Q14" i="14"/>
  <c r="S14" i="14" s="1"/>
  <c r="M14" i="14"/>
  <c r="O14" i="14" s="1"/>
  <c r="I14" i="14"/>
  <c r="K14" i="14" s="1"/>
  <c r="AW13" i="14"/>
  <c r="AY13" i="14" s="1"/>
  <c r="AS13" i="14"/>
  <c r="AU13" i="14" s="1"/>
  <c r="AO13" i="14"/>
  <c r="AQ13" i="14" s="1"/>
  <c r="AK13" i="14"/>
  <c r="AG13" i="14"/>
  <c r="AI13" i="14" s="1"/>
  <c r="AC13" i="14"/>
  <c r="AE13" i="14" s="1"/>
  <c r="Y13" i="14"/>
  <c r="AA13" i="14" s="1"/>
  <c r="U13" i="14"/>
  <c r="Q13" i="14"/>
  <c r="S13" i="14" s="1"/>
  <c r="M13" i="14"/>
  <c r="O13" i="14" s="1"/>
  <c r="I13" i="14"/>
  <c r="K13" i="14" s="1"/>
  <c r="AW12" i="14"/>
  <c r="AY12" i="14" s="1"/>
  <c r="AS12" i="14"/>
  <c r="AU12" i="14" s="1"/>
  <c r="AO12" i="14"/>
  <c r="AQ12" i="14" s="1"/>
  <c r="AK12" i="14"/>
  <c r="AG12" i="14"/>
  <c r="AI12" i="14" s="1"/>
  <c r="AC12" i="14"/>
  <c r="AE12" i="14" s="1"/>
  <c r="Y12" i="14"/>
  <c r="AA12" i="14" s="1"/>
  <c r="U12" i="14"/>
  <c r="Q12" i="14"/>
  <c r="S12" i="14" s="1"/>
  <c r="M12" i="14"/>
  <c r="O12" i="14" s="1"/>
  <c r="I12" i="14"/>
  <c r="K12" i="14" s="1"/>
  <c r="AW11" i="14"/>
  <c r="AY11" i="14" s="1"/>
  <c r="AS11" i="14"/>
  <c r="AU11" i="14" s="1"/>
  <c r="AO11" i="14"/>
  <c r="AQ11" i="14" s="1"/>
  <c r="AK11" i="14"/>
  <c r="AG11" i="14"/>
  <c r="AI11" i="14" s="1"/>
  <c r="AC11" i="14"/>
  <c r="AE11" i="14" s="1"/>
  <c r="Y11" i="14"/>
  <c r="AA11" i="14" s="1"/>
  <c r="U11" i="14"/>
  <c r="Q11" i="14"/>
  <c r="S11" i="14" s="1"/>
  <c r="M11" i="14"/>
  <c r="O11" i="14" s="1"/>
  <c r="I11" i="14"/>
  <c r="K11" i="14" s="1"/>
  <c r="AW10" i="14"/>
  <c r="AY10" i="14" s="1"/>
  <c r="AS10" i="14"/>
  <c r="AU10" i="14" s="1"/>
  <c r="AO10" i="14"/>
  <c r="AQ10" i="14" s="1"/>
  <c r="AK10" i="14"/>
  <c r="AG10" i="14"/>
  <c r="AI10" i="14" s="1"/>
  <c r="AC10" i="14"/>
  <c r="AE10" i="14" s="1"/>
  <c r="Y10" i="14"/>
  <c r="AA10" i="14" s="1"/>
  <c r="U10" i="14"/>
  <c r="Q10" i="14"/>
  <c r="S10" i="14" s="1"/>
  <c r="M10" i="14"/>
  <c r="O10" i="14" s="1"/>
  <c r="I10" i="14"/>
  <c r="K10" i="14" s="1"/>
  <c r="AW9" i="14"/>
  <c r="AY9" i="14" s="1"/>
  <c r="AS9" i="14"/>
  <c r="AU9" i="14" s="1"/>
  <c r="AO9" i="14"/>
  <c r="AQ9" i="14" s="1"/>
  <c r="AK9" i="14"/>
  <c r="AG9" i="14"/>
  <c r="AI9" i="14" s="1"/>
  <c r="AC9" i="14"/>
  <c r="AE9" i="14" s="1"/>
  <c r="Y9" i="14"/>
  <c r="AA9" i="14" s="1"/>
  <c r="U9" i="14"/>
  <c r="Q9" i="14"/>
  <c r="S9" i="14" s="1"/>
  <c r="M9" i="14"/>
  <c r="O9" i="14" s="1"/>
  <c r="I9" i="14"/>
  <c r="K9" i="14" s="1"/>
  <c r="AW8" i="14"/>
  <c r="AY8" i="14" s="1"/>
  <c r="AS8" i="14"/>
  <c r="AU8" i="14" s="1"/>
  <c r="AO8" i="14"/>
  <c r="AQ8" i="14" s="1"/>
  <c r="AK8" i="14"/>
  <c r="AG8" i="14"/>
  <c r="AI8" i="14" s="1"/>
  <c r="AC8" i="14"/>
  <c r="AE8" i="14" s="1"/>
  <c r="Y8" i="14"/>
  <c r="AA8" i="14" s="1"/>
  <c r="U8" i="14"/>
  <c r="Q8" i="14"/>
  <c r="S8" i="14" s="1"/>
  <c r="M8" i="14"/>
  <c r="O8" i="14" s="1"/>
  <c r="I8" i="14"/>
  <c r="K8" i="14" s="1"/>
  <c r="AW7" i="14"/>
  <c r="AY7" i="14" s="1"/>
  <c r="AS7" i="14"/>
  <c r="AU7" i="14" s="1"/>
  <c r="AO7" i="14"/>
  <c r="AQ7" i="14" s="1"/>
  <c r="AK7" i="14"/>
  <c r="AG7" i="14"/>
  <c r="AI7" i="14" s="1"/>
  <c r="AC7" i="14"/>
  <c r="AE7" i="14" s="1"/>
  <c r="Y7" i="14"/>
  <c r="AA7" i="14" s="1"/>
  <c r="U7" i="14"/>
  <c r="Q7" i="14"/>
  <c r="S7" i="14" s="1"/>
  <c r="M7" i="14"/>
  <c r="O7" i="14" s="1"/>
  <c r="I7" i="14"/>
  <c r="K7" i="14" s="1"/>
  <c r="AW6" i="14"/>
  <c r="AY6" i="14" s="1"/>
  <c r="AS6" i="14"/>
  <c r="AU6" i="14" s="1"/>
  <c r="AO6" i="14"/>
  <c r="AQ6" i="14" s="1"/>
  <c r="AK6" i="14"/>
  <c r="AG6" i="14"/>
  <c r="AI6" i="14" s="1"/>
  <c r="AC6" i="14"/>
  <c r="AE6" i="14" s="1"/>
  <c r="Y6" i="14"/>
  <c r="AA6" i="14" s="1"/>
  <c r="U6" i="14"/>
  <c r="Q6" i="14"/>
  <c r="S6" i="14" s="1"/>
  <c r="M6" i="14"/>
  <c r="O6" i="14" s="1"/>
  <c r="I6" i="14"/>
  <c r="K6" i="14" s="1"/>
  <c r="AW5" i="14"/>
  <c r="AY5" i="14" s="1"/>
  <c r="AS5" i="14"/>
  <c r="AU5" i="14" s="1"/>
  <c r="AO5" i="14"/>
  <c r="AQ5" i="14" s="1"/>
  <c r="AK5" i="14"/>
  <c r="AG5" i="14"/>
  <c r="AI5" i="14" s="1"/>
  <c r="AC5" i="14"/>
  <c r="AE5" i="14" s="1"/>
  <c r="Y5" i="14"/>
  <c r="AA5" i="14" s="1"/>
  <c r="U5" i="14"/>
  <c r="Q5" i="14"/>
  <c r="S5" i="14" s="1"/>
  <c r="M5" i="14"/>
  <c r="O5" i="14" s="1"/>
  <c r="I5" i="14"/>
  <c r="K5" i="14" s="1"/>
  <c r="AW4" i="14"/>
  <c r="AY4" i="14" s="1"/>
  <c r="AS4" i="14"/>
  <c r="AU4" i="14" s="1"/>
  <c r="AO4" i="14"/>
  <c r="AQ4" i="14" s="1"/>
  <c r="AK4" i="14"/>
  <c r="AG4" i="14"/>
  <c r="AI4" i="14" s="1"/>
  <c r="AC4" i="14"/>
  <c r="AE4" i="14" s="1"/>
  <c r="Y4" i="14"/>
  <c r="AA4" i="14" s="1"/>
  <c r="U4" i="14"/>
  <c r="Q4" i="14"/>
  <c r="S4" i="14" s="1"/>
  <c r="M4" i="14"/>
  <c r="O4" i="14" s="1"/>
  <c r="I4" i="14"/>
  <c r="K4" i="14" s="1"/>
  <c r="AW16" i="12"/>
  <c r="AY16" i="12" s="1"/>
  <c r="AS16" i="12"/>
  <c r="AU16" i="12" s="1"/>
  <c r="AO16" i="12"/>
  <c r="AQ16" i="12" s="1"/>
  <c r="AK16" i="12"/>
  <c r="AG16" i="12"/>
  <c r="AI16" i="12" s="1"/>
  <c r="AC16" i="12"/>
  <c r="AE16" i="12" s="1"/>
  <c r="Y16" i="12"/>
  <c r="AA16" i="12" s="1"/>
  <c r="U16" i="12"/>
  <c r="Q16" i="12"/>
  <c r="S16" i="12" s="1"/>
  <c r="M16" i="12"/>
  <c r="O16" i="12" s="1"/>
  <c r="I16" i="12"/>
  <c r="K16" i="12" s="1"/>
  <c r="AW15" i="12"/>
  <c r="AY15" i="12" s="1"/>
  <c r="AS15" i="12"/>
  <c r="AU15" i="12" s="1"/>
  <c r="AO15" i="12"/>
  <c r="AQ15" i="12" s="1"/>
  <c r="AK15" i="12"/>
  <c r="AM15" i="12" s="1"/>
  <c r="AG15" i="12"/>
  <c r="AI15" i="12" s="1"/>
  <c r="AC15" i="12"/>
  <c r="AE15" i="12" s="1"/>
  <c r="Y15" i="12"/>
  <c r="AA15" i="12" s="1"/>
  <c r="U15" i="12"/>
  <c r="Q15" i="12"/>
  <c r="S15" i="12" s="1"/>
  <c r="M15" i="12"/>
  <c r="O15" i="12" s="1"/>
  <c r="I15" i="12"/>
  <c r="K15" i="12" s="1"/>
  <c r="AW14" i="12"/>
  <c r="AY14" i="12" s="1"/>
  <c r="AS14" i="12"/>
  <c r="AU14" i="12" s="1"/>
  <c r="AO14" i="12"/>
  <c r="AQ14" i="12" s="1"/>
  <c r="AK14" i="12"/>
  <c r="AG14" i="12"/>
  <c r="AI14" i="12" s="1"/>
  <c r="AC14" i="12"/>
  <c r="AE14" i="12" s="1"/>
  <c r="Y14" i="12"/>
  <c r="AA14" i="12" s="1"/>
  <c r="U14" i="12"/>
  <c r="W14" i="12" s="1"/>
  <c r="Q14" i="12"/>
  <c r="S14" i="12" s="1"/>
  <c r="M14" i="12"/>
  <c r="O14" i="12" s="1"/>
  <c r="I14" i="12"/>
  <c r="K14" i="12" s="1"/>
  <c r="AW13" i="12"/>
  <c r="AY13" i="12" s="1"/>
  <c r="AS13" i="12"/>
  <c r="AU13" i="12" s="1"/>
  <c r="AO13" i="12"/>
  <c r="AQ13" i="12" s="1"/>
  <c r="AK13" i="12"/>
  <c r="AM13" i="12" s="1"/>
  <c r="AG13" i="12"/>
  <c r="AI13" i="12" s="1"/>
  <c r="AC13" i="12"/>
  <c r="AE13" i="12" s="1"/>
  <c r="Y13" i="12"/>
  <c r="AA13" i="12" s="1"/>
  <c r="U13" i="12"/>
  <c r="Q13" i="12"/>
  <c r="S13" i="12" s="1"/>
  <c r="M13" i="12"/>
  <c r="O13" i="12" s="1"/>
  <c r="I13" i="12"/>
  <c r="K13" i="12" s="1"/>
  <c r="AW12" i="12"/>
  <c r="AY12" i="12" s="1"/>
  <c r="AS12" i="12"/>
  <c r="AU12" i="12" s="1"/>
  <c r="AO12" i="12"/>
  <c r="AQ12" i="12" s="1"/>
  <c r="AK12" i="12"/>
  <c r="AG12" i="12"/>
  <c r="AI12" i="12" s="1"/>
  <c r="AC12" i="12"/>
  <c r="AE12" i="12" s="1"/>
  <c r="Y12" i="12"/>
  <c r="AA12" i="12" s="1"/>
  <c r="U12" i="12"/>
  <c r="W12" i="12" s="1"/>
  <c r="Q12" i="12"/>
  <c r="S12" i="12" s="1"/>
  <c r="M12" i="12"/>
  <c r="O12" i="12" s="1"/>
  <c r="I12" i="12"/>
  <c r="K12" i="12" s="1"/>
  <c r="AW11" i="12"/>
  <c r="AY11" i="12" s="1"/>
  <c r="AS11" i="12"/>
  <c r="AU11" i="12" s="1"/>
  <c r="AO11" i="12"/>
  <c r="AQ11" i="12" s="1"/>
  <c r="AK11" i="12"/>
  <c r="AM11" i="12" s="1"/>
  <c r="AG11" i="12"/>
  <c r="AI11" i="12" s="1"/>
  <c r="AC11" i="12"/>
  <c r="AE11" i="12" s="1"/>
  <c r="Y11" i="12"/>
  <c r="AA11" i="12" s="1"/>
  <c r="U11" i="12"/>
  <c r="Q11" i="12"/>
  <c r="S11" i="12" s="1"/>
  <c r="M11" i="12"/>
  <c r="O11" i="12" s="1"/>
  <c r="I11" i="12"/>
  <c r="K11" i="12" s="1"/>
  <c r="AW10" i="12"/>
  <c r="AY10" i="12" s="1"/>
  <c r="AS10" i="12"/>
  <c r="AU10" i="12" s="1"/>
  <c r="AO10" i="12"/>
  <c r="AQ10" i="12" s="1"/>
  <c r="AK10" i="12"/>
  <c r="AG10" i="12"/>
  <c r="AI10" i="12" s="1"/>
  <c r="AC10" i="12"/>
  <c r="AE10" i="12" s="1"/>
  <c r="Y10" i="12"/>
  <c r="AA10" i="12" s="1"/>
  <c r="U10" i="12"/>
  <c r="W10" i="12" s="1"/>
  <c r="Q10" i="12"/>
  <c r="S10" i="12" s="1"/>
  <c r="M10" i="12"/>
  <c r="O10" i="12" s="1"/>
  <c r="I10" i="12"/>
  <c r="K10" i="12" s="1"/>
  <c r="AW9" i="12"/>
  <c r="AY9" i="12" s="1"/>
  <c r="AS9" i="12"/>
  <c r="AU9" i="12" s="1"/>
  <c r="AO9" i="12"/>
  <c r="AQ9" i="12" s="1"/>
  <c r="AK9" i="12"/>
  <c r="AM9" i="12" s="1"/>
  <c r="AG9" i="12"/>
  <c r="AI9" i="12" s="1"/>
  <c r="AC9" i="12"/>
  <c r="AE9" i="12" s="1"/>
  <c r="Y9" i="12"/>
  <c r="AA9" i="12" s="1"/>
  <c r="U9" i="12"/>
  <c r="Q9" i="12"/>
  <c r="S9" i="12" s="1"/>
  <c r="M9" i="12"/>
  <c r="O9" i="12" s="1"/>
  <c r="I9" i="12"/>
  <c r="K9" i="12" s="1"/>
  <c r="AW8" i="12"/>
  <c r="AY8" i="12" s="1"/>
  <c r="AS8" i="12"/>
  <c r="AU8" i="12" s="1"/>
  <c r="AO8" i="12"/>
  <c r="AQ8" i="12" s="1"/>
  <c r="AK8" i="12"/>
  <c r="AG8" i="12"/>
  <c r="AI8" i="12" s="1"/>
  <c r="AC8" i="12"/>
  <c r="AE8" i="12" s="1"/>
  <c r="Y8" i="12"/>
  <c r="AA8" i="12" s="1"/>
  <c r="U8" i="12"/>
  <c r="W8" i="12" s="1"/>
  <c r="Q8" i="12"/>
  <c r="S8" i="12" s="1"/>
  <c r="M8" i="12"/>
  <c r="O8" i="12" s="1"/>
  <c r="I8" i="12"/>
  <c r="K8" i="12" s="1"/>
  <c r="AW7" i="12"/>
  <c r="AY7" i="12" s="1"/>
  <c r="AS7" i="12"/>
  <c r="AU7" i="12" s="1"/>
  <c r="AO7" i="12"/>
  <c r="AQ7" i="12" s="1"/>
  <c r="AK7" i="12"/>
  <c r="AG7" i="12"/>
  <c r="AI7" i="12" s="1"/>
  <c r="AC7" i="12"/>
  <c r="AE7" i="12" s="1"/>
  <c r="Y7" i="12"/>
  <c r="AA7" i="12" s="1"/>
  <c r="U7" i="12"/>
  <c r="Q7" i="12"/>
  <c r="S7" i="12" s="1"/>
  <c r="M7" i="12"/>
  <c r="O7" i="12" s="1"/>
  <c r="I7" i="12"/>
  <c r="K7" i="12" s="1"/>
  <c r="AW6" i="12"/>
  <c r="AY6" i="12" s="1"/>
  <c r="AS6" i="12"/>
  <c r="AU6" i="12" s="1"/>
  <c r="AO6" i="12"/>
  <c r="AQ6" i="12" s="1"/>
  <c r="AK6" i="12"/>
  <c r="AG6" i="12"/>
  <c r="AI6" i="12" s="1"/>
  <c r="AC6" i="12"/>
  <c r="AE6" i="12" s="1"/>
  <c r="Y6" i="12"/>
  <c r="AA6" i="12" s="1"/>
  <c r="U6" i="12"/>
  <c r="W6" i="12" s="1"/>
  <c r="Q6" i="12"/>
  <c r="S6" i="12" s="1"/>
  <c r="M6" i="12"/>
  <c r="O6" i="12" s="1"/>
  <c r="I6" i="12"/>
  <c r="K6" i="12" s="1"/>
  <c r="AW5" i="12"/>
  <c r="AY5" i="12" s="1"/>
  <c r="AS5" i="12"/>
  <c r="AU5" i="12" s="1"/>
  <c r="AO5" i="12"/>
  <c r="AQ5" i="12" s="1"/>
  <c r="AK5" i="12"/>
  <c r="AM5" i="12" s="1"/>
  <c r="AG5" i="12"/>
  <c r="AI5" i="12" s="1"/>
  <c r="AC5" i="12"/>
  <c r="AE5" i="12" s="1"/>
  <c r="Y5" i="12"/>
  <c r="AA5" i="12" s="1"/>
  <c r="U5" i="12"/>
  <c r="Q5" i="12"/>
  <c r="S5" i="12" s="1"/>
  <c r="M5" i="12"/>
  <c r="O5" i="12" s="1"/>
  <c r="I5" i="12"/>
  <c r="K5" i="12" s="1"/>
  <c r="AW4" i="12"/>
  <c r="AY4" i="12" s="1"/>
  <c r="AS4" i="12"/>
  <c r="AU4" i="12" s="1"/>
  <c r="AO4" i="12"/>
  <c r="AQ4" i="12" s="1"/>
  <c r="AK4" i="12"/>
  <c r="AG4" i="12"/>
  <c r="AI4" i="12" s="1"/>
  <c r="AC4" i="12"/>
  <c r="AE4" i="12" s="1"/>
  <c r="Y4" i="12"/>
  <c r="AA4" i="12" s="1"/>
  <c r="U4" i="12"/>
  <c r="W4" i="12" s="1"/>
  <c r="Q4" i="12"/>
  <c r="S4" i="12" s="1"/>
  <c r="M4" i="12"/>
  <c r="O4" i="12" s="1"/>
  <c r="I4" i="12"/>
  <c r="K4" i="12" s="1"/>
  <c r="U4" i="11"/>
  <c r="W4" i="11" s="1"/>
  <c r="Q4" i="11"/>
  <c r="S4" i="11" s="1"/>
  <c r="M4" i="11"/>
  <c r="O4" i="11" s="1"/>
  <c r="I4" i="11"/>
  <c r="K4" i="11" s="1"/>
  <c r="I7" i="11"/>
  <c r="K7" i="11" s="1"/>
  <c r="M7" i="11"/>
  <c r="O7" i="11" s="1"/>
  <c r="Q7" i="11"/>
  <c r="S7" i="11" s="1"/>
  <c r="U7" i="11"/>
  <c r="W7" i="11" s="1"/>
  <c r="I6" i="11"/>
  <c r="K6" i="11" s="1"/>
  <c r="M6" i="11"/>
  <c r="O6" i="11" s="1"/>
  <c r="Q6" i="11"/>
  <c r="S6" i="11" s="1"/>
  <c r="U6" i="11"/>
  <c r="W6" i="11" s="1"/>
  <c r="U15" i="11"/>
  <c r="W15" i="11" s="1"/>
  <c r="Q15" i="11"/>
  <c r="S15" i="11" s="1"/>
  <c r="M15" i="11"/>
  <c r="O15" i="11" s="1"/>
  <c r="I15" i="11"/>
  <c r="K15" i="11" s="1"/>
  <c r="U14" i="11"/>
  <c r="W14" i="11" s="1"/>
  <c r="Q14" i="11"/>
  <c r="S14" i="11" s="1"/>
  <c r="M14" i="11"/>
  <c r="O14" i="11" s="1"/>
  <c r="I14" i="11"/>
  <c r="K14" i="11" s="1"/>
  <c r="U13" i="11"/>
  <c r="W13" i="11" s="1"/>
  <c r="Q13" i="11"/>
  <c r="S13" i="11" s="1"/>
  <c r="M13" i="11"/>
  <c r="O13" i="11" s="1"/>
  <c r="I13" i="11"/>
  <c r="K13" i="11" s="1"/>
  <c r="U12" i="11"/>
  <c r="W12" i="11" s="1"/>
  <c r="Q12" i="11"/>
  <c r="S12" i="11" s="1"/>
  <c r="M12" i="11"/>
  <c r="O12" i="11" s="1"/>
  <c r="I12" i="11"/>
  <c r="K12" i="11" s="1"/>
  <c r="U11" i="11"/>
  <c r="W11" i="11" s="1"/>
  <c r="Q11" i="11"/>
  <c r="S11" i="11" s="1"/>
  <c r="M11" i="11"/>
  <c r="O11" i="11" s="1"/>
  <c r="I11" i="11"/>
  <c r="K11" i="11" s="1"/>
  <c r="U10" i="11"/>
  <c r="W10" i="11" s="1"/>
  <c r="Q10" i="11"/>
  <c r="S10" i="11" s="1"/>
  <c r="M10" i="11"/>
  <c r="O10" i="11" s="1"/>
  <c r="I10" i="11"/>
  <c r="K10" i="11" s="1"/>
  <c r="U9" i="11"/>
  <c r="W9" i="11" s="1"/>
  <c r="Q9" i="11"/>
  <c r="S9" i="11" s="1"/>
  <c r="M9" i="11"/>
  <c r="O9" i="11" s="1"/>
  <c r="I9" i="11"/>
  <c r="K9" i="11" s="1"/>
  <c r="U8" i="11"/>
  <c r="W8" i="11" s="1"/>
  <c r="Q8" i="11"/>
  <c r="S8" i="11" s="1"/>
  <c r="M8" i="11"/>
  <c r="O8" i="11" s="1"/>
  <c r="I8" i="11"/>
  <c r="K8" i="11" s="1"/>
  <c r="U5" i="11"/>
  <c r="W5" i="11" s="1"/>
  <c r="Q5" i="11"/>
  <c r="S5" i="11" s="1"/>
  <c r="M5" i="11"/>
  <c r="O5" i="11" s="1"/>
  <c r="I5" i="11"/>
  <c r="K5" i="11" s="1"/>
  <c r="G20" i="8"/>
  <c r="I20" i="8" s="1"/>
  <c r="G19" i="8"/>
  <c r="I19" i="8" s="1"/>
  <c r="G18" i="8"/>
  <c r="I18" i="8" s="1"/>
  <c r="G17" i="8"/>
  <c r="I17" i="8" s="1"/>
  <c r="G16" i="8"/>
  <c r="I16" i="8" s="1"/>
  <c r="G15" i="8"/>
  <c r="I15" i="8" s="1"/>
  <c r="G14" i="8"/>
  <c r="I14" i="8" s="1"/>
  <c r="G12" i="8"/>
  <c r="I12" i="8" s="1"/>
  <c r="G11" i="8"/>
  <c r="I11" i="8" s="1"/>
  <c r="G10" i="8"/>
  <c r="I10" i="8" s="1"/>
  <c r="G9" i="8"/>
  <c r="I9" i="8" s="1"/>
  <c r="G8" i="8"/>
  <c r="I8" i="8" s="1"/>
  <c r="G7" i="8"/>
  <c r="I7" i="8" s="1"/>
  <c r="G6" i="8"/>
  <c r="I6" i="8" s="1"/>
  <c r="G5" i="8"/>
  <c r="I5" i="8" s="1"/>
  <c r="U21" i="5"/>
  <c r="W21" i="5" s="1"/>
  <c r="Q21" i="5"/>
  <c r="S21" i="5" s="1"/>
  <c r="M21" i="5"/>
  <c r="O21" i="5" s="1"/>
  <c r="I21" i="5"/>
  <c r="U8" i="5"/>
  <c r="W8" i="5" s="1"/>
  <c r="Q8" i="5"/>
  <c r="S8" i="5" s="1"/>
  <c r="M8" i="5"/>
  <c r="O8" i="5" s="1"/>
  <c r="I8" i="5"/>
  <c r="U30" i="2"/>
  <c r="W30" i="2" s="1"/>
  <c r="Q30" i="2"/>
  <c r="S30" i="2" s="1"/>
  <c r="M30" i="2"/>
  <c r="I30" i="2"/>
  <c r="K30" i="2" s="1"/>
  <c r="U33" i="2"/>
  <c r="W33" i="2" s="1"/>
  <c r="Q33" i="2"/>
  <c r="S33" i="2" s="1"/>
  <c r="M33" i="2"/>
  <c r="I33" i="2"/>
  <c r="K33" i="2" s="1"/>
  <c r="U31" i="2"/>
  <c r="W31" i="2" s="1"/>
  <c r="Q31" i="2"/>
  <c r="S31" i="2" s="1"/>
  <c r="M31" i="2"/>
  <c r="I31" i="2"/>
  <c r="K31" i="2" s="1"/>
  <c r="U32" i="2"/>
  <c r="W32" i="2" s="1"/>
  <c r="Q32" i="2"/>
  <c r="S32" i="2" s="1"/>
  <c r="M32" i="2"/>
  <c r="I32" i="2"/>
  <c r="K32" i="2" s="1"/>
  <c r="U34" i="2"/>
  <c r="W34" i="2" s="1"/>
  <c r="Q34" i="2"/>
  <c r="S34" i="2" s="1"/>
  <c r="M34" i="2"/>
  <c r="I34" i="2"/>
  <c r="K34" i="2" s="1"/>
  <c r="U70" i="3"/>
  <c r="W70" i="3" s="1"/>
  <c r="Q70" i="3"/>
  <c r="S70" i="3" s="1"/>
  <c r="M70" i="3"/>
  <c r="O70" i="3" s="1"/>
  <c r="I70" i="3"/>
  <c r="K70" i="3" s="1"/>
  <c r="U69" i="3"/>
  <c r="W69" i="3" s="1"/>
  <c r="Q69" i="3"/>
  <c r="S69" i="3" s="1"/>
  <c r="M69" i="3"/>
  <c r="O69" i="3" s="1"/>
  <c r="I69" i="3"/>
  <c r="K69" i="3" s="1"/>
  <c r="U68" i="3"/>
  <c r="W68" i="3" s="1"/>
  <c r="Q68" i="3"/>
  <c r="S68" i="3" s="1"/>
  <c r="M68" i="3"/>
  <c r="O68" i="3" s="1"/>
  <c r="I68" i="3"/>
  <c r="K68" i="3" s="1"/>
  <c r="U67" i="3"/>
  <c r="W67" i="3" s="1"/>
  <c r="Q67" i="3"/>
  <c r="S67" i="3" s="1"/>
  <c r="M67" i="3"/>
  <c r="O67" i="3" s="1"/>
  <c r="I67" i="3"/>
  <c r="K67" i="3" s="1"/>
  <c r="U66" i="3"/>
  <c r="W66" i="3" s="1"/>
  <c r="Q66" i="3"/>
  <c r="S66" i="3" s="1"/>
  <c r="M66" i="3"/>
  <c r="O66" i="3" s="1"/>
  <c r="I66" i="3"/>
  <c r="K66" i="3" s="1"/>
  <c r="U65" i="3"/>
  <c r="W65" i="3" s="1"/>
  <c r="Q65" i="3"/>
  <c r="S65" i="3" s="1"/>
  <c r="M65" i="3"/>
  <c r="O65" i="3" s="1"/>
  <c r="I65" i="3"/>
  <c r="K65" i="3" s="1"/>
  <c r="U64" i="3"/>
  <c r="W64" i="3" s="1"/>
  <c r="Q64" i="3"/>
  <c r="S64" i="3" s="1"/>
  <c r="M64" i="3"/>
  <c r="O64" i="3" s="1"/>
  <c r="I64" i="3"/>
  <c r="K64" i="3" s="1"/>
  <c r="U63" i="3"/>
  <c r="W63" i="3" s="1"/>
  <c r="Q63" i="3"/>
  <c r="S63" i="3" s="1"/>
  <c r="M63" i="3"/>
  <c r="O63" i="3" s="1"/>
  <c r="I63" i="3"/>
  <c r="K63" i="3" s="1"/>
  <c r="U62" i="3"/>
  <c r="W62" i="3" s="1"/>
  <c r="Q62" i="3"/>
  <c r="S62" i="3" s="1"/>
  <c r="M62" i="3"/>
  <c r="O62" i="3" s="1"/>
  <c r="I62" i="3"/>
  <c r="K62" i="3" s="1"/>
  <c r="U61" i="3"/>
  <c r="W61" i="3" s="1"/>
  <c r="Q61" i="3"/>
  <c r="S61" i="3" s="1"/>
  <c r="M61" i="3"/>
  <c r="O61" i="3" s="1"/>
  <c r="I61" i="3"/>
  <c r="K61" i="3" s="1"/>
  <c r="U60" i="3"/>
  <c r="W60" i="3" s="1"/>
  <c r="Q60" i="3"/>
  <c r="S60" i="3" s="1"/>
  <c r="M60" i="3"/>
  <c r="O60" i="3" s="1"/>
  <c r="I60" i="3"/>
  <c r="K60" i="3" s="1"/>
  <c r="U59" i="3"/>
  <c r="W59" i="3" s="1"/>
  <c r="Q59" i="3"/>
  <c r="S59" i="3" s="1"/>
  <c r="M59" i="3"/>
  <c r="O59" i="3" s="1"/>
  <c r="I59" i="3"/>
  <c r="K59" i="3" s="1"/>
  <c r="U58" i="3"/>
  <c r="W58" i="3" s="1"/>
  <c r="Q58" i="3"/>
  <c r="S58" i="3" s="1"/>
  <c r="M58" i="3"/>
  <c r="O58" i="3" s="1"/>
  <c r="I58" i="3"/>
  <c r="K58" i="3" s="1"/>
  <c r="U57" i="3"/>
  <c r="W57" i="3" s="1"/>
  <c r="Q57" i="3"/>
  <c r="S57" i="3" s="1"/>
  <c r="M57" i="3"/>
  <c r="O57" i="3" s="1"/>
  <c r="I57" i="3"/>
  <c r="K57" i="3" s="1"/>
  <c r="U56" i="3"/>
  <c r="W56" i="3" s="1"/>
  <c r="Q56" i="3"/>
  <c r="S56" i="3" s="1"/>
  <c r="M56" i="3"/>
  <c r="O56" i="3" s="1"/>
  <c r="I56" i="3"/>
  <c r="K56" i="3" s="1"/>
  <c r="U55" i="3"/>
  <c r="W55" i="3" s="1"/>
  <c r="Q55" i="3"/>
  <c r="S55" i="3" s="1"/>
  <c r="M55" i="3"/>
  <c r="O55" i="3" s="1"/>
  <c r="I55" i="3"/>
  <c r="K55" i="3" s="1"/>
  <c r="U54" i="3"/>
  <c r="W54" i="3" s="1"/>
  <c r="Q54" i="3"/>
  <c r="S54" i="3" s="1"/>
  <c r="M54" i="3"/>
  <c r="O54" i="3" s="1"/>
  <c r="I54" i="3"/>
  <c r="K54" i="3" s="1"/>
  <c r="U53" i="3"/>
  <c r="W53" i="3" s="1"/>
  <c r="Q53" i="3"/>
  <c r="S53" i="3" s="1"/>
  <c r="M53" i="3"/>
  <c r="O53" i="3" s="1"/>
  <c r="I53" i="3"/>
  <c r="K53" i="3" s="1"/>
  <c r="U52" i="3"/>
  <c r="W52" i="3" s="1"/>
  <c r="Q52" i="3"/>
  <c r="S52" i="3" s="1"/>
  <c r="M52" i="3"/>
  <c r="O52" i="3" s="1"/>
  <c r="I52" i="3"/>
  <c r="K52" i="3" s="1"/>
  <c r="U51" i="3"/>
  <c r="W51" i="3" s="1"/>
  <c r="Q51" i="3"/>
  <c r="S51" i="3" s="1"/>
  <c r="M51" i="3"/>
  <c r="O51" i="3" s="1"/>
  <c r="I51" i="3"/>
  <c r="K51" i="3" s="1"/>
  <c r="U50" i="3"/>
  <c r="W50" i="3" s="1"/>
  <c r="Q50" i="3"/>
  <c r="S50" i="3" s="1"/>
  <c r="M50" i="3"/>
  <c r="O50" i="3" s="1"/>
  <c r="I50" i="3"/>
  <c r="K50" i="3" s="1"/>
  <c r="U49" i="3"/>
  <c r="W49" i="3" s="1"/>
  <c r="Q49" i="3"/>
  <c r="S49" i="3" s="1"/>
  <c r="M49" i="3"/>
  <c r="O49" i="3" s="1"/>
  <c r="I49" i="3"/>
  <c r="K49" i="3" s="1"/>
  <c r="U48" i="3"/>
  <c r="W48" i="3" s="1"/>
  <c r="Q48" i="3"/>
  <c r="S48" i="3" s="1"/>
  <c r="M48" i="3"/>
  <c r="O48" i="3" s="1"/>
  <c r="I48" i="3"/>
  <c r="K48" i="3" s="1"/>
  <c r="U47" i="3"/>
  <c r="W47" i="3" s="1"/>
  <c r="Q47" i="3"/>
  <c r="S47" i="3" s="1"/>
  <c r="M47" i="3"/>
  <c r="O47" i="3" s="1"/>
  <c r="I47" i="3"/>
  <c r="K47" i="3" s="1"/>
  <c r="U46" i="3"/>
  <c r="W46" i="3" s="1"/>
  <c r="Q46" i="3"/>
  <c r="S46" i="3" s="1"/>
  <c r="M46" i="3"/>
  <c r="O46" i="3" s="1"/>
  <c r="I46" i="3"/>
  <c r="K46" i="3" s="1"/>
  <c r="U45" i="3"/>
  <c r="Q45" i="3"/>
  <c r="M45" i="3"/>
  <c r="I45" i="3"/>
  <c r="U44" i="3"/>
  <c r="W44" i="3" s="1"/>
  <c r="Q44" i="3"/>
  <c r="S44" i="3" s="1"/>
  <c r="M44" i="3"/>
  <c r="O44" i="3" s="1"/>
  <c r="I44" i="3"/>
  <c r="K44" i="3" s="1"/>
  <c r="U43" i="3"/>
  <c r="W43" i="3" s="1"/>
  <c r="Q43" i="3"/>
  <c r="S43" i="3" s="1"/>
  <c r="M43" i="3"/>
  <c r="O43" i="3" s="1"/>
  <c r="I43" i="3"/>
  <c r="K43" i="3" s="1"/>
  <c r="U42" i="3"/>
  <c r="W42" i="3" s="1"/>
  <c r="Q42" i="3"/>
  <c r="S42" i="3" s="1"/>
  <c r="M42" i="3"/>
  <c r="O42" i="3" s="1"/>
  <c r="I42" i="3"/>
  <c r="K42" i="3" s="1"/>
  <c r="U41" i="3"/>
  <c r="W41" i="3" s="1"/>
  <c r="Q41" i="3"/>
  <c r="S41" i="3" s="1"/>
  <c r="M41" i="3"/>
  <c r="O41" i="3" s="1"/>
  <c r="I41" i="3"/>
  <c r="K41" i="3" s="1"/>
  <c r="U40" i="3"/>
  <c r="W40" i="3" s="1"/>
  <c r="Q40" i="3"/>
  <c r="S40" i="3" s="1"/>
  <c r="M40" i="3"/>
  <c r="O40" i="3" s="1"/>
  <c r="I40" i="3"/>
  <c r="K40" i="3" s="1"/>
  <c r="U39" i="3"/>
  <c r="W39" i="3" s="1"/>
  <c r="Q39" i="3"/>
  <c r="S39" i="3" s="1"/>
  <c r="M39" i="3"/>
  <c r="O39" i="3" s="1"/>
  <c r="I39" i="3"/>
  <c r="K39" i="3" s="1"/>
  <c r="U38" i="3"/>
  <c r="W38" i="3" s="1"/>
  <c r="Q38" i="3"/>
  <c r="S38" i="3" s="1"/>
  <c r="M38" i="3"/>
  <c r="O38" i="3" s="1"/>
  <c r="I38" i="3"/>
  <c r="K38" i="3" s="1"/>
  <c r="U37" i="3"/>
  <c r="W37" i="3" s="1"/>
  <c r="Q37" i="3"/>
  <c r="S37" i="3" s="1"/>
  <c r="M37" i="3"/>
  <c r="O37" i="3" s="1"/>
  <c r="I37" i="3"/>
  <c r="K37" i="3" s="1"/>
  <c r="U36" i="3"/>
  <c r="W36" i="3" s="1"/>
  <c r="Q36" i="3"/>
  <c r="S36" i="3" s="1"/>
  <c r="M36" i="3"/>
  <c r="O36" i="3" s="1"/>
  <c r="I36" i="3"/>
  <c r="K36" i="3" s="1"/>
  <c r="U35" i="3"/>
  <c r="W35" i="3" s="1"/>
  <c r="Q35" i="3"/>
  <c r="S35" i="3" s="1"/>
  <c r="M35" i="3"/>
  <c r="O35" i="3" s="1"/>
  <c r="I35" i="3"/>
  <c r="K35" i="3" s="1"/>
  <c r="U34" i="3"/>
  <c r="W34" i="3" s="1"/>
  <c r="Q34" i="3"/>
  <c r="S34" i="3" s="1"/>
  <c r="M34" i="3"/>
  <c r="O34" i="3" s="1"/>
  <c r="I34" i="3"/>
  <c r="K34" i="3" s="1"/>
  <c r="U33" i="3"/>
  <c r="W33" i="3" s="1"/>
  <c r="Q33" i="3"/>
  <c r="S33" i="3" s="1"/>
  <c r="M33" i="3"/>
  <c r="O33" i="3" s="1"/>
  <c r="I33" i="3"/>
  <c r="K33" i="3" s="1"/>
  <c r="U32" i="3"/>
  <c r="W32" i="3" s="1"/>
  <c r="Q32" i="3"/>
  <c r="S32" i="3" s="1"/>
  <c r="M32" i="3"/>
  <c r="O32" i="3" s="1"/>
  <c r="I32" i="3"/>
  <c r="K32" i="3" s="1"/>
  <c r="U31" i="3"/>
  <c r="W31" i="3" s="1"/>
  <c r="Q31" i="3"/>
  <c r="S31" i="3" s="1"/>
  <c r="M31" i="3"/>
  <c r="O31" i="3" s="1"/>
  <c r="I31" i="3"/>
  <c r="K31" i="3" s="1"/>
  <c r="U30" i="3"/>
  <c r="W30" i="3" s="1"/>
  <c r="Q30" i="3"/>
  <c r="S30" i="3" s="1"/>
  <c r="M30" i="3"/>
  <c r="O30" i="3" s="1"/>
  <c r="I30" i="3"/>
  <c r="K30" i="3" s="1"/>
  <c r="U29" i="3"/>
  <c r="W29" i="3" s="1"/>
  <c r="Q29" i="3"/>
  <c r="S29" i="3" s="1"/>
  <c r="M29" i="3"/>
  <c r="O29" i="3" s="1"/>
  <c r="I29" i="3"/>
  <c r="K29" i="3" s="1"/>
  <c r="U28" i="3"/>
  <c r="W28" i="3" s="1"/>
  <c r="Q28" i="3"/>
  <c r="S28" i="3" s="1"/>
  <c r="M28" i="3"/>
  <c r="O28" i="3" s="1"/>
  <c r="I28" i="3"/>
  <c r="K28" i="3" s="1"/>
  <c r="U27" i="3"/>
  <c r="W27" i="3" s="1"/>
  <c r="Q27" i="3"/>
  <c r="S27" i="3" s="1"/>
  <c r="M27" i="3"/>
  <c r="O27" i="3" s="1"/>
  <c r="I27" i="3"/>
  <c r="K27" i="3" s="1"/>
  <c r="U26" i="3"/>
  <c r="W26" i="3" s="1"/>
  <c r="Q26" i="3"/>
  <c r="S26" i="3" s="1"/>
  <c r="M26" i="3"/>
  <c r="O26" i="3" s="1"/>
  <c r="I26" i="3"/>
  <c r="K26" i="3" s="1"/>
  <c r="U25" i="3"/>
  <c r="W25" i="3" s="1"/>
  <c r="Q25" i="3"/>
  <c r="S25" i="3" s="1"/>
  <c r="M25" i="3"/>
  <c r="O25" i="3" s="1"/>
  <c r="I25" i="3"/>
  <c r="K25" i="3" s="1"/>
  <c r="U24" i="3"/>
  <c r="W24" i="3" s="1"/>
  <c r="Q24" i="3"/>
  <c r="S24" i="3" s="1"/>
  <c r="M24" i="3"/>
  <c r="O24" i="3" s="1"/>
  <c r="I24" i="3"/>
  <c r="K24" i="3" s="1"/>
  <c r="U23" i="3"/>
  <c r="W23" i="3" s="1"/>
  <c r="Q23" i="3"/>
  <c r="S23" i="3" s="1"/>
  <c r="M23" i="3"/>
  <c r="O23" i="3" s="1"/>
  <c r="I23" i="3"/>
  <c r="K23" i="3" s="1"/>
  <c r="U22" i="3"/>
  <c r="W22" i="3" s="1"/>
  <c r="Q22" i="3"/>
  <c r="S22" i="3" s="1"/>
  <c r="M22" i="3"/>
  <c r="O22" i="3" s="1"/>
  <c r="I22" i="3"/>
  <c r="K22" i="3" s="1"/>
  <c r="U21" i="3"/>
  <c r="W21" i="3" s="1"/>
  <c r="Q21" i="3"/>
  <c r="S21" i="3" s="1"/>
  <c r="M21" i="3"/>
  <c r="O21" i="3" s="1"/>
  <c r="I21" i="3"/>
  <c r="K21" i="3" s="1"/>
  <c r="U20" i="3"/>
  <c r="W20" i="3" s="1"/>
  <c r="Q20" i="3"/>
  <c r="S20" i="3" s="1"/>
  <c r="M20" i="3"/>
  <c r="O20" i="3" s="1"/>
  <c r="I20" i="3"/>
  <c r="K20" i="3" s="1"/>
  <c r="U19" i="3"/>
  <c r="W19" i="3" s="1"/>
  <c r="Q19" i="3"/>
  <c r="S19" i="3" s="1"/>
  <c r="M19" i="3"/>
  <c r="O19" i="3" s="1"/>
  <c r="I19" i="3"/>
  <c r="K19" i="3" s="1"/>
  <c r="U18" i="3"/>
  <c r="W18" i="3" s="1"/>
  <c r="Q18" i="3"/>
  <c r="S18" i="3" s="1"/>
  <c r="M18" i="3"/>
  <c r="O18" i="3" s="1"/>
  <c r="I18" i="3"/>
  <c r="K18" i="3" s="1"/>
  <c r="U17" i="3"/>
  <c r="W17" i="3" s="1"/>
  <c r="Q17" i="3"/>
  <c r="S17" i="3" s="1"/>
  <c r="M17" i="3"/>
  <c r="O17" i="3" s="1"/>
  <c r="I17" i="3"/>
  <c r="K17" i="3" s="1"/>
  <c r="U16" i="3"/>
  <c r="W16" i="3" s="1"/>
  <c r="Q16" i="3"/>
  <c r="S16" i="3" s="1"/>
  <c r="M16" i="3"/>
  <c r="O16" i="3" s="1"/>
  <c r="I16" i="3"/>
  <c r="K16" i="3" s="1"/>
  <c r="U15" i="3"/>
  <c r="W15" i="3" s="1"/>
  <c r="Q15" i="3"/>
  <c r="S15" i="3" s="1"/>
  <c r="M15" i="3"/>
  <c r="O15" i="3" s="1"/>
  <c r="I15" i="3"/>
  <c r="K15" i="3" s="1"/>
  <c r="U13" i="3"/>
  <c r="W13" i="3" s="1"/>
  <c r="Q13" i="3"/>
  <c r="S13" i="3" s="1"/>
  <c r="M13" i="3"/>
  <c r="O13" i="3" s="1"/>
  <c r="I13" i="3"/>
  <c r="K13" i="3" s="1"/>
  <c r="U12" i="3"/>
  <c r="W12" i="3" s="1"/>
  <c r="Q12" i="3"/>
  <c r="S12" i="3" s="1"/>
  <c r="M12" i="3"/>
  <c r="O12" i="3" s="1"/>
  <c r="I12" i="3"/>
  <c r="K12" i="3" s="1"/>
  <c r="U11" i="3"/>
  <c r="W11" i="3" s="1"/>
  <c r="Q11" i="3"/>
  <c r="S11" i="3" s="1"/>
  <c r="M11" i="3"/>
  <c r="O11" i="3" s="1"/>
  <c r="I11" i="3"/>
  <c r="K11" i="3" s="1"/>
  <c r="U10" i="3"/>
  <c r="W10" i="3" s="1"/>
  <c r="Q10" i="3"/>
  <c r="S10" i="3" s="1"/>
  <c r="M10" i="3"/>
  <c r="O10" i="3" s="1"/>
  <c r="I10" i="3"/>
  <c r="K10" i="3" s="1"/>
  <c r="U9" i="3"/>
  <c r="W9" i="3" s="1"/>
  <c r="Q9" i="3"/>
  <c r="S9" i="3" s="1"/>
  <c r="M9" i="3"/>
  <c r="O9" i="3" s="1"/>
  <c r="I9" i="3"/>
  <c r="K9" i="3" s="1"/>
  <c r="U8" i="3"/>
  <c r="W8" i="3" s="1"/>
  <c r="Q8" i="3"/>
  <c r="S8" i="3" s="1"/>
  <c r="M8" i="3"/>
  <c r="I8" i="3"/>
  <c r="K8" i="3" s="1"/>
  <c r="U7" i="3"/>
  <c r="W7" i="3" s="1"/>
  <c r="Q7" i="3"/>
  <c r="S7" i="3" s="1"/>
  <c r="M7" i="3"/>
  <c r="O7" i="3" s="1"/>
  <c r="I7" i="3"/>
  <c r="K7" i="3" s="1"/>
  <c r="U6" i="3"/>
  <c r="W6" i="3" s="1"/>
  <c r="Q6" i="3"/>
  <c r="S6" i="3" s="1"/>
  <c r="M6" i="3"/>
  <c r="O6" i="3" s="1"/>
  <c r="I6" i="3"/>
  <c r="K6" i="3" s="1"/>
  <c r="U5" i="3"/>
  <c r="W5" i="3" s="1"/>
  <c r="Q5" i="3"/>
  <c r="S5" i="3" s="1"/>
  <c r="M5" i="3"/>
  <c r="O5" i="3" s="1"/>
  <c r="I5" i="3"/>
  <c r="K5" i="3" s="1"/>
  <c r="U4" i="3"/>
  <c r="W4" i="3" s="1"/>
  <c r="Q4" i="3"/>
  <c r="S4" i="3" s="1"/>
  <c r="M4" i="3"/>
  <c r="O4" i="3" s="1"/>
  <c r="I4" i="3"/>
  <c r="K4" i="3" s="1"/>
  <c r="U39" i="5"/>
  <c r="W39" i="5" s="1"/>
  <c r="Q39" i="5"/>
  <c r="S39" i="5" s="1"/>
  <c r="M39" i="5"/>
  <c r="O39" i="5" s="1"/>
  <c r="I39" i="5"/>
  <c r="U38" i="5"/>
  <c r="W38" i="5" s="1"/>
  <c r="Q38" i="5"/>
  <c r="S38" i="5" s="1"/>
  <c r="M38" i="5"/>
  <c r="O38" i="5" s="1"/>
  <c r="I38" i="5"/>
  <c r="U37" i="5"/>
  <c r="W37" i="5" s="1"/>
  <c r="Q37" i="5"/>
  <c r="S37" i="5" s="1"/>
  <c r="M37" i="5"/>
  <c r="O37" i="5" s="1"/>
  <c r="I37" i="5"/>
  <c r="U36" i="5"/>
  <c r="W36" i="5" s="1"/>
  <c r="Q36" i="5"/>
  <c r="S36" i="5" s="1"/>
  <c r="M36" i="5"/>
  <c r="O36" i="5" s="1"/>
  <c r="I36" i="5"/>
  <c r="U35" i="5"/>
  <c r="W35" i="5" s="1"/>
  <c r="Q35" i="5"/>
  <c r="S35" i="5" s="1"/>
  <c r="M35" i="5"/>
  <c r="O35" i="5" s="1"/>
  <c r="I35" i="5"/>
  <c r="U33" i="5"/>
  <c r="W33" i="5" s="1"/>
  <c r="Q33" i="5"/>
  <c r="S33" i="5" s="1"/>
  <c r="M33" i="5"/>
  <c r="O33" i="5" s="1"/>
  <c r="I33" i="5"/>
  <c r="U32" i="5"/>
  <c r="W32" i="5" s="1"/>
  <c r="Q32" i="5"/>
  <c r="S32" i="5" s="1"/>
  <c r="M32" i="5"/>
  <c r="O32" i="5" s="1"/>
  <c r="I32" i="5"/>
  <c r="U31" i="5"/>
  <c r="W31" i="5" s="1"/>
  <c r="Q31" i="5"/>
  <c r="S31" i="5" s="1"/>
  <c r="M31" i="5"/>
  <c r="O31" i="5" s="1"/>
  <c r="I31" i="5"/>
  <c r="U30" i="5"/>
  <c r="W30" i="5" s="1"/>
  <c r="Q30" i="5"/>
  <c r="S30" i="5" s="1"/>
  <c r="M30" i="5"/>
  <c r="O30" i="5" s="1"/>
  <c r="I30" i="5"/>
  <c r="U27" i="5"/>
  <c r="W27" i="5" s="1"/>
  <c r="Q27" i="5"/>
  <c r="S27" i="5" s="1"/>
  <c r="M27" i="5"/>
  <c r="O27" i="5" s="1"/>
  <c r="I27" i="5"/>
  <c r="U26" i="5"/>
  <c r="W26" i="5" s="1"/>
  <c r="Q26" i="5"/>
  <c r="S26" i="5" s="1"/>
  <c r="M26" i="5"/>
  <c r="O26" i="5" s="1"/>
  <c r="I26" i="5"/>
  <c r="U25" i="5"/>
  <c r="W25" i="5" s="1"/>
  <c r="Q25" i="5"/>
  <c r="S25" i="5" s="1"/>
  <c r="M25" i="5"/>
  <c r="O25" i="5" s="1"/>
  <c r="I25" i="5"/>
  <c r="U24" i="5"/>
  <c r="W24" i="5" s="1"/>
  <c r="Q24" i="5"/>
  <c r="S24" i="5" s="1"/>
  <c r="M24" i="5"/>
  <c r="O24" i="5" s="1"/>
  <c r="I24" i="5"/>
  <c r="U23" i="5"/>
  <c r="W23" i="5" s="1"/>
  <c r="Q23" i="5"/>
  <c r="S23" i="5" s="1"/>
  <c r="M23" i="5"/>
  <c r="O23" i="5" s="1"/>
  <c r="I23" i="5"/>
  <c r="U22" i="5"/>
  <c r="W22" i="5" s="1"/>
  <c r="Q22" i="5"/>
  <c r="S22" i="5" s="1"/>
  <c r="M22" i="5"/>
  <c r="O22" i="5" s="1"/>
  <c r="I22" i="5"/>
  <c r="U20" i="5"/>
  <c r="W20" i="5" s="1"/>
  <c r="Q20" i="5"/>
  <c r="S20" i="5" s="1"/>
  <c r="M20" i="5"/>
  <c r="O20" i="5" s="1"/>
  <c r="I20" i="5"/>
  <c r="U19" i="5"/>
  <c r="W19" i="5" s="1"/>
  <c r="Q19" i="5"/>
  <c r="S19" i="5" s="1"/>
  <c r="M19" i="5"/>
  <c r="O19" i="5" s="1"/>
  <c r="I19" i="5"/>
  <c r="U18" i="5"/>
  <c r="W18" i="5" s="1"/>
  <c r="Q18" i="5"/>
  <c r="S18" i="5" s="1"/>
  <c r="M18" i="5"/>
  <c r="O18" i="5" s="1"/>
  <c r="I18" i="5"/>
  <c r="U17" i="5"/>
  <c r="W17" i="5" s="1"/>
  <c r="Q17" i="5"/>
  <c r="S17" i="5" s="1"/>
  <c r="M17" i="5"/>
  <c r="O17" i="5" s="1"/>
  <c r="I17" i="5"/>
  <c r="U16" i="5"/>
  <c r="W16" i="5" s="1"/>
  <c r="Q16" i="5"/>
  <c r="S16" i="5" s="1"/>
  <c r="M16" i="5"/>
  <c r="O16" i="5" s="1"/>
  <c r="I16" i="5"/>
  <c r="U15" i="5"/>
  <c r="W15" i="5" s="1"/>
  <c r="Q15" i="5"/>
  <c r="S15" i="5" s="1"/>
  <c r="M15" i="5"/>
  <c r="O15" i="5" s="1"/>
  <c r="I15" i="5"/>
  <c r="U12" i="5"/>
  <c r="W12" i="5" s="1"/>
  <c r="Q12" i="5"/>
  <c r="S12" i="5" s="1"/>
  <c r="M12" i="5"/>
  <c r="O12" i="5" s="1"/>
  <c r="I12" i="5"/>
  <c r="U13" i="5"/>
  <c r="W13" i="5" s="1"/>
  <c r="Q13" i="5"/>
  <c r="S13" i="5" s="1"/>
  <c r="M13" i="5"/>
  <c r="O13" i="5" s="1"/>
  <c r="I13" i="5"/>
  <c r="U10" i="5"/>
  <c r="W10" i="5" s="1"/>
  <c r="Q10" i="5"/>
  <c r="S10" i="5" s="1"/>
  <c r="M10" i="5"/>
  <c r="O10" i="5" s="1"/>
  <c r="I10" i="5"/>
  <c r="U9" i="5"/>
  <c r="W9" i="5" s="1"/>
  <c r="Q9" i="5"/>
  <c r="S9" i="5" s="1"/>
  <c r="M9" i="5"/>
  <c r="O9" i="5" s="1"/>
  <c r="I9" i="5"/>
  <c r="U6" i="5"/>
  <c r="W6" i="5" s="1"/>
  <c r="Q6" i="5"/>
  <c r="S6" i="5" s="1"/>
  <c r="M6" i="5"/>
  <c r="O6" i="5" s="1"/>
  <c r="I6" i="5"/>
  <c r="U5" i="5"/>
  <c r="W5" i="5" s="1"/>
  <c r="Q5" i="5"/>
  <c r="S5" i="5" s="1"/>
  <c r="M5" i="5"/>
  <c r="O5" i="5" s="1"/>
  <c r="I5" i="5"/>
  <c r="U4" i="5"/>
  <c r="W4" i="5" s="1"/>
  <c r="Q4" i="5"/>
  <c r="S4" i="5" s="1"/>
  <c r="M4" i="5"/>
  <c r="O4" i="5" s="1"/>
  <c r="I4" i="5"/>
  <c r="U72" i="2"/>
  <c r="W72" i="2" s="1"/>
  <c r="Q72" i="2"/>
  <c r="S72" i="2" s="1"/>
  <c r="M72" i="2"/>
  <c r="I72" i="2"/>
  <c r="K72" i="2" s="1"/>
  <c r="U71" i="2"/>
  <c r="W71" i="2" s="1"/>
  <c r="Q71" i="2"/>
  <c r="S71" i="2" s="1"/>
  <c r="M71" i="2"/>
  <c r="I71" i="2"/>
  <c r="K71" i="2" s="1"/>
  <c r="U70" i="2"/>
  <c r="W70" i="2" s="1"/>
  <c r="Q70" i="2"/>
  <c r="S70" i="2" s="1"/>
  <c r="M70" i="2"/>
  <c r="I70" i="2"/>
  <c r="K70" i="2" s="1"/>
  <c r="U69" i="2"/>
  <c r="W69" i="2" s="1"/>
  <c r="Q69" i="2"/>
  <c r="S69" i="2" s="1"/>
  <c r="M69" i="2"/>
  <c r="I69" i="2"/>
  <c r="K69" i="2" s="1"/>
  <c r="U68" i="2"/>
  <c r="W68" i="2" s="1"/>
  <c r="Q68" i="2"/>
  <c r="S68" i="2" s="1"/>
  <c r="M68" i="2"/>
  <c r="I68" i="2"/>
  <c r="K68" i="2" s="1"/>
  <c r="U67" i="2"/>
  <c r="W67" i="2" s="1"/>
  <c r="Q67" i="2"/>
  <c r="S67" i="2" s="1"/>
  <c r="M67" i="2"/>
  <c r="I67" i="2"/>
  <c r="K67" i="2" s="1"/>
  <c r="U62" i="2"/>
  <c r="W62" i="2" s="1"/>
  <c r="Q62" i="2"/>
  <c r="S62" i="2" s="1"/>
  <c r="M62" i="2"/>
  <c r="I62" i="2"/>
  <c r="K62" i="2" s="1"/>
  <c r="U61" i="2"/>
  <c r="W61" i="2" s="1"/>
  <c r="Q61" i="2"/>
  <c r="S61" i="2" s="1"/>
  <c r="M61" i="2"/>
  <c r="I61" i="2"/>
  <c r="K61" i="2" s="1"/>
  <c r="U59" i="2"/>
  <c r="W59" i="2" s="1"/>
  <c r="Q59" i="2"/>
  <c r="S59" i="2" s="1"/>
  <c r="M59" i="2"/>
  <c r="I59" i="2"/>
  <c r="K59" i="2" s="1"/>
  <c r="U58" i="2"/>
  <c r="W58" i="2" s="1"/>
  <c r="Q58" i="2"/>
  <c r="S58" i="2" s="1"/>
  <c r="M58" i="2"/>
  <c r="I58" i="2"/>
  <c r="K58" i="2" s="1"/>
  <c r="U57" i="2"/>
  <c r="W57" i="2" s="1"/>
  <c r="Q57" i="2"/>
  <c r="S57" i="2" s="1"/>
  <c r="M57" i="2"/>
  <c r="I57" i="2"/>
  <c r="K57" i="2" s="1"/>
  <c r="U56" i="2"/>
  <c r="W56" i="2" s="1"/>
  <c r="Q56" i="2"/>
  <c r="S56" i="2" s="1"/>
  <c r="M56" i="2"/>
  <c r="I56" i="2"/>
  <c r="K56" i="2" s="1"/>
  <c r="U55" i="2"/>
  <c r="W55" i="2" s="1"/>
  <c r="Q55" i="2"/>
  <c r="S55" i="2" s="1"/>
  <c r="M55" i="2"/>
  <c r="I55" i="2"/>
  <c r="K55" i="2" s="1"/>
  <c r="U54" i="2"/>
  <c r="W54" i="2" s="1"/>
  <c r="Q54" i="2"/>
  <c r="S54" i="2" s="1"/>
  <c r="M54" i="2"/>
  <c r="I54" i="2"/>
  <c r="K54" i="2" s="1"/>
  <c r="U53" i="2"/>
  <c r="W53" i="2" s="1"/>
  <c r="Q53" i="2"/>
  <c r="S53" i="2" s="1"/>
  <c r="M53" i="2"/>
  <c r="I53" i="2"/>
  <c r="K53" i="2" s="1"/>
  <c r="U52" i="2"/>
  <c r="W52" i="2" s="1"/>
  <c r="Q52" i="2"/>
  <c r="S52" i="2" s="1"/>
  <c r="M52" i="2"/>
  <c r="I52" i="2"/>
  <c r="K52" i="2" s="1"/>
  <c r="U51" i="2"/>
  <c r="W51" i="2" s="1"/>
  <c r="Q51" i="2"/>
  <c r="S51" i="2" s="1"/>
  <c r="M51" i="2"/>
  <c r="I51" i="2"/>
  <c r="K51" i="2" s="1"/>
  <c r="U50" i="2"/>
  <c r="W50" i="2" s="1"/>
  <c r="Q50" i="2"/>
  <c r="S50" i="2" s="1"/>
  <c r="M50" i="2"/>
  <c r="I50" i="2"/>
  <c r="K50" i="2" s="1"/>
  <c r="U49" i="2"/>
  <c r="W49" i="2" s="1"/>
  <c r="Q49" i="2"/>
  <c r="S49" i="2" s="1"/>
  <c r="M49" i="2"/>
  <c r="I49" i="2"/>
  <c r="K49" i="2" s="1"/>
  <c r="U48" i="2"/>
  <c r="W48" i="2" s="1"/>
  <c r="Q48" i="2"/>
  <c r="S48" i="2" s="1"/>
  <c r="M48" i="2"/>
  <c r="I48" i="2"/>
  <c r="K48" i="2" s="1"/>
  <c r="U47" i="2"/>
  <c r="W47" i="2" s="1"/>
  <c r="Q47" i="2"/>
  <c r="S47" i="2" s="1"/>
  <c r="M47" i="2"/>
  <c r="I47" i="2"/>
  <c r="K47" i="2" s="1"/>
  <c r="U46" i="2"/>
  <c r="W46" i="2" s="1"/>
  <c r="Q46" i="2"/>
  <c r="S46" i="2" s="1"/>
  <c r="M46" i="2"/>
  <c r="I46" i="2"/>
  <c r="K46" i="2" s="1"/>
  <c r="U45" i="2"/>
  <c r="W45" i="2" s="1"/>
  <c r="Q45" i="2"/>
  <c r="S45" i="2" s="1"/>
  <c r="M45" i="2"/>
  <c r="I45" i="2"/>
  <c r="K45" i="2" s="1"/>
  <c r="U44" i="2"/>
  <c r="W44" i="2" s="1"/>
  <c r="Q44" i="2"/>
  <c r="S44" i="2" s="1"/>
  <c r="M44" i="2"/>
  <c r="I44" i="2"/>
  <c r="K44" i="2" s="1"/>
  <c r="U43" i="2"/>
  <c r="W43" i="2" s="1"/>
  <c r="Q43" i="2"/>
  <c r="S43" i="2" s="1"/>
  <c r="M43" i="2"/>
  <c r="I43" i="2"/>
  <c r="K43" i="2" s="1"/>
  <c r="U42" i="2"/>
  <c r="W42" i="2" s="1"/>
  <c r="Q42" i="2"/>
  <c r="S42" i="2" s="1"/>
  <c r="M42" i="2"/>
  <c r="I42" i="2"/>
  <c r="K42" i="2" s="1"/>
  <c r="U41" i="2"/>
  <c r="W41" i="2" s="1"/>
  <c r="Q41" i="2"/>
  <c r="S41" i="2" s="1"/>
  <c r="M41" i="2"/>
  <c r="I41" i="2"/>
  <c r="K41" i="2" s="1"/>
  <c r="U40" i="2"/>
  <c r="W40" i="2" s="1"/>
  <c r="Q40" i="2"/>
  <c r="S40" i="2" s="1"/>
  <c r="M40" i="2"/>
  <c r="I40" i="2"/>
  <c r="K40" i="2" s="1"/>
  <c r="U39" i="2"/>
  <c r="W39" i="2" s="1"/>
  <c r="Q39" i="2"/>
  <c r="S39" i="2" s="1"/>
  <c r="M39" i="2"/>
  <c r="I39" i="2"/>
  <c r="K39" i="2" s="1"/>
  <c r="U38" i="2"/>
  <c r="W38" i="2" s="1"/>
  <c r="Q38" i="2"/>
  <c r="S38" i="2" s="1"/>
  <c r="M38" i="2"/>
  <c r="I38" i="2"/>
  <c r="K38" i="2" s="1"/>
  <c r="U37" i="2"/>
  <c r="W37" i="2" s="1"/>
  <c r="Q37" i="2"/>
  <c r="S37" i="2" s="1"/>
  <c r="M37" i="2"/>
  <c r="I37" i="2"/>
  <c r="K37" i="2" s="1"/>
  <c r="U36" i="2"/>
  <c r="W36" i="2" s="1"/>
  <c r="Q36" i="2"/>
  <c r="S36" i="2" s="1"/>
  <c r="M36" i="2"/>
  <c r="I36" i="2"/>
  <c r="K36" i="2" s="1"/>
  <c r="U35" i="2"/>
  <c r="W35" i="2" s="1"/>
  <c r="Q35" i="2"/>
  <c r="S35" i="2" s="1"/>
  <c r="M35" i="2"/>
  <c r="I35" i="2"/>
  <c r="K35" i="2" s="1"/>
  <c r="U29" i="2"/>
  <c r="W29" i="2" s="1"/>
  <c r="Q29" i="2"/>
  <c r="S29" i="2" s="1"/>
  <c r="M29" i="2"/>
  <c r="I29" i="2"/>
  <c r="K29" i="2" s="1"/>
  <c r="U28" i="2"/>
  <c r="W28" i="2" s="1"/>
  <c r="Q28" i="2"/>
  <c r="S28" i="2" s="1"/>
  <c r="M28" i="2"/>
  <c r="I28" i="2"/>
  <c r="K28" i="2" s="1"/>
  <c r="U27" i="2"/>
  <c r="W27" i="2" s="1"/>
  <c r="Q27" i="2"/>
  <c r="S27" i="2" s="1"/>
  <c r="M27" i="2"/>
  <c r="I27" i="2"/>
  <c r="K27" i="2" s="1"/>
  <c r="U26" i="2"/>
  <c r="W26" i="2" s="1"/>
  <c r="Q26" i="2"/>
  <c r="S26" i="2" s="1"/>
  <c r="M26" i="2"/>
  <c r="I26" i="2"/>
  <c r="K26" i="2" s="1"/>
  <c r="U24" i="2"/>
  <c r="W24" i="2" s="1"/>
  <c r="Q24" i="2"/>
  <c r="S24" i="2" s="1"/>
  <c r="M24" i="2"/>
  <c r="I24" i="2"/>
  <c r="K24" i="2" s="1"/>
  <c r="U23" i="2"/>
  <c r="W23" i="2" s="1"/>
  <c r="Q23" i="2"/>
  <c r="S23" i="2" s="1"/>
  <c r="M23" i="2"/>
  <c r="I23" i="2"/>
  <c r="K23" i="2" s="1"/>
  <c r="U22" i="2"/>
  <c r="W22" i="2" s="1"/>
  <c r="Q22" i="2"/>
  <c r="S22" i="2" s="1"/>
  <c r="I22" i="2"/>
  <c r="K22" i="2" s="1"/>
  <c r="U21" i="2"/>
  <c r="W21" i="2" s="1"/>
  <c r="Q21" i="2"/>
  <c r="S21" i="2" s="1"/>
  <c r="M21" i="2"/>
  <c r="I21" i="2"/>
  <c r="K21" i="2" s="1"/>
  <c r="U20" i="2"/>
  <c r="W20" i="2" s="1"/>
  <c r="Q20" i="2"/>
  <c r="S20" i="2" s="1"/>
  <c r="M20" i="2"/>
  <c r="I20" i="2"/>
  <c r="K20" i="2" s="1"/>
  <c r="U19" i="2"/>
  <c r="W19" i="2" s="1"/>
  <c r="Q19" i="2"/>
  <c r="S19" i="2" s="1"/>
  <c r="M19" i="2"/>
  <c r="I19" i="2"/>
  <c r="K19" i="2" s="1"/>
  <c r="U18" i="2"/>
  <c r="W18" i="2" s="1"/>
  <c r="Q18" i="2"/>
  <c r="S18" i="2" s="1"/>
  <c r="M18" i="2"/>
  <c r="I18" i="2"/>
  <c r="K18" i="2" s="1"/>
  <c r="U17" i="2"/>
  <c r="W17" i="2" s="1"/>
  <c r="Q17" i="2"/>
  <c r="S17" i="2" s="1"/>
  <c r="M17" i="2"/>
  <c r="I17" i="2"/>
  <c r="K17" i="2" s="1"/>
  <c r="U16" i="2"/>
  <c r="W16" i="2" s="1"/>
  <c r="Q16" i="2"/>
  <c r="S16" i="2" s="1"/>
  <c r="M16" i="2"/>
  <c r="I16" i="2"/>
  <c r="K16" i="2" s="1"/>
  <c r="U15" i="2"/>
  <c r="W15" i="2" s="1"/>
  <c r="Q15" i="2"/>
  <c r="S15" i="2" s="1"/>
  <c r="M15" i="2"/>
  <c r="I15" i="2"/>
  <c r="K15" i="2" s="1"/>
  <c r="U14" i="2"/>
  <c r="W14" i="2" s="1"/>
  <c r="Q14" i="2"/>
  <c r="S14" i="2" s="1"/>
  <c r="M14" i="2"/>
  <c r="I14" i="2"/>
  <c r="K14" i="2" s="1"/>
  <c r="U13" i="2"/>
  <c r="W13" i="2" s="1"/>
  <c r="Q13" i="2"/>
  <c r="S13" i="2" s="1"/>
  <c r="M13" i="2"/>
  <c r="I13" i="2"/>
  <c r="K13" i="2" s="1"/>
  <c r="U12" i="2"/>
  <c r="W12" i="2" s="1"/>
  <c r="Q12" i="2"/>
  <c r="S12" i="2" s="1"/>
  <c r="M12" i="2"/>
  <c r="I12" i="2"/>
  <c r="K12" i="2" s="1"/>
  <c r="U11" i="2"/>
  <c r="W11" i="2" s="1"/>
  <c r="Q11" i="2"/>
  <c r="S11" i="2" s="1"/>
  <c r="M11" i="2"/>
  <c r="I11" i="2"/>
  <c r="K11" i="2" s="1"/>
  <c r="U10" i="2"/>
  <c r="W10" i="2" s="1"/>
  <c r="Q10" i="2"/>
  <c r="S10" i="2" s="1"/>
  <c r="M10" i="2"/>
  <c r="I10" i="2"/>
  <c r="K10" i="2" s="1"/>
  <c r="U9" i="2"/>
  <c r="W9" i="2" s="1"/>
  <c r="Q9" i="2"/>
  <c r="S9" i="2" s="1"/>
  <c r="M9" i="2"/>
  <c r="I9" i="2"/>
  <c r="K9" i="2" s="1"/>
  <c r="U8" i="2"/>
  <c r="W8" i="2" s="1"/>
  <c r="Q8" i="2"/>
  <c r="S8" i="2" s="1"/>
  <c r="M8" i="2"/>
  <c r="I8" i="2"/>
  <c r="K8" i="2" s="1"/>
  <c r="U7" i="2"/>
  <c r="W7" i="2" s="1"/>
  <c r="Q7" i="2"/>
  <c r="S7" i="2" s="1"/>
  <c r="M7" i="2"/>
  <c r="I7" i="2"/>
  <c r="K7" i="2" s="1"/>
  <c r="U6" i="2"/>
  <c r="W6" i="2" s="1"/>
  <c r="Q6" i="2"/>
  <c r="S6" i="2" s="1"/>
  <c r="M6" i="2"/>
  <c r="I6" i="2"/>
  <c r="K6" i="2" s="1"/>
  <c r="U5" i="2"/>
  <c r="W5" i="2" s="1"/>
  <c r="Q5" i="2"/>
  <c r="S5" i="2" s="1"/>
  <c r="M5" i="2"/>
  <c r="I5" i="2"/>
  <c r="K5" i="2" s="1"/>
  <c r="U4" i="2"/>
  <c r="W4" i="2" s="1"/>
  <c r="Q4" i="2"/>
  <c r="S4" i="2" s="1"/>
  <c r="M4" i="2"/>
  <c r="I4" i="2"/>
  <c r="K4" i="2" s="1"/>
  <c r="AD65" i="6"/>
  <c r="AF65" i="6" s="1"/>
  <c r="Z65" i="6"/>
  <c r="AB65" i="6" s="1"/>
  <c r="V65" i="6"/>
  <c r="X65" i="6" s="1"/>
  <c r="R65" i="6"/>
  <c r="T65" i="6" s="1"/>
  <c r="AD64" i="6"/>
  <c r="AF64" i="6" s="1"/>
  <c r="Z64" i="6"/>
  <c r="AB64" i="6" s="1"/>
  <c r="V64" i="6"/>
  <c r="X64" i="6" s="1"/>
  <c r="R64" i="6"/>
  <c r="T64" i="6" s="1"/>
  <c r="AD63" i="6"/>
  <c r="AF63" i="6" s="1"/>
  <c r="Z63" i="6"/>
  <c r="AB63" i="6" s="1"/>
  <c r="V63" i="6"/>
  <c r="X63" i="6" s="1"/>
  <c r="R63" i="6"/>
  <c r="T63" i="6" s="1"/>
  <c r="AD62" i="6"/>
  <c r="AF62" i="6" s="1"/>
  <c r="Z62" i="6"/>
  <c r="AB62" i="6" s="1"/>
  <c r="V62" i="6"/>
  <c r="X62" i="6" s="1"/>
  <c r="R62" i="6"/>
  <c r="T62" i="6" s="1"/>
  <c r="AD61" i="6"/>
  <c r="AF61" i="6" s="1"/>
  <c r="Z61" i="6"/>
  <c r="AB61" i="6" s="1"/>
  <c r="V61" i="6"/>
  <c r="X61" i="6" s="1"/>
  <c r="R61" i="6"/>
  <c r="T61" i="6" s="1"/>
  <c r="AD60" i="6"/>
  <c r="AF60" i="6" s="1"/>
  <c r="Z60" i="6"/>
  <c r="AB60" i="6" s="1"/>
  <c r="V60" i="6"/>
  <c r="X60" i="6" s="1"/>
  <c r="T60" i="6"/>
  <c r="AD59" i="6"/>
  <c r="AF59" i="6" s="1"/>
  <c r="Z59" i="6"/>
  <c r="AB59" i="6" s="1"/>
  <c r="V59" i="6"/>
  <c r="X59" i="6" s="1"/>
  <c r="R59" i="6"/>
  <c r="T59" i="6" s="1"/>
  <c r="AD58" i="6"/>
  <c r="AF58" i="6" s="1"/>
  <c r="Z58" i="6"/>
  <c r="AB58" i="6" s="1"/>
  <c r="V58" i="6"/>
  <c r="X58" i="6" s="1"/>
  <c r="R58" i="6"/>
  <c r="T58" i="6" s="1"/>
  <c r="AD57" i="6"/>
  <c r="AF57" i="6" s="1"/>
  <c r="Z57" i="6"/>
  <c r="AB57" i="6" s="1"/>
  <c r="V57" i="6"/>
  <c r="X57" i="6" s="1"/>
  <c r="R57" i="6"/>
  <c r="T57" i="6" s="1"/>
  <c r="AD56" i="6"/>
  <c r="AF56" i="6" s="1"/>
  <c r="Z56" i="6"/>
  <c r="AB56" i="6" s="1"/>
  <c r="V56" i="6"/>
  <c r="X56" i="6" s="1"/>
  <c r="R56" i="6"/>
  <c r="T56" i="6" s="1"/>
  <c r="AD55" i="6"/>
  <c r="AF55" i="6" s="1"/>
  <c r="Z55" i="6"/>
  <c r="AB55" i="6" s="1"/>
  <c r="V55" i="6"/>
  <c r="X55" i="6" s="1"/>
  <c r="R55" i="6"/>
  <c r="T55" i="6" s="1"/>
  <c r="AD54" i="6"/>
  <c r="AF54" i="6" s="1"/>
  <c r="Z54" i="6"/>
  <c r="AB54" i="6" s="1"/>
  <c r="V54" i="6"/>
  <c r="X54" i="6" s="1"/>
  <c r="R54" i="6"/>
  <c r="T54" i="6" s="1"/>
  <c r="AD53" i="6"/>
  <c r="AF53" i="6" s="1"/>
  <c r="Z53" i="6"/>
  <c r="AB53" i="6" s="1"/>
  <c r="V53" i="6"/>
  <c r="X53" i="6" s="1"/>
  <c r="R53" i="6"/>
  <c r="T53" i="6" s="1"/>
  <c r="AD52" i="6"/>
  <c r="AF52" i="6" s="1"/>
  <c r="Z52" i="6"/>
  <c r="AB52" i="6" s="1"/>
  <c r="V52" i="6"/>
  <c r="X52" i="6" s="1"/>
  <c r="R52" i="6"/>
  <c r="T52" i="6" s="1"/>
  <c r="AD51" i="6"/>
  <c r="AF51" i="6" s="1"/>
  <c r="Z51" i="6"/>
  <c r="AB51" i="6" s="1"/>
  <c r="V51" i="6"/>
  <c r="X51" i="6" s="1"/>
  <c r="R51" i="6"/>
  <c r="T51" i="6" s="1"/>
  <c r="AD50" i="6"/>
  <c r="AF50" i="6" s="1"/>
  <c r="Z50" i="6"/>
  <c r="AB50" i="6" s="1"/>
  <c r="V50" i="6"/>
  <c r="X50" i="6" s="1"/>
  <c r="R50" i="6"/>
  <c r="T50" i="6" s="1"/>
  <c r="AD49" i="6"/>
  <c r="AF49" i="6" s="1"/>
  <c r="Z49" i="6"/>
  <c r="AB49" i="6" s="1"/>
  <c r="V49" i="6"/>
  <c r="X49" i="6" s="1"/>
  <c r="R49" i="6"/>
  <c r="T49" i="6" s="1"/>
  <c r="AD48" i="6"/>
  <c r="AF48" i="6" s="1"/>
  <c r="Z48" i="6"/>
  <c r="AB48" i="6" s="1"/>
  <c r="V48" i="6"/>
  <c r="X48" i="6" s="1"/>
  <c r="R48" i="6"/>
  <c r="T48" i="6" s="1"/>
  <c r="AD47" i="6"/>
  <c r="AF47" i="6" s="1"/>
  <c r="Z47" i="6"/>
  <c r="AB47" i="6" s="1"/>
  <c r="V47" i="6"/>
  <c r="X47" i="6" s="1"/>
  <c r="R47" i="6"/>
  <c r="T47" i="6" s="1"/>
  <c r="AD46" i="6"/>
  <c r="AF46" i="6" s="1"/>
  <c r="Z46" i="6"/>
  <c r="AB46" i="6" s="1"/>
  <c r="V46" i="6"/>
  <c r="X46" i="6" s="1"/>
  <c r="R46" i="6"/>
  <c r="T46" i="6" s="1"/>
  <c r="AD45" i="6"/>
  <c r="AF45" i="6" s="1"/>
  <c r="Z45" i="6"/>
  <c r="AB45" i="6" s="1"/>
  <c r="V45" i="6"/>
  <c r="X45" i="6" s="1"/>
  <c r="R45" i="6"/>
  <c r="T45" i="6" s="1"/>
  <c r="AD44" i="6"/>
  <c r="AF44" i="6" s="1"/>
  <c r="Z44" i="6"/>
  <c r="AB44" i="6" s="1"/>
  <c r="V44" i="6"/>
  <c r="X44" i="6" s="1"/>
  <c r="R44" i="6"/>
  <c r="T44" i="6" s="1"/>
  <c r="AD43" i="6"/>
  <c r="AF43" i="6" s="1"/>
  <c r="Z43" i="6"/>
  <c r="AB43" i="6" s="1"/>
  <c r="V43" i="6"/>
  <c r="X43" i="6" s="1"/>
  <c r="R43" i="6"/>
  <c r="T43" i="6" s="1"/>
  <c r="AD42" i="6"/>
  <c r="AF42" i="6" s="1"/>
  <c r="Z42" i="6"/>
  <c r="AB42" i="6" s="1"/>
  <c r="V42" i="6"/>
  <c r="X42" i="6" s="1"/>
  <c r="R42" i="6"/>
  <c r="T42" i="6" s="1"/>
  <c r="AD41" i="6"/>
  <c r="AF41" i="6" s="1"/>
  <c r="Z41" i="6"/>
  <c r="AB41" i="6" s="1"/>
  <c r="V41" i="6"/>
  <c r="X41" i="6" s="1"/>
  <c r="R41" i="6"/>
  <c r="T41" i="6" s="1"/>
  <c r="AD40" i="6"/>
  <c r="AF40" i="6" s="1"/>
  <c r="Z40" i="6"/>
  <c r="AB40" i="6" s="1"/>
  <c r="V40" i="6"/>
  <c r="X40" i="6" s="1"/>
  <c r="R40" i="6"/>
  <c r="T40" i="6" s="1"/>
  <c r="AD39" i="6"/>
  <c r="AF39" i="6" s="1"/>
  <c r="Z39" i="6"/>
  <c r="AB39" i="6" s="1"/>
  <c r="V39" i="6"/>
  <c r="X39" i="6" s="1"/>
  <c r="R39" i="6"/>
  <c r="T39" i="6" s="1"/>
  <c r="AD38" i="6"/>
  <c r="AF38" i="6" s="1"/>
  <c r="Z38" i="6"/>
  <c r="AB38" i="6" s="1"/>
  <c r="V38" i="6"/>
  <c r="X38" i="6" s="1"/>
  <c r="R38" i="6"/>
  <c r="T38" i="6" s="1"/>
  <c r="AD37" i="6"/>
  <c r="AF37" i="6" s="1"/>
  <c r="Z37" i="6"/>
  <c r="AB37" i="6" s="1"/>
  <c r="V37" i="6"/>
  <c r="X37" i="6" s="1"/>
  <c r="R37" i="6"/>
  <c r="T37" i="6" s="1"/>
  <c r="AD36" i="6"/>
  <c r="AF36" i="6" s="1"/>
  <c r="Z36" i="6"/>
  <c r="AB36" i="6" s="1"/>
  <c r="V36" i="6"/>
  <c r="R36" i="6"/>
  <c r="T36" i="6" s="1"/>
  <c r="AD35" i="6"/>
  <c r="AF35" i="6" s="1"/>
  <c r="Z35" i="6"/>
  <c r="AB35" i="6" s="1"/>
  <c r="V35" i="6"/>
  <c r="R35" i="6"/>
  <c r="T35" i="6" s="1"/>
  <c r="AD34" i="6"/>
  <c r="AF34" i="6" s="1"/>
  <c r="Z34" i="6"/>
  <c r="AB34" i="6" s="1"/>
  <c r="V34" i="6"/>
  <c r="R34" i="6"/>
  <c r="T34" i="6" s="1"/>
  <c r="AD33" i="6"/>
  <c r="AF33" i="6" s="1"/>
  <c r="Z33" i="6"/>
  <c r="AB33" i="6" s="1"/>
  <c r="V33" i="6"/>
  <c r="R33" i="6"/>
  <c r="T33" i="6" s="1"/>
  <c r="AD32" i="6"/>
  <c r="AF32" i="6" s="1"/>
  <c r="Z32" i="6"/>
  <c r="AB32" i="6" s="1"/>
  <c r="V32" i="6"/>
  <c r="R32" i="6"/>
  <c r="T32" i="6" s="1"/>
  <c r="AD31" i="6"/>
  <c r="AF31" i="6" s="1"/>
  <c r="Z31" i="6"/>
  <c r="AB31" i="6" s="1"/>
  <c r="V31" i="6"/>
  <c r="R31" i="6"/>
  <c r="T31" i="6" s="1"/>
  <c r="AD30" i="6"/>
  <c r="AF30" i="6" s="1"/>
  <c r="Z30" i="6"/>
  <c r="AB30" i="6" s="1"/>
  <c r="V30" i="6"/>
  <c r="R30" i="6"/>
  <c r="T30" i="6" s="1"/>
  <c r="AD29" i="6"/>
  <c r="AF29" i="6" s="1"/>
  <c r="Z29" i="6"/>
  <c r="AB29" i="6" s="1"/>
  <c r="V29" i="6"/>
  <c r="R29" i="6"/>
  <c r="T29" i="6" s="1"/>
  <c r="AD28" i="6"/>
  <c r="AF28" i="6" s="1"/>
  <c r="Z28" i="6"/>
  <c r="AB28" i="6" s="1"/>
  <c r="V28" i="6"/>
  <c r="R28" i="6"/>
  <c r="T28" i="6" s="1"/>
  <c r="AD27" i="6"/>
  <c r="AF27" i="6" s="1"/>
  <c r="Z27" i="6"/>
  <c r="AB27" i="6" s="1"/>
  <c r="V27" i="6"/>
  <c r="R27" i="6"/>
  <c r="T27" i="6" s="1"/>
  <c r="AD26" i="6"/>
  <c r="AF26" i="6" s="1"/>
  <c r="Z26" i="6"/>
  <c r="AB26" i="6" s="1"/>
  <c r="V26" i="6"/>
  <c r="R26" i="6"/>
  <c r="T26" i="6" s="1"/>
  <c r="AD25" i="6"/>
  <c r="AF25" i="6" s="1"/>
  <c r="Z25" i="6"/>
  <c r="AB25" i="6" s="1"/>
  <c r="V25" i="6"/>
  <c r="R25" i="6"/>
  <c r="T25" i="6" s="1"/>
  <c r="AD24" i="6"/>
  <c r="AF24" i="6" s="1"/>
  <c r="Z24" i="6"/>
  <c r="AB24" i="6" s="1"/>
  <c r="V24" i="6"/>
  <c r="R24" i="6"/>
  <c r="T24" i="6" s="1"/>
  <c r="AD23" i="6"/>
  <c r="AF23" i="6" s="1"/>
  <c r="Z23" i="6"/>
  <c r="AB23" i="6" s="1"/>
  <c r="V23" i="6"/>
  <c r="R23" i="6"/>
  <c r="T23" i="6" s="1"/>
  <c r="AD22" i="6"/>
  <c r="AF22" i="6" s="1"/>
  <c r="Z22" i="6"/>
  <c r="AB22" i="6" s="1"/>
  <c r="V22" i="6"/>
  <c r="R22" i="6"/>
  <c r="T22" i="6" s="1"/>
  <c r="AD21" i="6"/>
  <c r="AF21" i="6" s="1"/>
  <c r="Z21" i="6"/>
  <c r="AB21" i="6" s="1"/>
  <c r="V21" i="6"/>
  <c r="R21" i="6"/>
  <c r="T21" i="6" s="1"/>
  <c r="AD20" i="6"/>
  <c r="AF20" i="6" s="1"/>
  <c r="Z20" i="6"/>
  <c r="AB20" i="6" s="1"/>
  <c r="V20" i="6"/>
  <c r="R20" i="6"/>
  <c r="T20" i="6" s="1"/>
  <c r="AD19" i="6"/>
  <c r="AF19" i="6" s="1"/>
  <c r="Z19" i="6"/>
  <c r="AB19" i="6" s="1"/>
  <c r="V19" i="6"/>
  <c r="R19" i="6"/>
  <c r="T19" i="6" s="1"/>
  <c r="AD18" i="6"/>
  <c r="AF18" i="6" s="1"/>
  <c r="Z18" i="6"/>
  <c r="AB18" i="6" s="1"/>
  <c r="V18" i="6"/>
  <c r="R18" i="6"/>
  <c r="T18" i="6" s="1"/>
  <c r="AD17" i="6"/>
  <c r="AF17" i="6" s="1"/>
  <c r="Z17" i="6"/>
  <c r="AB17" i="6" s="1"/>
  <c r="V17" i="6"/>
  <c r="R17" i="6"/>
  <c r="T17" i="6" s="1"/>
  <c r="AD16" i="6"/>
  <c r="AF16" i="6" s="1"/>
  <c r="Z16" i="6"/>
  <c r="AB16" i="6" s="1"/>
  <c r="V16" i="6"/>
  <c r="R16" i="6"/>
  <c r="T16" i="6" s="1"/>
  <c r="AD15" i="6"/>
  <c r="AF15" i="6" s="1"/>
  <c r="Z15" i="6"/>
  <c r="AB15" i="6" s="1"/>
  <c r="V15" i="6"/>
  <c r="R15" i="6"/>
  <c r="T15" i="6" s="1"/>
  <c r="AD14" i="6"/>
  <c r="AF14" i="6" s="1"/>
  <c r="Z14" i="6"/>
  <c r="AB14" i="6" s="1"/>
  <c r="V14" i="6"/>
  <c r="R14" i="6"/>
  <c r="T14" i="6" s="1"/>
  <c r="AD13" i="6"/>
  <c r="AF13" i="6" s="1"/>
  <c r="Z13" i="6"/>
  <c r="AB13" i="6" s="1"/>
  <c r="V13" i="6"/>
  <c r="R13" i="6"/>
  <c r="T13" i="6" s="1"/>
  <c r="AD12" i="6"/>
  <c r="AF12" i="6" s="1"/>
  <c r="Z12" i="6"/>
  <c r="AB12" i="6" s="1"/>
  <c r="V12" i="6"/>
  <c r="R12" i="6"/>
  <c r="T12" i="6" s="1"/>
  <c r="AD11" i="6"/>
  <c r="AF11" i="6" s="1"/>
  <c r="Z11" i="6"/>
  <c r="AB11" i="6" s="1"/>
  <c r="V11" i="6"/>
  <c r="R11" i="6"/>
  <c r="T11" i="6" s="1"/>
  <c r="AD10" i="6"/>
  <c r="AF10" i="6" s="1"/>
  <c r="Z10" i="6"/>
  <c r="AB10" i="6" s="1"/>
  <c r="V10" i="6"/>
  <c r="R10" i="6"/>
  <c r="T10" i="6" s="1"/>
  <c r="AD9" i="6"/>
  <c r="AF9" i="6" s="1"/>
  <c r="Z9" i="6"/>
  <c r="AB9" i="6" s="1"/>
  <c r="V9" i="6"/>
  <c r="R9" i="6"/>
  <c r="T9" i="6" s="1"/>
  <c r="AD8" i="6"/>
  <c r="AF8" i="6" s="1"/>
  <c r="Z8" i="6"/>
  <c r="AB8" i="6" s="1"/>
  <c r="V8" i="6"/>
  <c r="R8" i="6"/>
  <c r="T8" i="6" s="1"/>
  <c r="AD7" i="6"/>
  <c r="AF7" i="6" s="1"/>
  <c r="Z7" i="6"/>
  <c r="AB7" i="6" s="1"/>
  <c r="V7" i="6"/>
  <c r="R7" i="6"/>
  <c r="T7" i="6" s="1"/>
  <c r="AD6" i="6"/>
  <c r="AF6" i="6" s="1"/>
  <c r="Z6" i="6"/>
  <c r="AB6" i="6" s="1"/>
  <c r="V6" i="6"/>
  <c r="R6" i="6"/>
  <c r="T6" i="6" s="1"/>
  <c r="AD5" i="6"/>
  <c r="AF5" i="6" s="1"/>
  <c r="Z5" i="6"/>
  <c r="AB5" i="6" s="1"/>
  <c r="V5" i="6"/>
  <c r="R5" i="6"/>
  <c r="T5" i="6" s="1"/>
  <c r="AD4" i="6"/>
  <c r="AF4" i="6" s="1"/>
  <c r="Z4" i="6"/>
  <c r="AB4" i="6" s="1"/>
  <c r="V4" i="6"/>
  <c r="R4" i="6"/>
  <c r="T4" i="6" s="1"/>
  <c r="N62" i="6"/>
  <c r="J62" i="6"/>
  <c r="L62" i="6" s="1"/>
  <c r="F62" i="6"/>
  <c r="H62" i="6" s="1"/>
  <c r="N40" i="6"/>
  <c r="J40" i="6"/>
  <c r="L40" i="6" s="1"/>
  <c r="F40" i="6"/>
  <c r="H40" i="6" s="1"/>
  <c r="N54" i="6"/>
  <c r="J54" i="6"/>
  <c r="L54" i="6" s="1"/>
  <c r="F54" i="6"/>
  <c r="H54" i="6" s="1"/>
  <c r="N53" i="6"/>
  <c r="J53" i="6"/>
  <c r="L53" i="6" s="1"/>
  <c r="F53" i="6"/>
  <c r="H53" i="6" s="1"/>
  <c r="N6" i="6"/>
  <c r="J6" i="6"/>
  <c r="L6" i="6" s="1"/>
  <c r="F6" i="6"/>
  <c r="H6" i="6" s="1"/>
  <c r="N15" i="6"/>
  <c r="F64" i="6"/>
  <c r="H64" i="6" s="1"/>
  <c r="J64" i="6"/>
  <c r="L64" i="6" s="1"/>
  <c r="N64" i="6"/>
  <c r="CC61" i="14" l="1"/>
  <c r="BM61" i="14"/>
  <c r="BO61" i="14" s="1"/>
  <c r="BY61" i="14"/>
  <c r="BI61" i="14"/>
  <c r="BK61" i="14" s="1"/>
  <c r="BU61" i="14"/>
  <c r="BE61" i="14"/>
  <c r="BG61" i="14" s="1"/>
  <c r="BQ61" i="14"/>
  <c r="BA61" i="14"/>
  <c r="BY46" i="14"/>
  <c r="BQ46" i="14"/>
  <c r="BI46" i="14"/>
  <c r="BK46" i="14" s="1"/>
  <c r="BA46" i="14"/>
  <c r="CC46" i="14"/>
  <c r="BU46" i="14"/>
  <c r="BM46" i="14"/>
  <c r="BO46" i="14" s="1"/>
  <c r="BE46" i="14"/>
  <c r="BG46" i="14" s="1"/>
  <c r="AS46" i="14"/>
  <c r="AU46" i="14" s="1"/>
  <c r="U46" i="14"/>
  <c r="W46" i="14" s="1"/>
  <c r="AK61" i="14"/>
  <c r="AM61" i="14" s="1"/>
  <c r="M46" i="14"/>
  <c r="O46" i="14" s="1"/>
  <c r="AO46" i="14"/>
  <c r="AQ46" i="14" s="1"/>
  <c r="I46" i="14"/>
  <c r="K46" i="14" s="1"/>
  <c r="AK46" i="14"/>
  <c r="AM46" i="14" s="1"/>
  <c r="AC46" i="14"/>
  <c r="AE46" i="14" s="1"/>
  <c r="Y46" i="14"/>
  <c r="AA46" i="14" s="1"/>
  <c r="M61" i="14"/>
  <c r="O61" i="14" s="1"/>
  <c r="AW46" i="14"/>
  <c r="AY46" i="14" s="1"/>
  <c r="AG46" i="14"/>
  <c r="AI46" i="14" s="1"/>
  <c r="Q46" i="14"/>
  <c r="S46" i="14" s="1"/>
  <c r="AM44" i="14"/>
  <c r="W53" i="14"/>
  <c r="AC61" i="14"/>
  <c r="AE61" i="14" s="1"/>
  <c r="W34" i="14"/>
  <c r="AW61" i="14"/>
  <c r="AY61" i="14" s="1"/>
  <c r="AG61" i="14"/>
  <c r="AI61" i="14" s="1"/>
  <c r="AS61" i="14"/>
  <c r="AU61" i="14" s="1"/>
  <c r="U61" i="14"/>
  <c r="W61" i="14" s="1"/>
  <c r="I61" i="14"/>
  <c r="K61" i="14" s="1"/>
  <c r="AO61" i="14"/>
  <c r="AQ61" i="14" s="1"/>
  <c r="Q61" i="14"/>
  <c r="S61" i="14" s="1"/>
  <c r="AM40" i="14"/>
  <c r="AM11" i="14"/>
  <c r="AM53" i="14"/>
  <c r="W45" i="14"/>
  <c r="AM25" i="14"/>
  <c r="AM34" i="14"/>
  <c r="W41" i="14"/>
  <c r="AM19" i="14"/>
  <c r="AM42" i="14"/>
  <c r="AM30" i="14"/>
  <c r="W10" i="14"/>
  <c r="AM56" i="14"/>
  <c r="W56" i="14"/>
  <c r="AM52" i="14"/>
  <c r="W52" i="14"/>
  <c r="W7" i="12"/>
  <c r="W25" i="14"/>
  <c r="W30" i="14"/>
  <c r="AM37" i="14"/>
  <c r="AM50" i="14"/>
  <c r="AM49" i="14"/>
  <c r="W48" i="14"/>
  <c r="AM41" i="14"/>
  <c r="W19" i="14"/>
  <c r="W37" i="14"/>
  <c r="W50" i="14"/>
  <c r="W42" i="14"/>
  <c r="AM62" i="14"/>
  <c r="W62" i="14"/>
  <c r="W49" i="14"/>
  <c r="AM48" i="14"/>
  <c r="AM45" i="14"/>
  <c r="W44" i="14"/>
  <c r="W40" i="14"/>
  <c r="W26" i="14"/>
  <c r="W28" i="14"/>
  <c r="AM28" i="14"/>
  <c r="AM23" i="14"/>
  <c r="W23" i="14"/>
  <c r="AM18" i="14"/>
  <c r="AM15" i="14"/>
  <c r="W14" i="14"/>
  <c r="W13" i="14"/>
  <c r="AM13" i="14"/>
  <c r="AM8" i="14"/>
  <c r="W8" i="14"/>
  <c r="AM4" i="14"/>
  <c r="W4" i="14"/>
  <c r="W11" i="14"/>
  <c r="W15" i="14"/>
  <c r="AM14" i="14"/>
  <c r="AM35" i="14"/>
  <c r="W7" i="14"/>
  <c r="AM33" i="14"/>
  <c r="AM21" i="14"/>
  <c r="AM7" i="14"/>
  <c r="AM16" i="14"/>
  <c r="W21" i="14"/>
  <c r="W22" i="14"/>
  <c r="AM12" i="14"/>
  <c r="AM31" i="14"/>
  <c r="W6" i="14"/>
  <c r="AM6" i="14"/>
  <c r="AM10" i="14"/>
  <c r="W16" i="14"/>
  <c r="W17" i="14"/>
  <c r="AM17" i="14"/>
  <c r="W18" i="14"/>
  <c r="AM26" i="14"/>
  <c r="AM27" i="14"/>
  <c r="W35" i="14"/>
  <c r="W36" i="14"/>
  <c r="AM36" i="14"/>
  <c r="W20" i="14"/>
  <c r="W5" i="14"/>
  <c r="AM5" i="14"/>
  <c r="W9" i="14"/>
  <c r="AM9" i="14"/>
  <c r="W12" i="14"/>
  <c r="AM20" i="14"/>
  <c r="AM22" i="14"/>
  <c r="W31" i="14"/>
  <c r="W32" i="14"/>
  <c r="AM32" i="14"/>
  <c r="W33" i="14"/>
  <c r="W15" i="12"/>
  <c r="W16" i="12"/>
  <c r="W13" i="12"/>
  <c r="AM7" i="12"/>
  <c r="W9" i="12"/>
  <c r="W11" i="12"/>
  <c r="AM4" i="12"/>
  <c r="AM6" i="12"/>
  <c r="AM8" i="12"/>
  <c r="AM10" i="12"/>
  <c r="AM12" i="12"/>
  <c r="AM14" i="12"/>
  <c r="AM16" i="12"/>
  <c r="W5" i="12"/>
  <c r="K21" i="5"/>
  <c r="K8" i="5"/>
  <c r="K4" i="5"/>
  <c r="K5" i="5"/>
  <c r="K6" i="5"/>
  <c r="K9" i="5"/>
  <c r="K10" i="5"/>
  <c r="K13" i="5"/>
  <c r="K12" i="5"/>
  <c r="K15" i="5"/>
  <c r="K16" i="5"/>
  <c r="K17" i="5"/>
  <c r="K18" i="5"/>
  <c r="K19" i="5"/>
  <c r="K20" i="5"/>
  <c r="K22" i="5"/>
  <c r="K23" i="5"/>
  <c r="K24" i="5"/>
  <c r="K25" i="5"/>
  <c r="K26" i="5"/>
  <c r="K27" i="5"/>
  <c r="K30" i="5"/>
  <c r="K31" i="5"/>
  <c r="K32" i="5"/>
  <c r="K33" i="5"/>
  <c r="K35" i="5"/>
  <c r="K36" i="5"/>
  <c r="K37" i="5"/>
  <c r="K38" i="5"/>
  <c r="K39" i="5"/>
  <c r="N65" i="6"/>
  <c r="J65" i="6"/>
  <c r="L65" i="6" s="1"/>
  <c r="F65" i="6"/>
  <c r="H65" i="6" s="1"/>
  <c r="N63" i="6"/>
  <c r="J63" i="6"/>
  <c r="L63" i="6" s="1"/>
  <c r="F63" i="6"/>
  <c r="H63" i="6" s="1"/>
  <c r="N61" i="6"/>
  <c r="J61" i="6"/>
  <c r="L61" i="6" s="1"/>
  <c r="F61" i="6"/>
  <c r="H61" i="6" s="1"/>
  <c r="N60" i="6"/>
  <c r="J60" i="6"/>
  <c r="L60" i="6" s="1"/>
  <c r="F60" i="6"/>
  <c r="H60" i="6" s="1"/>
  <c r="N59" i="6"/>
  <c r="J59" i="6"/>
  <c r="L59" i="6" s="1"/>
  <c r="F59" i="6"/>
  <c r="H59" i="6" s="1"/>
  <c r="N58" i="6"/>
  <c r="J58" i="6"/>
  <c r="L58" i="6" s="1"/>
  <c r="F58" i="6"/>
  <c r="H58" i="6" s="1"/>
  <c r="N57" i="6"/>
  <c r="J57" i="6"/>
  <c r="L57" i="6" s="1"/>
  <c r="F57" i="6"/>
  <c r="H57" i="6" s="1"/>
  <c r="N56" i="6"/>
  <c r="J56" i="6"/>
  <c r="L56" i="6" s="1"/>
  <c r="F56" i="6"/>
  <c r="H56" i="6" s="1"/>
  <c r="N55" i="6"/>
  <c r="J55" i="6"/>
  <c r="L55" i="6" s="1"/>
  <c r="F55" i="6"/>
  <c r="H55" i="6" s="1"/>
  <c r="N52" i="6"/>
  <c r="J52" i="6"/>
  <c r="L52" i="6" s="1"/>
  <c r="F52" i="6"/>
  <c r="H52" i="6" s="1"/>
  <c r="N51" i="6"/>
  <c r="J51" i="6"/>
  <c r="L51" i="6" s="1"/>
  <c r="F51" i="6"/>
  <c r="H51" i="6" s="1"/>
  <c r="N50" i="6"/>
  <c r="J50" i="6"/>
  <c r="L50" i="6" s="1"/>
  <c r="F50" i="6"/>
  <c r="H50" i="6" s="1"/>
  <c r="N49" i="6"/>
  <c r="J49" i="6"/>
  <c r="L49" i="6" s="1"/>
  <c r="F49" i="6"/>
  <c r="H49" i="6" s="1"/>
  <c r="N48" i="6"/>
  <c r="J48" i="6"/>
  <c r="L48" i="6" s="1"/>
  <c r="F48" i="6"/>
  <c r="H48" i="6" s="1"/>
  <c r="N47" i="6"/>
  <c r="J47" i="6"/>
  <c r="L47" i="6" s="1"/>
  <c r="F47" i="6"/>
  <c r="H47" i="6" s="1"/>
  <c r="N46" i="6"/>
  <c r="J46" i="6"/>
  <c r="L46" i="6" s="1"/>
  <c r="F46" i="6"/>
  <c r="H46" i="6" s="1"/>
  <c r="N45" i="6"/>
  <c r="J45" i="6"/>
  <c r="L45" i="6" s="1"/>
  <c r="F45" i="6"/>
  <c r="H45" i="6" s="1"/>
  <c r="N44" i="6"/>
  <c r="J44" i="6"/>
  <c r="L44" i="6" s="1"/>
  <c r="F44" i="6"/>
  <c r="H44" i="6" s="1"/>
  <c r="N43" i="6"/>
  <c r="J43" i="6"/>
  <c r="L43" i="6" s="1"/>
  <c r="F43" i="6"/>
  <c r="H43" i="6" s="1"/>
  <c r="N42" i="6"/>
  <c r="J42" i="6"/>
  <c r="L42" i="6" s="1"/>
  <c r="F42" i="6"/>
  <c r="H42" i="6" s="1"/>
  <c r="N41" i="6"/>
  <c r="J41" i="6"/>
  <c r="L41" i="6" s="1"/>
  <c r="F41" i="6"/>
  <c r="H41" i="6" s="1"/>
  <c r="N39" i="6"/>
  <c r="J39" i="6"/>
  <c r="L39" i="6" s="1"/>
  <c r="F39" i="6"/>
  <c r="H39" i="6" s="1"/>
  <c r="N38" i="6"/>
  <c r="J38" i="6"/>
  <c r="L38" i="6" s="1"/>
  <c r="F38" i="6"/>
  <c r="H38" i="6" s="1"/>
  <c r="N37" i="6"/>
  <c r="J37" i="6"/>
  <c r="L37" i="6" s="1"/>
  <c r="F37" i="6"/>
  <c r="H37" i="6" s="1"/>
  <c r="N36" i="6"/>
  <c r="J36" i="6"/>
  <c r="L36" i="6" s="1"/>
  <c r="F36" i="6"/>
  <c r="H36" i="6" s="1"/>
  <c r="N35" i="6"/>
  <c r="J35" i="6"/>
  <c r="L35" i="6" s="1"/>
  <c r="F35" i="6"/>
  <c r="H35" i="6" s="1"/>
  <c r="N34" i="6"/>
  <c r="J34" i="6"/>
  <c r="L34" i="6" s="1"/>
  <c r="F34" i="6"/>
  <c r="H34" i="6" s="1"/>
  <c r="N33" i="6"/>
  <c r="J33" i="6"/>
  <c r="L33" i="6" s="1"/>
  <c r="F33" i="6"/>
  <c r="H33" i="6" s="1"/>
  <c r="N32" i="6"/>
  <c r="J32" i="6"/>
  <c r="L32" i="6" s="1"/>
  <c r="F32" i="6"/>
  <c r="H32" i="6" s="1"/>
  <c r="N31" i="6"/>
  <c r="J31" i="6"/>
  <c r="L31" i="6" s="1"/>
  <c r="F31" i="6"/>
  <c r="H31" i="6" s="1"/>
  <c r="N30" i="6"/>
  <c r="J30" i="6"/>
  <c r="L30" i="6" s="1"/>
  <c r="F30" i="6"/>
  <c r="H30" i="6" s="1"/>
  <c r="N29" i="6"/>
  <c r="J29" i="6"/>
  <c r="L29" i="6" s="1"/>
  <c r="F29" i="6"/>
  <c r="H29" i="6" s="1"/>
  <c r="N28" i="6"/>
  <c r="J28" i="6"/>
  <c r="L28" i="6" s="1"/>
  <c r="F28" i="6"/>
  <c r="H28" i="6" s="1"/>
  <c r="N27" i="6"/>
  <c r="J27" i="6"/>
  <c r="L27" i="6" s="1"/>
  <c r="F27" i="6"/>
  <c r="H27" i="6" s="1"/>
  <c r="N26" i="6"/>
  <c r="J26" i="6"/>
  <c r="L26" i="6" s="1"/>
  <c r="F26" i="6"/>
  <c r="H26" i="6" s="1"/>
  <c r="N25" i="6"/>
  <c r="J25" i="6"/>
  <c r="L25" i="6" s="1"/>
  <c r="F25" i="6"/>
  <c r="H25" i="6" s="1"/>
  <c r="N24" i="6"/>
  <c r="J24" i="6"/>
  <c r="L24" i="6" s="1"/>
  <c r="F24" i="6"/>
  <c r="H24" i="6" s="1"/>
  <c r="N23" i="6"/>
  <c r="J23" i="6"/>
  <c r="L23" i="6" s="1"/>
  <c r="F23" i="6"/>
  <c r="H23" i="6" s="1"/>
  <c r="N22" i="6"/>
  <c r="J22" i="6"/>
  <c r="L22" i="6" s="1"/>
  <c r="F22" i="6"/>
  <c r="H22" i="6" s="1"/>
  <c r="N21" i="6"/>
  <c r="J21" i="6"/>
  <c r="L21" i="6" s="1"/>
  <c r="F21" i="6"/>
  <c r="H21" i="6" s="1"/>
  <c r="N20" i="6"/>
  <c r="J20" i="6"/>
  <c r="L20" i="6" s="1"/>
  <c r="F20" i="6"/>
  <c r="H20" i="6" s="1"/>
  <c r="N19" i="6"/>
  <c r="J19" i="6"/>
  <c r="L19" i="6" s="1"/>
  <c r="F19" i="6"/>
  <c r="H19" i="6" s="1"/>
  <c r="N18" i="6"/>
  <c r="J18" i="6"/>
  <c r="L18" i="6" s="1"/>
  <c r="F18" i="6"/>
  <c r="H18" i="6" s="1"/>
  <c r="N17" i="6"/>
  <c r="J17" i="6"/>
  <c r="L17" i="6" s="1"/>
  <c r="F17" i="6"/>
  <c r="H17" i="6" s="1"/>
  <c r="N16" i="6"/>
  <c r="J16" i="6"/>
  <c r="L16" i="6" s="1"/>
  <c r="F16" i="6"/>
  <c r="H16" i="6" s="1"/>
  <c r="J15" i="6"/>
  <c r="L15" i="6" s="1"/>
  <c r="F15" i="6"/>
  <c r="H15" i="6" s="1"/>
  <c r="N14" i="6"/>
  <c r="J14" i="6"/>
  <c r="L14" i="6" s="1"/>
  <c r="F14" i="6"/>
  <c r="H14" i="6" s="1"/>
  <c r="N13" i="6"/>
  <c r="J13" i="6"/>
  <c r="L13" i="6" s="1"/>
  <c r="F13" i="6"/>
  <c r="H13" i="6" s="1"/>
  <c r="N12" i="6"/>
  <c r="J12" i="6"/>
  <c r="L12" i="6" s="1"/>
  <c r="F12" i="6"/>
  <c r="H12" i="6" s="1"/>
  <c r="N11" i="6"/>
  <c r="J11" i="6"/>
  <c r="L11" i="6" s="1"/>
  <c r="F11" i="6"/>
  <c r="H11" i="6" s="1"/>
  <c r="N10" i="6"/>
  <c r="J10" i="6"/>
  <c r="L10" i="6" s="1"/>
  <c r="F10" i="6"/>
  <c r="H10" i="6" s="1"/>
  <c r="N9" i="6"/>
  <c r="J9" i="6"/>
  <c r="L9" i="6" s="1"/>
  <c r="F9" i="6"/>
  <c r="H9" i="6" s="1"/>
  <c r="N8" i="6"/>
  <c r="J8" i="6"/>
  <c r="L8" i="6" s="1"/>
  <c r="F8" i="6"/>
  <c r="H8" i="6" s="1"/>
  <c r="N7" i="6"/>
  <c r="J7" i="6"/>
  <c r="L7" i="6" s="1"/>
  <c r="F7" i="6"/>
  <c r="H7" i="6" s="1"/>
  <c r="N5" i="6"/>
  <c r="J5" i="6"/>
  <c r="L5" i="6" s="1"/>
  <c r="F5" i="6"/>
  <c r="H5" i="6" s="1"/>
  <c r="N4" i="6"/>
  <c r="J4" i="6"/>
  <c r="L4" i="6" s="1"/>
  <c r="F4" i="6"/>
  <c r="H4" i="6" s="1"/>
  <c r="BW46" i="14" l="1"/>
  <c r="BS46" i="14"/>
  <c r="CA46" i="14"/>
  <c r="BC46" i="14"/>
  <c r="CA61" i="14"/>
  <c r="BS61" i="14"/>
  <c r="BW61" i="14"/>
  <c r="BC61" i="14"/>
</calcChain>
</file>

<file path=xl/sharedStrings.xml><?xml version="1.0" encoding="utf-8"?>
<sst xmlns="http://schemas.openxmlformats.org/spreadsheetml/2006/main" count="1697" uniqueCount="387">
  <si>
    <t>GLD - Ambiant</t>
  </si>
  <si>
    <t>Produit</t>
  </si>
  <si>
    <t>Fact</t>
  </si>
  <si>
    <t>Stock (Unité)</t>
  </si>
  <si>
    <t>Conso (Unité)</t>
  </si>
  <si>
    <t>Cde (Carton)</t>
  </si>
  <si>
    <t>Total (Unité)</t>
  </si>
  <si>
    <t>CRN</t>
  </si>
  <si>
    <t>KG</t>
  </si>
  <si>
    <t>PCE</t>
  </si>
  <si>
    <r>
      <t xml:space="preserve">BIB BIANCO CHARDONNAY VINO DITALIA, 10L </t>
    </r>
    <r>
      <rPr>
        <sz val="9"/>
        <color rgb="FFFF0000"/>
        <rFont val="Arial"/>
        <family val="2"/>
      </rPr>
      <t>LITRE</t>
    </r>
  </si>
  <si>
    <r>
      <t xml:space="preserve">BIB ROSATO IGT PUGLIA, 10L </t>
    </r>
    <r>
      <rPr>
        <sz val="9"/>
        <color rgb="FFFF0000"/>
        <rFont val="Arial"/>
        <family val="2"/>
      </rPr>
      <t>LITRE</t>
    </r>
  </si>
  <si>
    <r>
      <t xml:space="preserve">BIB ROSSO MERLOT VINO DITALIA, 10L </t>
    </r>
    <r>
      <rPr>
        <sz val="9"/>
        <color rgb="FFFF0000"/>
        <rFont val="Arial"/>
        <family val="2"/>
      </rPr>
      <t>LITRE</t>
    </r>
  </si>
  <si>
    <r>
      <t>CAFE GRAIN ARABICA BRASILE RFA,</t>
    </r>
    <r>
      <rPr>
        <sz val="9"/>
        <color rgb="FFFF0000"/>
        <rFont val="Arial"/>
        <family val="2"/>
      </rPr>
      <t xml:space="preserve"> Paq </t>
    </r>
    <r>
      <rPr>
        <sz val="9"/>
        <rFont val="Arial"/>
        <family val="2"/>
      </rPr>
      <t>1KG</t>
    </r>
  </si>
  <si>
    <r>
      <t xml:space="preserve">CAFE MOULU DECAFEINE (LAV), </t>
    </r>
    <r>
      <rPr>
        <sz val="9"/>
        <color rgb="FFFF0000"/>
        <rFont val="Arial"/>
        <family val="2"/>
      </rPr>
      <t>Paq</t>
    </r>
    <r>
      <rPr>
        <sz val="9"/>
        <rFont val="Arial"/>
        <family val="2"/>
      </rPr>
      <t xml:space="preserve"> 250G</t>
    </r>
  </si>
  <si>
    <r>
      <t xml:space="preserve">CASSONNADE, </t>
    </r>
    <r>
      <rPr>
        <sz val="9"/>
        <color rgb="FFFF0000"/>
        <rFont val="Arial"/>
        <family val="2"/>
      </rPr>
      <t>SACHET</t>
    </r>
    <r>
      <rPr>
        <sz val="9"/>
        <rFont val="Arial"/>
        <family val="2"/>
      </rPr>
      <t xml:space="preserve"> 1KG</t>
    </r>
  </si>
  <si>
    <r>
      <t xml:space="preserve">CHARDONNAY BIO GORGO, LA </t>
    </r>
    <r>
      <rPr>
        <sz val="9"/>
        <color rgb="FFFF0000"/>
        <rFont val="Arial"/>
        <family val="2"/>
      </rPr>
      <t>PCE</t>
    </r>
  </si>
  <si>
    <t>CONCENTRE RANTCHO LIME, BTLE 1L</t>
  </si>
  <si>
    <r>
      <t>CROUSTILLE CARAMEL DA, L'</t>
    </r>
    <r>
      <rPr>
        <sz val="9"/>
        <color rgb="FFFF0000"/>
        <rFont val="Arial"/>
        <family val="2"/>
      </rPr>
      <t>UNITE</t>
    </r>
  </si>
  <si>
    <r>
      <t xml:space="preserve">CUIRE ET ROTIR HUILE TOURNESOL, </t>
    </r>
    <r>
      <rPr>
        <sz val="9"/>
        <color rgb="FFFF0000"/>
        <rFont val="Arial"/>
        <family val="2"/>
      </rPr>
      <t>BTLE</t>
    </r>
    <r>
      <rPr>
        <sz val="9"/>
        <rFont val="Arial"/>
        <family val="2"/>
      </rPr>
      <t xml:space="preserve"> 1L</t>
    </r>
  </si>
  <si>
    <r>
      <t xml:space="preserve">GRILLO SICILIA ROCENO 75CL 2022, </t>
    </r>
    <r>
      <rPr>
        <sz val="9"/>
        <color rgb="FFFF0000"/>
        <rFont val="Arial"/>
        <family val="2"/>
      </rPr>
      <t>PCE</t>
    </r>
  </si>
  <si>
    <r>
      <t>HUILE OLIVE VIERGE,</t>
    </r>
    <r>
      <rPr>
        <sz val="9"/>
        <color rgb="FFFF0000"/>
        <rFont val="Arial"/>
        <family val="2"/>
      </rPr>
      <t xml:space="preserve"> BTLE</t>
    </r>
    <r>
      <rPr>
        <sz val="9"/>
        <rFont val="Arial"/>
        <family val="2"/>
      </rPr>
      <t xml:space="preserve"> 1L</t>
    </r>
  </si>
  <si>
    <r>
      <t xml:space="preserve">HUILE PIMENTEE, </t>
    </r>
    <r>
      <rPr>
        <sz val="9"/>
        <color rgb="FFFF0000"/>
        <rFont val="Arial"/>
        <family val="2"/>
      </rPr>
      <t>STICK</t>
    </r>
    <r>
      <rPr>
        <sz val="9"/>
        <rFont val="Arial"/>
        <family val="2"/>
      </rPr>
      <t xml:space="preserve"> 4 ML</t>
    </r>
  </si>
  <si>
    <r>
      <t xml:space="preserve">INFUSION VERVEINE BIO, Bte 40 </t>
    </r>
    <r>
      <rPr>
        <sz val="9"/>
        <color rgb="FFFF0000"/>
        <rFont val="Arial"/>
        <family val="2"/>
      </rPr>
      <t>sachets</t>
    </r>
  </si>
  <si>
    <r>
      <t xml:space="preserve">LAMBRUSCO (Rouge) 75CL, La </t>
    </r>
    <r>
      <rPr>
        <sz val="9"/>
        <color rgb="FFFF0000"/>
        <rFont val="Arial"/>
        <family val="2"/>
      </rPr>
      <t>Btle</t>
    </r>
  </si>
  <si>
    <r>
      <t xml:space="preserve">LIMONCELLO 25° (LA RIVIERA), </t>
    </r>
    <r>
      <rPr>
        <sz val="9"/>
        <color rgb="FFFF0000"/>
        <rFont val="Arial"/>
        <family val="2"/>
      </rPr>
      <t xml:space="preserve">Btle </t>
    </r>
    <r>
      <rPr>
        <sz val="9"/>
        <rFont val="Arial"/>
        <family val="2"/>
      </rPr>
      <t>150CL</t>
    </r>
  </si>
  <si>
    <r>
      <t xml:space="preserve">LINGUINE, </t>
    </r>
    <r>
      <rPr>
        <sz val="9"/>
        <color rgb="FFFF0000"/>
        <rFont val="Arial"/>
        <family val="2"/>
      </rPr>
      <t xml:space="preserve">Sachet </t>
    </r>
    <r>
      <rPr>
        <sz val="9"/>
        <rFont val="Arial"/>
        <family val="2"/>
      </rPr>
      <t>1KG</t>
    </r>
  </si>
  <si>
    <r>
      <t xml:space="preserve">LIQUEUR CAFE 23° (FILIPETTI), </t>
    </r>
    <r>
      <rPr>
        <sz val="9"/>
        <color rgb="FFFF0000"/>
        <rFont val="Arial"/>
        <family val="2"/>
      </rPr>
      <t xml:space="preserve">Btle </t>
    </r>
    <r>
      <rPr>
        <sz val="9"/>
        <rFont val="Arial"/>
        <family val="2"/>
      </rPr>
      <t>70CL</t>
    </r>
  </si>
  <si>
    <r>
      <t>MALVASIA BIANCA PUGLIA IGP 2023 75CL</t>
    </r>
    <r>
      <rPr>
        <sz val="9"/>
        <color rgb="FFFF0000"/>
        <rFont val="Arial"/>
        <family val="2"/>
      </rPr>
      <t>,PCE</t>
    </r>
  </si>
  <si>
    <r>
      <t xml:space="preserve">MIX FARINE PIZZA DEL ARTE, </t>
    </r>
    <r>
      <rPr>
        <sz val="9"/>
        <color rgb="FFFF0000"/>
        <rFont val="Arial"/>
        <family val="2"/>
      </rPr>
      <t>Sac</t>
    </r>
    <r>
      <rPr>
        <sz val="9"/>
        <rFont val="Arial"/>
        <family val="2"/>
      </rPr>
      <t xml:space="preserve"> 10KG .S</t>
    </r>
  </si>
  <si>
    <r>
      <t>MONTEPULCIANO D'ABRUZZO DOC 75CL .23,</t>
    </r>
    <r>
      <rPr>
        <sz val="9"/>
        <color rgb="FFFF0000"/>
        <rFont val="Arial"/>
        <family val="2"/>
      </rPr>
      <t xml:space="preserve"> PC</t>
    </r>
  </si>
  <si>
    <r>
      <t xml:space="preserve">MOSCATO D'ASTI (Blanc) 75CL 2021, </t>
    </r>
    <r>
      <rPr>
        <sz val="9"/>
        <color rgb="FFFF0000"/>
        <rFont val="Arial"/>
        <family val="2"/>
      </rPr>
      <t>Pce</t>
    </r>
  </si>
  <si>
    <r>
      <t xml:space="preserve">NERELLO MASCALESE ROSATO 2022, LA </t>
    </r>
    <r>
      <rPr>
        <sz val="9"/>
        <color rgb="FFFF0000"/>
        <rFont val="Arial"/>
        <family val="2"/>
      </rPr>
      <t>PCE</t>
    </r>
  </si>
  <si>
    <r>
      <t>NUTELLA, Pot de 3</t>
    </r>
    <r>
      <rPr>
        <sz val="9"/>
        <color rgb="FFFF0000"/>
        <rFont val="Arial"/>
        <family val="2"/>
      </rPr>
      <t>KG</t>
    </r>
  </si>
  <si>
    <r>
      <t xml:space="preserve">ORIGAN, </t>
    </r>
    <r>
      <rPr>
        <sz val="9"/>
        <color rgb="FFFF0000"/>
        <rFont val="Arial"/>
        <family val="2"/>
      </rPr>
      <t xml:space="preserve">SACHET </t>
    </r>
    <r>
      <rPr>
        <sz val="9"/>
        <rFont val="Arial"/>
        <family val="2"/>
      </rPr>
      <t>500G</t>
    </r>
  </si>
  <si>
    <r>
      <t>PEPITES CHOCOLAT, Vrac 10</t>
    </r>
    <r>
      <rPr>
        <sz val="9"/>
        <color rgb="FFFF0000"/>
        <rFont val="Arial"/>
        <family val="2"/>
      </rPr>
      <t>KG</t>
    </r>
  </si>
  <si>
    <r>
      <t>PINOT GRIGIO LA DI MOTTE 75CL 2023,</t>
    </r>
    <r>
      <rPr>
        <sz val="9"/>
        <color rgb="FFFF0000"/>
        <rFont val="Arial"/>
        <family val="2"/>
      </rPr>
      <t xml:space="preserve"> PCE</t>
    </r>
  </si>
  <si>
    <r>
      <t xml:space="preserve">PRIMITIVO PUGLIA HYRIA PIETRACUPA,LA </t>
    </r>
    <r>
      <rPr>
        <sz val="9"/>
        <color rgb="FFFF0000"/>
        <rFont val="Arial"/>
        <family val="2"/>
      </rPr>
      <t>PCE</t>
    </r>
  </si>
  <si>
    <r>
      <t xml:space="preserve">PROSECCO PERLINO EXTRA DRY, </t>
    </r>
    <r>
      <rPr>
        <sz val="9"/>
        <color rgb="FFFF0000"/>
        <rFont val="Arial"/>
        <family val="2"/>
      </rPr>
      <t>BTLE</t>
    </r>
    <r>
      <rPr>
        <sz val="9"/>
        <rFont val="Arial"/>
        <family val="2"/>
      </rPr>
      <t xml:space="preserve"> 0.75L</t>
    </r>
  </si>
  <si>
    <r>
      <t xml:space="preserve">ROCENO NERO D'AVOLA, LA </t>
    </r>
    <r>
      <rPr>
        <sz val="9"/>
        <color rgb="FFFF0000"/>
        <rFont val="Arial"/>
        <family val="2"/>
      </rPr>
      <t>PCE</t>
    </r>
  </si>
  <si>
    <r>
      <t xml:space="preserve">SANGIOVESE PUGLIA IGP 2021 75CL, </t>
    </r>
    <r>
      <rPr>
        <sz val="9"/>
        <color rgb="FFFF0000"/>
        <rFont val="Arial"/>
        <family val="2"/>
      </rPr>
      <t>PCE</t>
    </r>
  </si>
  <si>
    <r>
      <t xml:space="preserve">SAUCE CHAMPI ET TRUFFE, </t>
    </r>
    <r>
      <rPr>
        <sz val="9"/>
        <color rgb="FFFF0000"/>
        <rFont val="Arial"/>
        <family val="2"/>
      </rPr>
      <t>BTE</t>
    </r>
    <r>
      <rPr>
        <sz val="9"/>
        <rFont val="Arial"/>
        <family val="2"/>
      </rPr>
      <t xml:space="preserve"> 800G</t>
    </r>
  </si>
  <si>
    <r>
      <t xml:space="preserve">SAUCE PIQUANTE FIRELLI, </t>
    </r>
    <r>
      <rPr>
        <sz val="9"/>
        <color rgb="FFFF0000"/>
        <rFont val="Arial"/>
        <family val="2"/>
      </rPr>
      <t xml:space="preserve">BTLE </t>
    </r>
    <r>
      <rPr>
        <sz val="9"/>
        <rFont val="Arial"/>
        <family val="2"/>
      </rPr>
      <t>155G/148ML</t>
    </r>
  </si>
  <si>
    <r>
      <t>SAUCE TOMATES PIZZA,</t>
    </r>
    <r>
      <rPr>
        <sz val="9"/>
        <color rgb="FFFF0000"/>
        <rFont val="Arial"/>
        <family val="2"/>
      </rPr>
      <t xml:space="preserve"> Poche</t>
    </r>
    <r>
      <rPr>
        <sz val="9"/>
        <rFont val="Arial"/>
        <family val="2"/>
      </rPr>
      <t xml:space="preserve"> 5.5KG</t>
    </r>
  </si>
  <si>
    <r>
      <t xml:space="preserve">SEL FIN, </t>
    </r>
    <r>
      <rPr>
        <sz val="9"/>
        <color rgb="FFFF0000"/>
        <rFont val="Arial"/>
        <family val="2"/>
      </rPr>
      <t xml:space="preserve">Sach </t>
    </r>
    <r>
      <rPr>
        <sz val="9"/>
        <rFont val="Arial"/>
        <family val="2"/>
      </rPr>
      <t>de 1KG</t>
    </r>
  </si>
  <si>
    <r>
      <t>SEL GROS (LA TABLEE),</t>
    </r>
    <r>
      <rPr>
        <sz val="9"/>
        <color rgb="FFFF0000"/>
        <rFont val="Arial"/>
        <family val="2"/>
      </rPr>
      <t xml:space="preserve"> Sachet</t>
    </r>
    <r>
      <rPr>
        <sz val="9"/>
        <rFont val="Arial"/>
        <family val="2"/>
      </rPr>
      <t xml:space="preserve"> 1KG</t>
    </r>
  </si>
  <si>
    <r>
      <t xml:space="preserve">SEMOULE, </t>
    </r>
    <r>
      <rPr>
        <sz val="9"/>
        <color rgb="FFFF0000"/>
        <rFont val="Arial"/>
        <family val="2"/>
      </rPr>
      <t>SAC</t>
    </r>
    <r>
      <rPr>
        <sz val="9"/>
        <rFont val="Arial"/>
        <family val="2"/>
      </rPr>
      <t xml:space="preserve"> 5KG</t>
    </r>
  </si>
  <si>
    <r>
      <t xml:space="preserve">SIROP DE RHUM (MONIN) 70CL, La </t>
    </r>
    <r>
      <rPr>
        <sz val="9"/>
        <color rgb="FFFF0000"/>
        <rFont val="Arial"/>
        <family val="2"/>
      </rPr>
      <t>Btle</t>
    </r>
  </si>
  <si>
    <r>
      <t xml:space="preserve">SIROP NOISETTE GRILLEE (MONIN), PET 1L </t>
    </r>
    <r>
      <rPr>
        <sz val="9"/>
        <color rgb="FFFF0000"/>
        <rFont val="Arial"/>
        <family val="2"/>
      </rPr>
      <t>Btle</t>
    </r>
  </si>
  <si>
    <r>
      <t>SUCRE BUCHETTE DA 3G, L'</t>
    </r>
    <r>
      <rPr>
        <sz val="9"/>
        <color rgb="FFFF0000"/>
        <rFont val="Arial"/>
        <family val="2"/>
      </rPr>
      <t>UNITÉ</t>
    </r>
  </si>
  <si>
    <r>
      <t xml:space="preserve">THE EARL GREY, Bte 40 </t>
    </r>
    <r>
      <rPr>
        <sz val="9"/>
        <color rgb="FFFF0000"/>
        <rFont val="Arial"/>
        <family val="2"/>
      </rPr>
      <t>sachets</t>
    </r>
  </si>
  <si>
    <r>
      <t xml:space="preserve">THE FRUITS ROUGES, Bte de 40 </t>
    </r>
    <r>
      <rPr>
        <sz val="9"/>
        <color rgb="FFFF0000"/>
        <rFont val="Arial"/>
        <family val="2"/>
      </rPr>
      <t>sachets</t>
    </r>
  </si>
  <si>
    <r>
      <t xml:space="preserve">THE VERT MENTHE BIO, Bte de 40 </t>
    </r>
    <r>
      <rPr>
        <sz val="9"/>
        <color rgb="FFFF0000"/>
        <rFont val="Arial"/>
        <family val="2"/>
      </rPr>
      <t>sachets</t>
    </r>
  </si>
  <si>
    <r>
      <rPr>
        <u/>
        <sz val="9"/>
        <rFont val="Arial"/>
        <family val="2"/>
      </rPr>
      <t>Secteur</t>
    </r>
    <r>
      <rPr>
        <sz val="9"/>
        <rFont val="Arial"/>
        <family val="2"/>
      </rPr>
      <t xml:space="preserve">             GLD - Surgelés</t>
    </r>
  </si>
  <si>
    <r>
      <t xml:space="preserve">ANNEAU CALMAR 60 UP 300/500, </t>
    </r>
    <r>
      <rPr>
        <sz val="9"/>
        <color rgb="FFFF0000"/>
        <rFont val="Arial"/>
        <family val="2"/>
      </rPr>
      <t>SAC</t>
    </r>
    <r>
      <rPr>
        <sz val="9"/>
        <rFont val="Arial"/>
        <family val="2"/>
      </rPr>
      <t xml:space="preserve"> 1KG</t>
    </r>
  </si>
  <si>
    <r>
      <t xml:space="preserve">APPAREIL TIRAMISU MARSALA, P. ss d. 750G </t>
    </r>
    <r>
      <rPr>
        <sz val="9"/>
        <color rgb="FFFF0000"/>
        <rFont val="Arial"/>
        <family val="2"/>
      </rPr>
      <t>POCHE</t>
    </r>
  </si>
  <si>
    <t>AUBERGINES GRILLEES MORCEAUX, SACHET 1 KG</t>
  </si>
  <si>
    <r>
      <t xml:space="preserve">BAGUETTE RUSTIQUE 280G (Parisienne), </t>
    </r>
    <r>
      <rPr>
        <sz val="9"/>
        <color rgb="FFFF0000"/>
        <rFont val="Arial"/>
        <family val="2"/>
      </rPr>
      <t>Pce</t>
    </r>
  </si>
  <si>
    <r>
      <t xml:space="preserve">BASILIC Surg, </t>
    </r>
    <r>
      <rPr>
        <sz val="9"/>
        <color rgb="FFFF0000"/>
        <rFont val="Arial"/>
        <family val="2"/>
      </rPr>
      <t xml:space="preserve">Sachet </t>
    </r>
    <r>
      <rPr>
        <sz val="9"/>
        <rFont val="Arial"/>
        <family val="2"/>
      </rPr>
      <t>250G</t>
    </r>
  </si>
  <si>
    <r>
      <t xml:space="preserve">BISCUIT CHARLOTTE SPOT ROND 7.5G, </t>
    </r>
    <r>
      <rPr>
        <sz val="9"/>
        <color rgb="FFFF0000"/>
        <rFont val="Arial"/>
        <family val="2"/>
      </rPr>
      <t>Pce</t>
    </r>
  </si>
  <si>
    <t>BURRATA SURGELEE, POT 125 GR</t>
  </si>
  <si>
    <r>
      <t xml:space="preserve">CARPACCIO DE BŒUF VBF D20 50G, 15 ASS. </t>
    </r>
    <r>
      <rPr>
        <sz val="9"/>
        <color rgb="FFFF0000"/>
        <rFont val="Arial"/>
        <family val="2"/>
      </rPr>
      <t>PIECE</t>
    </r>
  </si>
  <si>
    <r>
      <t>CHEVRE AFFINE RONDELLE,Sach 5</t>
    </r>
    <r>
      <rPr>
        <sz val="9"/>
        <color rgb="FFFF0000"/>
        <rFont val="Arial"/>
        <family val="2"/>
      </rPr>
      <t xml:space="preserve">KG </t>
    </r>
    <r>
      <rPr>
        <sz val="9"/>
        <rFont val="Arial"/>
        <family val="2"/>
      </rPr>
      <t>D55MM</t>
    </r>
  </si>
  <si>
    <r>
      <t>CHOU CRUMBLE 8G, L'</t>
    </r>
    <r>
      <rPr>
        <sz val="9"/>
        <color rgb="FFFF0000"/>
        <rFont val="Arial"/>
        <family val="2"/>
      </rPr>
      <t>UNITÉ</t>
    </r>
  </si>
  <si>
    <r>
      <t>COULIS DE FRUITS ROUGES SURG,</t>
    </r>
    <r>
      <rPr>
        <sz val="9"/>
        <color rgb="FFFF0000"/>
        <rFont val="Arial"/>
        <family val="2"/>
      </rPr>
      <t xml:space="preserve"> BIDON</t>
    </r>
    <r>
      <rPr>
        <sz val="9"/>
        <rFont val="Arial"/>
        <family val="2"/>
      </rPr>
      <t xml:space="preserve"> 500G</t>
    </r>
  </si>
  <si>
    <r>
      <t>CREVETTE DECORTIQ CRUE 41/50, SAC 1</t>
    </r>
    <r>
      <rPr>
        <sz val="9"/>
        <color rgb="FFFF0000"/>
        <rFont val="Arial"/>
        <family val="2"/>
      </rPr>
      <t>KG</t>
    </r>
  </si>
  <si>
    <r>
      <t xml:space="preserve">CRUMBLE SALE EMMENTAL, </t>
    </r>
    <r>
      <rPr>
        <sz val="9"/>
        <color rgb="FFFF0000"/>
        <rFont val="Arial"/>
        <family val="2"/>
      </rPr>
      <t>POCHE</t>
    </r>
    <r>
      <rPr>
        <sz val="9"/>
        <rFont val="Arial"/>
        <family val="2"/>
      </rPr>
      <t xml:space="preserve"> 400G</t>
    </r>
  </si>
  <si>
    <r>
      <rPr>
        <sz val="9"/>
        <rFont val="Arial"/>
        <family val="2"/>
      </rPr>
      <t xml:space="preserve">ECRASE DE POMME DE TERRE IQF, SACH </t>
    </r>
    <r>
      <rPr>
        <sz val="9"/>
        <color rgb="FFFF0000"/>
        <rFont val="Arial"/>
        <family val="2"/>
      </rPr>
      <t>Kg</t>
    </r>
  </si>
  <si>
    <r>
      <t>ESCALOPE DE POULET PANEE IQF, Vrac 4</t>
    </r>
    <r>
      <rPr>
        <sz val="9"/>
        <color rgb="FFFF0000"/>
        <rFont val="Arial"/>
        <family val="2"/>
      </rPr>
      <t>KG</t>
    </r>
  </si>
  <si>
    <r>
      <t>ESCALOPE VEAU MILANAISE (Surg), 5</t>
    </r>
    <r>
      <rPr>
        <sz val="9"/>
        <color rgb="FFFF0000"/>
        <rFont val="Arial"/>
        <family val="2"/>
      </rPr>
      <t>KG</t>
    </r>
  </si>
  <si>
    <r>
      <t>FOCACCIA TRADITIONAL 1.2KG, L</t>
    </r>
    <r>
      <rPr>
        <sz val="9"/>
        <color rgb="FFFF0000"/>
        <rFont val="Arial"/>
        <family val="2"/>
      </rPr>
      <t>'unité</t>
    </r>
  </si>
  <si>
    <t>FONDANT AU CHOCOLAT 50-50 110G, L'UNITE</t>
  </si>
  <si>
    <r>
      <t>GIRASOLE AU SAUMON FUME, SACH 1</t>
    </r>
    <r>
      <rPr>
        <sz val="9"/>
        <color rgb="FFFF0000"/>
        <rFont val="Arial"/>
        <family val="2"/>
      </rPr>
      <t>KG</t>
    </r>
  </si>
  <si>
    <r>
      <t>GLACE CARAMEL BEUR SALE</t>
    </r>
    <r>
      <rPr>
        <sz val="9"/>
        <color rgb="FFFF0000"/>
        <rFont val="Arial"/>
        <family val="2"/>
      </rPr>
      <t xml:space="preserve">,BC </t>
    </r>
    <r>
      <rPr>
        <sz val="9"/>
        <color rgb="FF000000"/>
        <rFont val="Arial"/>
        <family val="2"/>
      </rPr>
      <t>2.5L (1.25KG)</t>
    </r>
  </si>
  <si>
    <r>
      <t xml:space="preserve">GLACE CHOCOLAT, </t>
    </r>
    <r>
      <rPr>
        <sz val="9"/>
        <color rgb="FFFF0000"/>
        <rFont val="Arial"/>
        <family val="2"/>
      </rPr>
      <t>BAC</t>
    </r>
    <r>
      <rPr>
        <sz val="9"/>
        <color rgb="FF000000"/>
        <rFont val="Arial"/>
        <family val="2"/>
      </rPr>
      <t xml:space="preserve"> 2.5L (1.250KG)</t>
    </r>
  </si>
  <si>
    <r>
      <t xml:space="preserve">GLACE FAC PATE TARTI, </t>
    </r>
    <r>
      <rPr>
        <sz val="9"/>
        <color rgb="FFFF0000"/>
        <rFont val="Arial"/>
        <family val="2"/>
      </rPr>
      <t>Bac</t>
    </r>
    <r>
      <rPr>
        <sz val="9"/>
        <color rgb="FF000000"/>
        <rFont val="Arial"/>
        <family val="2"/>
      </rPr>
      <t xml:space="preserve"> 2.5L (1.250KG)</t>
    </r>
  </si>
  <si>
    <r>
      <t xml:space="preserve">GLACE NOISETTE PIEMON, </t>
    </r>
    <r>
      <rPr>
        <sz val="9"/>
        <color rgb="FFFF0000"/>
        <rFont val="Arial"/>
        <family val="2"/>
      </rPr>
      <t xml:space="preserve">Bac </t>
    </r>
    <r>
      <rPr>
        <sz val="9"/>
        <color rgb="FF000000"/>
        <rFont val="Arial"/>
        <family val="2"/>
      </rPr>
      <t>2.5L (1.25KG)</t>
    </r>
  </si>
  <si>
    <r>
      <t xml:space="preserve">GLACE PISTACHE SICILE, </t>
    </r>
    <r>
      <rPr>
        <sz val="9"/>
        <color rgb="FFFF0000"/>
        <rFont val="Arial"/>
        <family val="2"/>
      </rPr>
      <t xml:space="preserve">Bac </t>
    </r>
    <r>
      <rPr>
        <sz val="9"/>
        <color rgb="FF000000"/>
        <rFont val="Arial"/>
        <family val="2"/>
      </rPr>
      <t>2.5L (1.25KG)</t>
    </r>
  </si>
  <si>
    <r>
      <t xml:space="preserve">GLACE VANILLE MADAGAS, </t>
    </r>
    <r>
      <rPr>
        <sz val="9"/>
        <color rgb="FFFF0000"/>
        <rFont val="Arial"/>
        <family val="2"/>
      </rPr>
      <t>Bac</t>
    </r>
    <r>
      <rPr>
        <sz val="9"/>
        <color rgb="FF000000"/>
        <rFont val="Arial"/>
        <family val="2"/>
      </rPr>
      <t xml:space="preserve"> 5 L (2.5 Kg)</t>
    </r>
  </si>
  <si>
    <r>
      <t>GNOCCHI POMMES DE TERRE, Sac de 1</t>
    </r>
    <r>
      <rPr>
        <sz val="9"/>
        <color rgb="FFFF0000"/>
        <rFont val="Arial"/>
        <family val="2"/>
      </rPr>
      <t xml:space="preserve"> Kg</t>
    </r>
  </si>
  <si>
    <r>
      <t xml:space="preserve">HUILE VIERGE TOMATE PISTACHE </t>
    </r>
    <r>
      <rPr>
        <sz val="9"/>
        <color rgb="FFFF0000"/>
        <rFont val="Arial"/>
        <family val="2"/>
      </rPr>
      <t xml:space="preserve">,BARQ </t>
    </r>
    <r>
      <rPr>
        <sz val="9"/>
        <color rgb="FF000000"/>
        <rFont val="Arial"/>
        <family val="2"/>
      </rPr>
      <t>500G</t>
    </r>
  </si>
  <si>
    <r>
      <t xml:space="preserve">MARINADE PERSILLADE (SURG), </t>
    </r>
    <r>
      <rPr>
        <sz val="9"/>
        <color rgb="FFFF0000"/>
        <rFont val="Arial"/>
        <family val="2"/>
      </rPr>
      <t xml:space="preserve">SACHET </t>
    </r>
    <r>
      <rPr>
        <sz val="9"/>
        <color rgb="FF000000"/>
        <rFont val="Arial"/>
        <family val="2"/>
      </rPr>
      <t>500G</t>
    </r>
  </si>
  <si>
    <t>MELANGE CHAMP ET CEPES CUISINES, SAC 300 GR</t>
  </si>
  <si>
    <r>
      <t>MELANGE DE LEGUMES,</t>
    </r>
    <r>
      <rPr>
        <sz val="9"/>
        <color rgb="FFFF0000"/>
        <rFont val="Arial"/>
        <family val="2"/>
      </rPr>
      <t xml:space="preserve"> SACH </t>
    </r>
    <r>
      <rPr>
        <sz val="9"/>
        <color rgb="FF000000"/>
        <rFont val="Arial"/>
        <family val="2"/>
      </rPr>
      <t>200G</t>
    </r>
  </si>
  <si>
    <r>
      <t>MERGUEZ PRECUITE TR 8MM, SACHET 1</t>
    </r>
    <r>
      <rPr>
        <sz val="9"/>
        <color rgb="FFFF0000"/>
        <rFont val="Arial"/>
        <family val="2"/>
      </rPr>
      <t>KG</t>
    </r>
  </si>
  <si>
    <r>
      <t xml:space="preserve">MINI BEIGNETS CHOCO NOISETTES 25G, VRAC </t>
    </r>
    <r>
      <rPr>
        <sz val="9"/>
        <color rgb="FFFF0000"/>
        <rFont val="Arial"/>
        <family val="2"/>
      </rPr>
      <t>Piece</t>
    </r>
  </si>
  <si>
    <r>
      <t>MINI FONDANT CHOCOLAT 30G, L'</t>
    </r>
    <r>
      <rPr>
        <sz val="9"/>
        <color rgb="FFFF0000"/>
        <rFont val="Arial"/>
        <family val="2"/>
      </rPr>
      <t>UNITE</t>
    </r>
  </si>
  <si>
    <r>
      <t>MOULE DECORTIQ CUITE 200/300, SAC 1</t>
    </r>
    <r>
      <rPr>
        <sz val="9"/>
        <color rgb="FFFF0000"/>
        <rFont val="Arial"/>
        <family val="2"/>
      </rPr>
      <t>KG</t>
    </r>
  </si>
  <si>
    <r>
      <t xml:space="preserve">MOUSSE MASCARPONE VANIL, P SS </t>
    </r>
    <r>
      <rPr>
        <sz val="9"/>
        <color rgb="FFFF0000"/>
        <rFont val="Arial"/>
        <family val="2"/>
      </rPr>
      <t xml:space="preserve">DOUIL </t>
    </r>
    <r>
      <rPr>
        <sz val="9"/>
        <color rgb="FF000000"/>
        <rFont val="Arial"/>
        <family val="2"/>
      </rPr>
      <t>800G</t>
    </r>
  </si>
  <si>
    <r>
      <t xml:space="preserve">OSSO BUCCO, </t>
    </r>
    <r>
      <rPr>
        <sz val="9"/>
        <color rgb="FFFF0000"/>
        <rFont val="Arial"/>
        <family val="2"/>
      </rPr>
      <t>POCHE</t>
    </r>
    <r>
      <rPr>
        <sz val="9"/>
        <color rgb="FF000000"/>
        <rFont val="Arial"/>
        <family val="2"/>
      </rPr>
      <t xml:space="preserve"> 390G</t>
    </r>
  </si>
  <si>
    <r>
      <t>PACCHERI MEZZI DI GRANO, SACHET 1</t>
    </r>
    <r>
      <rPr>
        <sz val="9"/>
        <color rgb="FFFF0000"/>
        <rFont val="Arial"/>
        <family val="2"/>
      </rPr>
      <t>KG</t>
    </r>
  </si>
  <si>
    <r>
      <t>PATES RIGATONI IQF, Sach 2.5</t>
    </r>
    <r>
      <rPr>
        <sz val="9"/>
        <color rgb="FFFF0000"/>
        <rFont val="Arial"/>
        <family val="2"/>
      </rPr>
      <t>KG</t>
    </r>
  </si>
  <si>
    <r>
      <t xml:space="preserve">PATON PIZZA 200G, LA </t>
    </r>
    <r>
      <rPr>
        <sz val="9"/>
        <color rgb="FFFF0000"/>
        <rFont val="Arial"/>
        <family val="2"/>
      </rPr>
      <t>PCE</t>
    </r>
  </si>
  <si>
    <r>
      <t>PAVE DE SAUMON CUIT 150G, L'</t>
    </r>
    <r>
      <rPr>
        <sz val="9"/>
        <color rgb="FFFF0000"/>
        <rFont val="Arial"/>
        <family val="2"/>
      </rPr>
      <t>UNITE</t>
    </r>
  </si>
  <si>
    <r>
      <t>PESTO VERT (ALLA GENOVESE),</t>
    </r>
    <r>
      <rPr>
        <sz val="9"/>
        <color rgb="FFFF0000"/>
        <rFont val="Arial"/>
        <family val="2"/>
      </rPr>
      <t xml:space="preserve"> SACH</t>
    </r>
    <r>
      <rPr>
        <sz val="9"/>
        <color rgb="FF000000"/>
        <rFont val="Arial"/>
        <family val="2"/>
      </rPr>
      <t xml:space="preserve"> 500G</t>
    </r>
  </si>
  <si>
    <r>
      <t>POIVRONS GRILLES LANIERES R&amp;J,SACH 2.5</t>
    </r>
    <r>
      <rPr>
        <sz val="9"/>
        <color rgb="FFFF0000"/>
        <rFont val="Arial"/>
        <family val="2"/>
      </rPr>
      <t>KG</t>
    </r>
  </si>
  <si>
    <r>
      <t xml:space="preserve">POULET ROTI EMINCE, SACH 2,5 </t>
    </r>
    <r>
      <rPr>
        <sz val="9"/>
        <color rgb="FFFF0000"/>
        <rFont val="Arial"/>
        <family val="2"/>
      </rPr>
      <t>KG</t>
    </r>
  </si>
  <si>
    <r>
      <t xml:space="preserve">RISOTTO SAFRAN, </t>
    </r>
    <r>
      <rPr>
        <sz val="9"/>
        <color rgb="FFFF0000"/>
        <rFont val="Arial"/>
        <family val="2"/>
      </rPr>
      <t>SACH</t>
    </r>
    <r>
      <rPr>
        <sz val="9"/>
        <color rgb="FF000000"/>
        <rFont val="Arial"/>
        <family val="2"/>
      </rPr>
      <t xml:space="preserve"> 350G</t>
    </r>
  </si>
  <si>
    <r>
      <t xml:space="preserve">SAUCE BOLOGNAISE (BOEUF OF), </t>
    </r>
    <r>
      <rPr>
        <sz val="9"/>
        <color rgb="FFFF0000"/>
        <rFont val="Arial"/>
        <family val="2"/>
      </rPr>
      <t>Sach</t>
    </r>
    <r>
      <rPr>
        <sz val="9"/>
        <color rgb="FF000000"/>
        <rFont val="Arial"/>
        <family val="2"/>
      </rPr>
      <t>. 500G</t>
    </r>
  </si>
  <si>
    <r>
      <t xml:space="preserve">SAUMON FUME TRANCHE, </t>
    </r>
    <r>
      <rPr>
        <sz val="9"/>
        <color rgb="FFFF0000"/>
        <rFont val="Arial"/>
        <family val="2"/>
      </rPr>
      <t>Plaque 510</t>
    </r>
    <r>
      <rPr>
        <sz val="9"/>
        <color rgb="FF000000"/>
        <rFont val="Arial"/>
        <family val="2"/>
      </rPr>
      <t>G</t>
    </r>
  </si>
  <si>
    <r>
      <t>SORBET CITRON SICILE,</t>
    </r>
    <r>
      <rPr>
        <sz val="9"/>
        <color rgb="FFFF0000"/>
        <rFont val="Arial"/>
        <family val="2"/>
      </rPr>
      <t xml:space="preserve"> Bac </t>
    </r>
    <r>
      <rPr>
        <sz val="9"/>
        <color rgb="FF000000"/>
        <rFont val="Arial"/>
        <family val="2"/>
      </rPr>
      <t>2.5L (1.375KG)</t>
    </r>
  </si>
  <si>
    <r>
      <t>SORBET FRAISE,</t>
    </r>
    <r>
      <rPr>
        <sz val="9"/>
        <color rgb="FFFF0000"/>
        <rFont val="Arial"/>
        <family val="2"/>
      </rPr>
      <t xml:space="preserve"> Bac </t>
    </r>
    <r>
      <rPr>
        <sz val="9"/>
        <color rgb="FF000000"/>
        <rFont val="Arial"/>
        <family val="2"/>
      </rPr>
      <t>2.5L (1.375 KG)</t>
    </r>
  </si>
  <si>
    <r>
      <t xml:space="preserve">SORBET FRAMBOISE, </t>
    </r>
    <r>
      <rPr>
        <sz val="9"/>
        <color rgb="FFFF0000"/>
        <rFont val="Arial"/>
        <family val="2"/>
      </rPr>
      <t>BAC 2</t>
    </r>
    <r>
      <rPr>
        <sz val="9"/>
        <color rgb="FF000000"/>
        <rFont val="Arial"/>
        <family val="2"/>
      </rPr>
      <t>.5L (1.354 KG)</t>
    </r>
  </si>
  <si>
    <t>AGIATEUR BOIS - BTE DE 1000</t>
  </si>
  <si>
    <t>BLOCS COMMANDE DUPLI (PAQUET DE 10)</t>
  </si>
  <si>
    <t>CONCENTRE DE THE VERT, 70CL</t>
  </si>
  <si>
    <t>VL</t>
  </si>
  <si>
    <t>ECOLAB - ASSURE POWDER 6X2.4 KG</t>
  </si>
  <si>
    <t>ECOLAB - CLEAR DRY CLASSIC 2X5L</t>
  </si>
  <si>
    <t>ECOLAB - DIP-IT PLUS 6X2.4KG</t>
  </si>
  <si>
    <t>ECOLAB - ECO-BAC CLASSIC 5L</t>
  </si>
  <si>
    <t>ECOLAB - EPICARE 2  - 12X500ML</t>
  </si>
  <si>
    <t>ECOLAB - EPICARE 5 AB - 500 ML</t>
  </si>
  <si>
    <t>ECOLAB - EPICARE DES - 6X500 ML</t>
  </si>
  <si>
    <t>ECOLAB - FREEZER CLEANER 2X5L</t>
  </si>
  <si>
    <t>ECOLAB - GREASELIFT RTU (EU) - 750 ML</t>
  </si>
  <si>
    <t>ECOLAB - KITCHENPRO DES 2L</t>
  </si>
  <si>
    <t>ECOLAB - KITCHENPRO DUO 2L</t>
  </si>
  <si>
    <t>ECOLAB - MIKROCHLOR LIQUID 5L</t>
  </si>
  <si>
    <t>ECOLAB - OASIS PRO ACID BATH 2L</t>
  </si>
  <si>
    <t>ECOLAB - PRO GLASS 2L</t>
  </si>
  <si>
    <t>ECOLAB - PANTASTIC PLUS - 6X1L</t>
  </si>
  <si>
    <t>ECOLAB - SMARTPOWER DETERGENT 1.36 KG</t>
  </si>
  <si>
    <t>ECOLAB - SMARTPOWER RINSE S 1.1 KG</t>
  </si>
  <si>
    <t>ECOLAB - SMARTPOWER ULTRA 3.1KG</t>
  </si>
  <si>
    <t>ECOLAB - SOLID MEGA4.5 KG</t>
  </si>
  <si>
    <t>ECOLAB - STRIP-A-WAY 2X5L</t>
  </si>
  <si>
    <t>ECOLAB - TRUMP HYDRO SPECIAL 12 KG</t>
  </si>
  <si>
    <t>GOMME MAGIQUE EFF TACHE (paq de 10)</t>
  </si>
  <si>
    <t>MANCHE A BALAI ALU EMBOUT A VIS
Page 5 / 19</t>
  </si>
  <si>
    <t>MASQUE MEDICAL (sachet de 20)</t>
  </si>
  <si>
    <t>NOISETTE 50% ( Pralin Grain), Sachet 1KG</t>
  </si>
  <si>
    <r>
      <t xml:space="preserve">SIROP DE MOJITO (MONIN), PET 1 L (D) </t>
    </r>
    <r>
      <rPr>
        <sz val="9"/>
        <color rgb="FFFF0000"/>
        <rFont val="Arial"/>
        <family val="2"/>
      </rPr>
      <t>Btle</t>
    </r>
  </si>
  <si>
    <t xml:space="preserve">SIROP HIBISCUS (MONIN), BTLE 70 CL </t>
  </si>
  <si>
    <r>
      <t>TRANCHES CITRON VERT SECHEES,</t>
    </r>
    <r>
      <rPr>
        <sz val="9"/>
        <color rgb="FFFF0000"/>
        <rFont val="Arial"/>
        <family val="2"/>
      </rPr>
      <t xml:space="preserve"> SACH</t>
    </r>
    <r>
      <rPr>
        <sz val="9"/>
        <rFont val="Arial"/>
        <family val="2"/>
      </rPr>
      <t xml:space="preserve"> 200G</t>
    </r>
  </si>
  <si>
    <r>
      <t xml:space="preserve">TRANCHES ORANGES SECHEES, </t>
    </r>
    <r>
      <rPr>
        <sz val="9"/>
        <color rgb="FFFF0000"/>
        <rFont val="Arial"/>
        <family val="2"/>
      </rPr>
      <t xml:space="preserve">SACH </t>
    </r>
    <r>
      <rPr>
        <sz val="9"/>
        <rFont val="Arial"/>
        <family val="2"/>
      </rPr>
      <t>200G</t>
    </r>
  </si>
  <si>
    <t>ABRASIF VERT (ROULEAU 3M)</t>
  </si>
  <si>
    <t>ALUMINIUM (Rouleau 200 m x 30 cm)</t>
  </si>
  <si>
    <t>BOBINE A DEVIDAGE CENTRAL (ESSUIE- TOUT)</t>
  </si>
  <si>
    <t>BOITE LUXIFOOD - 180x180 - 1200 ml</t>
  </si>
  <si>
    <t>COUTEAU BOIS 160MM</t>
  </si>
  <si>
    <t>COUV. LUXIFOOD RPET BC 1200</t>
  </si>
  <si>
    <t>COUVERCLE POT DOME DIAM 95 MM</t>
  </si>
  <si>
    <t>COUVERCLE POUR POT SAUCE 6CL</t>
  </si>
  <si>
    <t>CUILLERE BOIS 160MM</t>
  </si>
  <si>
    <t>DA BOITE CALZONE 30X16X8</t>
  </si>
  <si>
    <t>DA BOITE PIZZA 30X30</t>
  </si>
  <si>
    <t>DA POT PATES CARTON KRAFT 32 OZ</t>
  </si>
  <si>
    <t>DA SAC CABAS KRAFT BLC 26X20X32</t>
  </si>
  <si>
    <t>DA SERVIETTE BLANCHE 3 PLIS 39x39</t>
  </si>
  <si>
    <t>FILM ALIMENTAIRE 300M-45CM Bte Distrib.</t>
  </si>
  <si>
    <t>FOURCHETTE BOIS 160MM</t>
  </si>
  <si>
    <t>PAILLE CARTON KRAFT DIAM 7</t>
  </si>
  <si>
    <t>POT DESSERT DIAM 95 200C DELI205C</t>
  </si>
  <si>
    <t>CAMEMBERT BUFALA, MEULE 250G</t>
  </si>
  <si>
    <t>FROMAGE A PATE DURE ITALIEN RAPE, Poche 500G</t>
  </si>
  <si>
    <t>PANCETTA TRANCHEE, BARQUETTE 500G</t>
  </si>
  <si>
    <t>Frais</t>
  </si>
  <si>
    <t>Boissons</t>
  </si>
  <si>
    <t>Martini Blanc 1l</t>
  </si>
  <si>
    <t>Martini rouge 1l</t>
  </si>
  <si>
    <t>Ricard 1 l</t>
  </si>
  <si>
    <t>Rhum Bacardi 70 cl</t>
  </si>
  <si>
    <t>Gin Bombay Original</t>
  </si>
  <si>
    <t>Get 27 1L</t>
  </si>
  <si>
    <t>Whisky William Lawson 70 cl</t>
  </si>
  <si>
    <t>Grappa</t>
  </si>
  <si>
    <t>Italicus</t>
  </si>
  <si>
    <t>St Germain</t>
  </si>
  <si>
    <t>Apérol</t>
  </si>
  <si>
    <t>Amaretto</t>
  </si>
  <si>
    <t>Picon</t>
  </si>
  <si>
    <t>Crème de Cassis</t>
  </si>
  <si>
    <t>Crème de Mure</t>
  </si>
  <si>
    <t>Crème de Pêche</t>
  </si>
  <si>
    <t>Sirop de Fraise</t>
  </si>
  <si>
    <t>Sirop de Grenadine</t>
  </si>
  <si>
    <t>Sirop de Pêche</t>
  </si>
  <si>
    <t>Sirop de Citron</t>
  </si>
  <si>
    <t>Sirop de Menthe</t>
  </si>
  <si>
    <t>Sirop d'Orgeat</t>
  </si>
  <si>
    <t>Oasis Tropical Bte</t>
  </si>
  <si>
    <t>Colis</t>
  </si>
  <si>
    <t>Ice Tea Bte</t>
  </si>
  <si>
    <t>Orangina Bte</t>
  </si>
  <si>
    <t>Pepsi Bte</t>
  </si>
  <si>
    <t>Pepsi Max Bte</t>
  </si>
  <si>
    <t>Jus de Cranberry 1L</t>
  </si>
  <si>
    <t>Vittel Pet  33 cl</t>
  </si>
  <si>
    <t>Vittel Pet  50 cl</t>
  </si>
  <si>
    <t>San Pe Pet 50 cl</t>
  </si>
  <si>
    <t>Schweppes Tonic Pet 1 L</t>
  </si>
  <si>
    <t>Limonade Phenix Pet 1,5 L</t>
  </si>
  <si>
    <t>Perrier Pet 1 L</t>
  </si>
  <si>
    <t>Pepsi 33 cl VC</t>
  </si>
  <si>
    <t>Caisse</t>
  </si>
  <si>
    <t>Pepsi Max 33 cl VC</t>
  </si>
  <si>
    <t>Orangina 25 cl VC</t>
  </si>
  <si>
    <t>Schweppes Agrum 25 cl VC</t>
  </si>
  <si>
    <t>Schweppes Tonic 25 cl VC</t>
  </si>
  <si>
    <t>Granini Orange 25 cl VP</t>
  </si>
  <si>
    <t>Granini Pomme 25 cl VP</t>
  </si>
  <si>
    <t>Granini Ananas 25 cl VP</t>
  </si>
  <si>
    <t>Granini Tomate 25 cl VP</t>
  </si>
  <si>
    <t>Perrier 33 cl VC</t>
  </si>
  <si>
    <t>San Pe 1 l VC</t>
  </si>
  <si>
    <t>San Pe 50 cl VC</t>
  </si>
  <si>
    <t>Vittel 1 l VC</t>
  </si>
  <si>
    <t>Vittel 50 cl VC</t>
  </si>
  <si>
    <t>Moretti Fut 20 L</t>
  </si>
  <si>
    <t>Pce</t>
  </si>
  <si>
    <t>Affligem Fut 20 L</t>
  </si>
  <si>
    <t>Desperados 33 cl VC</t>
  </si>
  <si>
    <t>Tube CO2 10 kg</t>
  </si>
  <si>
    <t>MIX FRUIT CERISE, BTLE 1L</t>
  </si>
  <si>
    <t>Jus d'orange 1L</t>
  </si>
  <si>
    <t>Schweppes Agrum Pet 1,5L</t>
  </si>
  <si>
    <t>HUILE PIMENTEE DA, BIDON 5L</t>
  </si>
  <si>
    <t>Oasis Tropical 25 cl VC</t>
  </si>
  <si>
    <t>Cde (Caisse)</t>
  </si>
  <si>
    <t>Conso (unité)</t>
  </si>
  <si>
    <t>Stock (unité)</t>
  </si>
  <si>
    <t>Total Unité</t>
  </si>
  <si>
    <t>Btl</t>
  </si>
  <si>
    <t>MALICADO</t>
  </si>
  <si>
    <t xml:space="preserve"> V</t>
  </si>
  <si>
    <t>CHARLOTTES BLANCHES CLIP (PAQUET DE 100)</t>
  </si>
  <si>
    <t>Gallia Western IPA</t>
  </si>
  <si>
    <t>SAC VIENN KRAFT 12x5x21</t>
  </si>
  <si>
    <r>
      <t>MOUSSE MASCARPONE PISTACHE,</t>
    </r>
    <r>
      <rPr>
        <sz val="9"/>
        <color rgb="FFFF0000"/>
        <rFont val="Arial"/>
        <family val="2"/>
      </rPr>
      <t xml:space="preserve"> POCHE </t>
    </r>
    <r>
      <rPr>
        <sz val="9"/>
        <color rgb="FF000000"/>
        <rFont val="Arial"/>
        <family val="2"/>
      </rPr>
      <t>800G</t>
    </r>
  </si>
  <si>
    <t>Jus de Fraise 1 L</t>
  </si>
  <si>
    <t>Granini Abricot 25 cl VP</t>
  </si>
  <si>
    <t>Granini Fraise 25 cl VP</t>
  </si>
  <si>
    <t>Affligem Blanche Fut 8 L</t>
  </si>
  <si>
    <t>Vodka Eristoff 70 cl</t>
  </si>
  <si>
    <t>PISTACH HACHEE 3-8, sachet 1KG</t>
  </si>
  <si>
    <t xml:space="preserve">FOURRAGE FLUIDE PISTACHE 1KG </t>
  </si>
  <si>
    <t>PEPERONI BARQUETTE 500G</t>
  </si>
  <si>
    <t>RIZ AU LAIT POT 500G</t>
  </si>
  <si>
    <t>FLAN PISTACHE D22 CM PCE 1,49KG</t>
  </si>
  <si>
    <t>MERINGUE MOELLEUSE 22G PCE</t>
  </si>
  <si>
    <t>TAPENADE DE POIVRONS POCHE 200G</t>
  </si>
  <si>
    <t>TOMATE CERISE CONFITES SACHET 500G</t>
  </si>
  <si>
    <t>GRANTORTELLONE 3KG</t>
  </si>
  <si>
    <t>DRAGEEA DAIM</t>
  </si>
  <si>
    <t>bananes</t>
  </si>
  <si>
    <t xml:space="preserve">Main </t>
  </si>
  <si>
    <t xml:space="preserve">persil </t>
  </si>
  <si>
    <t>botte</t>
  </si>
  <si>
    <t xml:space="preserve">kg </t>
  </si>
  <si>
    <t xml:space="preserve">menthe </t>
  </si>
  <si>
    <t>sachet</t>
  </si>
  <si>
    <t>citron jaune (caisse)</t>
  </si>
  <si>
    <t>citrons verts (caisse)</t>
  </si>
  <si>
    <t>champignons de paris (caisse)</t>
  </si>
  <si>
    <t>oignons rouges (filet)</t>
  </si>
  <si>
    <t>basilic (sachet)</t>
  </si>
  <si>
    <t xml:space="preserve">sachet </t>
  </si>
  <si>
    <t>epinards (sachet 250g)</t>
  </si>
  <si>
    <t>roquettes (sachet 250g)</t>
  </si>
  <si>
    <t>douceurs (sachet 500g)</t>
  </si>
  <si>
    <t>ciboulette</t>
  </si>
  <si>
    <t>dimanche pour mardi</t>
  </si>
  <si>
    <t>CREME FRAICHE EPAISSE 30%, Seau de 5 L</t>
  </si>
  <si>
    <t>BRIOCHETTE CUITE (MARITOZO) 55 GR</t>
  </si>
  <si>
    <t>CREME PATISSIERE POUDRE</t>
  </si>
  <si>
    <t>KINDER BUENO x 30</t>
  </si>
  <si>
    <t>GLACE HAAGEN DAZS VANILLE POT 460ml</t>
  </si>
  <si>
    <t>GLACE HAAGEN DAZS PISTACHE POT 420ml</t>
  </si>
  <si>
    <t>GLACE HAAGEN DAZS CARAMEL SALE POT 460ml</t>
  </si>
  <si>
    <t>GLACE HAAGEN DAZS VANILLE POT 95ml</t>
  </si>
  <si>
    <t>GLACE HAAGEN DAZS CARAMEL SALE POT 95ml</t>
  </si>
  <si>
    <r>
      <t xml:space="preserve">LAIT ENTIER UHT, </t>
    </r>
    <r>
      <rPr>
        <sz val="9"/>
        <color rgb="FFFF0000"/>
        <rFont val="Arial"/>
        <family val="2"/>
      </rPr>
      <t>BRIQUE</t>
    </r>
    <r>
      <rPr>
        <sz val="9"/>
        <rFont val="Arial"/>
        <family val="2"/>
      </rPr>
      <t xml:space="preserve"> 1L</t>
    </r>
  </si>
  <si>
    <r>
      <t xml:space="preserve">ROSATO PUGLIA IGP 2025 75CL, </t>
    </r>
    <r>
      <rPr>
        <sz val="9"/>
        <color rgb="FFFF0000"/>
        <rFont val="Arial"/>
        <family val="2"/>
      </rPr>
      <t>PCE</t>
    </r>
  </si>
  <si>
    <t>TABASCO ROSSA</t>
  </si>
  <si>
    <t>Ice tea 25 cl VC</t>
  </si>
  <si>
    <t>Fruits et légumes</t>
  </si>
  <si>
    <t>caisse</t>
  </si>
  <si>
    <t>tomates cerises  (caisse 4 kg)</t>
  </si>
  <si>
    <t>PAPIER CUISSON BLANC 40x60CM</t>
  </si>
  <si>
    <t>PAPIER HYGIENIQUE MAXI JUMBO</t>
  </si>
  <si>
    <t>POT A SAUCE 6CL</t>
  </si>
  <si>
    <t>SAC PORTE BOUTEILLE KRAFT NOIR</t>
  </si>
  <si>
    <t>SAC RATION PATES (PEHD TRANSP - 23X31CM)</t>
  </si>
  <si>
    <t>SEL ADOUCISSEUR D'EAU (SEAU DE 25 KG)</t>
  </si>
  <si>
    <t>SERVIETTE BLANCHE 1 PLI 29X29 (Neutre)</t>
  </si>
  <si>
    <t>TIGES A BALLON</t>
  </si>
  <si>
    <r>
      <rPr>
        <u/>
        <sz val="9"/>
        <rFont val="Arial"/>
        <family val="2"/>
      </rPr>
      <t>Secteur</t>
    </r>
    <r>
      <rPr>
        <sz val="9"/>
        <rFont val="Arial"/>
        <family val="2"/>
      </rPr>
      <t xml:space="preserve">             GLD - Non Alimentair</t>
    </r>
  </si>
  <si>
    <t>JAVEL PASTILLES (Boite 150 pastilles)</t>
  </si>
  <si>
    <r>
      <rPr>
        <u/>
        <sz val="9"/>
        <rFont val="Arial"/>
        <family val="2"/>
      </rPr>
      <t>Secteur</t>
    </r>
    <r>
      <rPr>
        <sz val="9"/>
        <rFont val="Arial"/>
        <family val="2"/>
      </rPr>
      <t xml:space="preserve">             GLD - Economat/Epice</t>
    </r>
  </si>
  <si>
    <t>BALAI FROTTOIR DUR.LAVE-PONT.BROSSE SEUL</t>
  </si>
  <si>
    <t>BALAI SOUPLE 29 CM (brosse uniquement)</t>
  </si>
  <si>
    <t>CACAO PUR, Sachet 500G</t>
  </si>
  <si>
    <t>CHARIOT DOUBLE SEAU (10L+12L)</t>
  </si>
  <si>
    <t>COFFRET A THE Comptoirs Richard</t>
  </si>
  <si>
    <t>CONCENTRE DE GINGEMBRE Monin, Btle 70CL</t>
  </si>
  <si>
    <t>DA BALLONS IMPRIMES (1PCE=500 Ballons)</t>
  </si>
  <si>
    <t>EDULCORANT CARTE BLANCHE 0.5G, Bt 500 PC</t>
  </si>
  <si>
    <t>ENSEMBLE BALAYETTE ET SUPPORT WC</t>
  </si>
  <si>
    <t>FRANGE LAVAGE A PLAT (SACH DE 5)</t>
  </si>
  <si>
    <t>GANTS TPE NON POUDRE TAILLE L (BTE 200)</t>
  </si>
  <si>
    <t>GANTS TPE NON POUDRE TAILLE M (BTE 200)</t>
  </si>
  <si>
    <t>LANGUETTE TESTEUR HUILE (20 par tube)</t>
  </si>
  <si>
    <t>LAVETTES BLANCHES 40X38 (PAQT DE 50)</t>
  </si>
  <si>
    <t>LAVETTES JAUNES 40X38 (PAQT DE 50)</t>
  </si>
  <si>
    <t>LAVETTES VERTES 40X38 (PAQT DE 50)</t>
  </si>
  <si>
    <r>
      <rPr>
        <sz val="9"/>
        <rFont val="Arial"/>
        <family val="2"/>
      </rPr>
      <t>MANCHE A BALAI ALU EMBOUT A TROUS
Page 5 / 19</t>
    </r>
  </si>
  <si>
    <t>MIX FRUIT PECHE (Monin), Btle 1L (D)</t>
  </si>
  <si>
    <t>NOISETTE DEMI EMONDEE ITALIE, SACH 1KG</t>
  </si>
  <si>
    <t>POIVRE  NOIR GRAINS, Sachet 1KG</t>
  </si>
  <si>
    <t>POIVRE BLANC MOULU, Sachet de 1 Kg</t>
  </si>
  <si>
    <t>POMPE A SIROP 10ML pour PET 1L (Monin)</t>
  </si>
  <si>
    <t>POMPE A SIROP 10ML pr Btle 70CL (Monin)</t>
  </si>
  <si>
    <t>POMPE A SIROP pr Btle 1L (Guiot)</t>
  </si>
  <si>
    <t>POMPE MIX FRUIT ET SAUCES</t>
  </si>
  <si>
    <t>PURE DE MONIN FRUITS ROUGES, BTLE 70CL</t>
  </si>
  <si>
    <t>SUCRE DECOR, Paquet de 2,5 Kg</t>
  </si>
  <si>
    <t>SUPPORT BALAI SYSTEME LAVAGE A PLAT</t>
  </si>
  <si>
    <t>TABLIER JETABLE BLANC (Sach de 100)</t>
  </si>
  <si>
    <t>POCHE PATISS. JETABLE BLEUE (Paq de 100)</t>
  </si>
  <si>
    <t>TEST DE SURFACE (BOÎTE DE 50 STYLOS)</t>
  </si>
  <si>
    <r>
      <t xml:space="preserve">APPAREIL PANNA COTTA, </t>
    </r>
    <r>
      <rPr>
        <sz val="9"/>
        <color rgb="FFFF0000"/>
        <rFont val="Arial"/>
        <family val="2"/>
      </rPr>
      <t>BK</t>
    </r>
    <r>
      <rPr>
        <sz val="9"/>
        <rFont val="Arial"/>
        <family val="2"/>
      </rPr>
      <t xml:space="preserve"> 1L (1,05KG)</t>
    </r>
  </si>
  <si>
    <r>
      <t xml:space="preserve">BURRATA (FRAIS) 125G, LE </t>
    </r>
    <r>
      <rPr>
        <sz val="9"/>
        <color rgb="FFFF0000"/>
        <rFont val="Arial"/>
        <family val="2"/>
      </rPr>
      <t>POT</t>
    </r>
  </si>
  <si>
    <r>
      <rPr>
        <sz val="9"/>
        <rFont val="Arial"/>
        <family val="2"/>
      </rPr>
      <t xml:space="preserve">CONFITURE DE LAIT-CARAMELISE, </t>
    </r>
    <r>
      <rPr>
        <sz val="9"/>
        <color rgb="FFFF0000"/>
        <rFont val="Arial"/>
        <family val="2"/>
      </rPr>
      <t xml:space="preserve">B </t>
    </r>
    <r>
      <rPr>
        <sz val="9"/>
        <rFont val="Arial"/>
        <family val="2"/>
      </rPr>
      <t>1L</t>
    </r>
  </si>
  <si>
    <r>
      <t xml:space="preserve">COPPA TRANCHEE, </t>
    </r>
    <r>
      <rPr>
        <sz val="9"/>
        <color rgb="FFFF0000"/>
        <rFont val="Arial"/>
        <family val="2"/>
      </rPr>
      <t xml:space="preserve">BARQ </t>
    </r>
    <r>
      <rPr>
        <sz val="9"/>
        <rFont val="Arial"/>
        <family val="2"/>
      </rPr>
      <t>500G</t>
    </r>
  </si>
  <si>
    <t>CREME FRAICHE PRESIDENT PRO 15% MG , 5 L</t>
  </si>
  <si>
    <t>CREME SUCREE (DEBIC), BOMBE 700ML (716G)</t>
  </si>
  <si>
    <t>FROMAGE A PATE DURE COPEAUX, SAC 500G</t>
  </si>
  <si>
    <t>GORGONZOLA DOP DOUX, BTE 1/8 ENV 1.45KG</t>
  </si>
  <si>
    <t>JAMBON DE PARME AOP, BQ 20 TR (320G)</t>
  </si>
  <si>
    <t>JAMBON VPF CUIT TR DEMI-LUNE, 20X40G F</t>
  </si>
  <si>
    <t>LASAGNE BOLO VF FROMAGE RAPE,BARQ 3KG</t>
  </si>
  <si>
    <t xml:space="preserve">MOZZARELLA DI BUFALA CAMP  150G, (2X75G) </t>
  </si>
  <si>
    <t>MOZZARELLA RAPEE (FRAIS), BARQ 2 KG .A</t>
  </si>
  <si>
    <t>NDUJA (ITALIE), Barq 300 Gr</t>
  </si>
  <si>
    <t>OEUF FRAIS PETIT 43/53G SOL, PLAQUE 30</t>
  </si>
  <si>
    <t>RICOTTA 6%, POT 250G</t>
  </si>
  <si>
    <t>ROSTELLO JAMBON AUX HERBES, BARQ. 250G</t>
  </si>
  <si>
    <t>SAUCE CAESAR POUR SALADE, POCHE 500G</t>
  </si>
  <si>
    <t>SAUCE HUILE D'OLIVE CITRON, Sach 500G</t>
  </si>
  <si>
    <t>SCAMORZA FUME TR, Sach 360G (24x15G)</t>
  </si>
  <si>
    <t>SPECK IGP, Barq 300G</t>
  </si>
  <si>
    <t>SPIANATA PICCANTE (CALABRES), BARQ 250G</t>
  </si>
  <si>
    <t>THON LISTAO AU NATUREL, POCHE 1KG</t>
  </si>
  <si>
    <r>
      <rPr>
        <sz val="9"/>
        <rFont val="Arial"/>
        <family val="2"/>
      </rPr>
      <t>STRACCIATELLA DELIZIA, POT 150G</t>
    </r>
  </si>
  <si>
    <t xml:space="preserve">conditionnement </t>
  </si>
  <si>
    <t>BTE</t>
  </si>
  <si>
    <t>Unite quantitative</t>
  </si>
  <si>
    <t>Unité par   conditionnement</t>
  </si>
  <si>
    <t>BIDON</t>
  </si>
  <si>
    <t>SAC POUBELLE NOIR 130L (100 sacs)</t>
  </si>
  <si>
    <t>SAC POUBELLE 130L TRANSP/NEUTRE (200 Sacs)</t>
  </si>
  <si>
    <t>LAVETTE BIOTISS BLEUE 40X35 (8 PAQT DE 25)</t>
  </si>
  <si>
    <t>LAVETTES ROSES 40X38 (1 PAQT DE 50)</t>
  </si>
  <si>
    <t>BK</t>
  </si>
  <si>
    <t>BTL</t>
  </si>
  <si>
    <t>BARQ</t>
  </si>
  <si>
    <t>SEAU</t>
  </si>
  <si>
    <t>SACHET</t>
  </si>
  <si>
    <t>POCHE</t>
  </si>
  <si>
    <t>BIB</t>
  </si>
  <si>
    <t>BAC</t>
  </si>
  <si>
    <t>PLQ</t>
  </si>
  <si>
    <t>BOULETTE DE PORC, 5KG VRAC</t>
  </si>
  <si>
    <t>Moretti 0%</t>
  </si>
  <si>
    <t xml:space="preserve">melon </t>
  </si>
  <si>
    <t xml:space="preserve">pce </t>
  </si>
  <si>
    <t>tomate ronde CAL57/67</t>
  </si>
  <si>
    <r>
      <t xml:space="preserve">COMPOTE POMMES charles et alice BIO 90G, </t>
    </r>
    <r>
      <rPr>
        <sz val="9"/>
        <color rgb="FFFF0000"/>
        <rFont val="Arial"/>
        <family val="2"/>
      </rPr>
      <t>Pce</t>
    </r>
  </si>
  <si>
    <r>
      <t xml:space="preserve">YAOURT FRAISE super brasse 80G, </t>
    </r>
    <r>
      <rPr>
        <sz val="9"/>
        <color rgb="FFFF0000"/>
        <rFont val="Arial"/>
        <family val="2"/>
      </rPr>
      <t>Pce</t>
    </r>
  </si>
  <si>
    <t>Dimanche pour Mardi</t>
  </si>
  <si>
    <t xml:space="preserve">Mercredi pour Vendredi </t>
  </si>
  <si>
    <t>01/072026</t>
  </si>
  <si>
    <t>Sorbet bâtonnet Oasis Sofuzz Rocket</t>
  </si>
  <si>
    <t>FRAMBOISE SURGELEE SACH 1KG</t>
  </si>
  <si>
    <t>CREME BALSAMIQUE</t>
  </si>
  <si>
    <t xml:space="preserve">marsala amande </t>
  </si>
  <si>
    <t xml:space="preserve"> </t>
  </si>
  <si>
    <t>sucrines (sachet 3 sucrine)</t>
  </si>
  <si>
    <r>
      <t xml:space="preserve">MIEL DE FLEURS LIQUIDE, SQUEEZER 500G </t>
    </r>
    <r>
      <rPr>
        <sz val="9"/>
        <color rgb="FFFF0000"/>
        <rFont val="Arial"/>
        <family val="2"/>
      </rPr>
      <t>Pot</t>
    </r>
  </si>
  <si>
    <t xml:space="preserve">SABLE PISTACHE </t>
  </si>
  <si>
    <t>SAUTE VOLAILLES A LA TOSCANE POCHE 300G</t>
  </si>
  <si>
    <t>SAUTE VOLAILLE ALL'ARRABIATA POCHE 300G</t>
  </si>
  <si>
    <t>CNR</t>
  </si>
  <si>
    <t>SAUTE VOLLAILLE CACCIOTORE POCHE 300G</t>
  </si>
  <si>
    <t xml:space="preserve">PORC ALLA NORMA POCHE 300G </t>
  </si>
  <si>
    <t>PORC ALLA SAUCISSE PIQUANTE POCHE 300G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</si>
</sst>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9"/>
      <color theme="3" tint="0.39997558519241921"/>
      <name val="Arial"/>
      <family val="2"/>
    </font>
    <font>
      <b/>
      <i/>
      <sz val="9"/>
      <color rgb="FF00B050"/>
      <name val="Arial"/>
      <family val="2"/>
    </font>
    <font>
      <sz val="9"/>
      <color rgb="FFFF0000"/>
      <name val="Arial"/>
      <family val="2"/>
    </font>
    <font>
      <u/>
      <sz val="9"/>
      <name val="Arial"/>
      <family val="2"/>
    </font>
    <font>
      <b/>
      <sz val="8"/>
      <name val="Arial"/>
      <family val="2"/>
    </font>
    <font>
      <sz val="9"/>
      <color theme="3" tint="0.39997558519241921"/>
      <name val="Arial"/>
      <family val="2"/>
    </font>
    <font>
      <i/>
      <sz val="9"/>
      <color rgb="FF00B050"/>
      <name val="Arial"/>
      <family val="2"/>
    </font>
    <font>
      <sz val="9"/>
      <color theme="1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b/>
      <i/>
      <sz val="9"/>
      <color theme="6" tint="-0.249977111117893"/>
      <name val="Arial"/>
      <family val="2"/>
    </font>
    <font>
      <b/>
      <sz val="9"/>
      <color rgb="FF00B050"/>
      <name val="Arial"/>
      <family val="2"/>
    </font>
    <font>
      <i/>
      <sz val="9"/>
      <color theme="6" tint="-0.249977111117893"/>
      <name val="Arial"/>
      <family val="2"/>
    </font>
    <font>
      <sz val="9"/>
      <color rgb="FF00B05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3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left" vertical="top" wrapText="1"/>
    </xf>
    <xf numFmtId="0" fontId="1" fillId="0" borderId="38" xfId="0" applyFont="1" applyBorder="1" applyAlignment="1">
      <alignment vertical="center" wrapText="1"/>
    </xf>
    <xf numFmtId="0" fontId="1" fillId="0" borderId="39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shrinkToFit="1"/>
    </xf>
    <xf numFmtId="0" fontId="1" fillId="3" borderId="9" xfId="0" applyFont="1" applyFill="1" applyBorder="1" applyAlignment="1">
      <alignment horizontal="center" vertical="center" wrapText="1"/>
    </xf>
    <xf numFmtId="1" fontId="2" fillId="3" borderId="9" xfId="0" applyNumberFormat="1" applyFont="1" applyFill="1" applyBorder="1" applyAlignment="1">
      <alignment horizontal="center" vertical="center" shrinkToFit="1"/>
    </xf>
    <xf numFmtId="164" fontId="2" fillId="0" borderId="9" xfId="0" applyNumberFormat="1" applyFont="1" applyBorder="1" applyAlignment="1">
      <alignment horizontal="center" vertical="center" shrinkToFit="1"/>
    </xf>
    <xf numFmtId="0" fontId="1" fillId="3" borderId="39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top" wrapText="1"/>
    </xf>
    <xf numFmtId="0" fontId="1" fillId="0" borderId="32" xfId="0" applyFont="1" applyBorder="1" applyAlignment="1">
      <alignment horizontal="center" vertical="center" wrapText="1"/>
    </xf>
    <xf numFmtId="3" fontId="2" fillId="0" borderId="32" xfId="0" applyNumberFormat="1" applyFont="1" applyBorder="1" applyAlignment="1">
      <alignment horizontal="center" vertical="center" shrinkToFit="1"/>
    </xf>
    <xf numFmtId="0" fontId="1" fillId="0" borderId="41" xfId="0" applyFont="1" applyBorder="1" applyAlignment="1">
      <alignment horizontal="center" vertical="center" wrapText="1"/>
    </xf>
    <xf numFmtId="0" fontId="3" fillId="8" borderId="37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8" borderId="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left" vertical="top" shrinkToFit="1"/>
    </xf>
    <xf numFmtId="0" fontId="2" fillId="0" borderId="4" xfId="0" applyFont="1" applyBorder="1" applyAlignment="1">
      <alignment horizontal="center" vertical="center" wrapText="1"/>
    </xf>
    <xf numFmtId="0" fontId="12" fillId="0" borderId="0" xfId="0" applyFont="1"/>
    <xf numFmtId="0" fontId="1" fillId="0" borderId="35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4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8" borderId="9" xfId="0" applyFont="1" applyFill="1" applyBorder="1" applyAlignment="1">
      <alignment horizontal="center" vertical="center" wrapText="1"/>
    </xf>
    <xf numFmtId="1" fontId="2" fillId="8" borderId="9" xfId="0" applyNumberFormat="1" applyFont="1" applyFill="1" applyBorder="1" applyAlignment="1">
      <alignment horizontal="center" vertical="center" shrinkToFit="1"/>
    </xf>
    <xf numFmtId="0" fontId="1" fillId="5" borderId="9" xfId="0" applyFont="1" applyFill="1" applyBorder="1" applyAlignment="1">
      <alignment horizontal="center" vertical="center" wrapText="1"/>
    </xf>
    <xf numFmtId="1" fontId="2" fillId="5" borderId="9" xfId="0" applyNumberFormat="1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wrapText="1"/>
    </xf>
    <xf numFmtId="1" fontId="2" fillId="4" borderId="9" xfId="0" applyNumberFormat="1" applyFont="1" applyFill="1" applyBorder="1" applyAlignment="1">
      <alignment horizontal="center" vertical="center" shrinkToFit="1"/>
    </xf>
    <xf numFmtId="0" fontId="3" fillId="0" borderId="35" xfId="0" applyFont="1" applyBorder="1" applyAlignment="1">
      <alignment vertical="center" wrapText="1"/>
    </xf>
    <xf numFmtId="0" fontId="3" fillId="0" borderId="37" xfId="0" applyFont="1" applyBorder="1" applyAlignment="1">
      <alignment horizontal="center" vertical="center" wrapText="1"/>
    </xf>
    <xf numFmtId="0" fontId="1" fillId="8" borderId="38" xfId="0" applyFont="1" applyFill="1" applyBorder="1" applyAlignment="1">
      <alignment vertical="center" wrapText="1"/>
    </xf>
    <xf numFmtId="0" fontId="1" fillId="8" borderId="39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164" fontId="2" fillId="0" borderId="32" xfId="0" applyNumberFormat="1" applyFont="1" applyBorder="1" applyAlignment="1">
      <alignment horizontal="center" vertical="center" shrinkToFit="1"/>
    </xf>
    <xf numFmtId="0" fontId="2" fillId="6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top" wrapText="1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164" fontId="2" fillId="7" borderId="9" xfId="0" applyNumberFormat="1" applyFont="1" applyFill="1" applyBorder="1" applyAlignment="1">
      <alignment horizontal="center" vertical="center" shrinkToFit="1"/>
    </xf>
    <xf numFmtId="0" fontId="1" fillId="7" borderId="3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0" borderId="37" xfId="0" applyFont="1" applyBorder="1" applyAlignment="1">
      <alignment horizontal="center" vertical="top" wrapText="1"/>
    </xf>
    <xf numFmtId="0" fontId="13" fillId="0" borderId="39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top" wrapText="1"/>
    </xf>
    <xf numFmtId="0" fontId="15" fillId="0" borderId="36" xfId="0" applyFont="1" applyBorder="1" applyAlignment="1">
      <alignment horizontal="center" vertical="top" wrapText="1"/>
    </xf>
    <xf numFmtId="0" fontId="16" fillId="0" borderId="3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wrapText="1"/>
    </xf>
    <xf numFmtId="0" fontId="9" fillId="0" borderId="36" xfId="0" applyFont="1" applyBorder="1" applyAlignment="1">
      <alignment vertical="center" wrapText="1"/>
    </xf>
    <xf numFmtId="0" fontId="9" fillId="8" borderId="3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shrinkToFit="1"/>
    </xf>
    <xf numFmtId="0" fontId="2" fillId="5" borderId="9" xfId="0" applyFont="1" applyFill="1" applyBorder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 shrinkToFit="1"/>
    </xf>
    <xf numFmtId="0" fontId="2" fillId="4" borderId="9" xfId="0" applyFont="1" applyFill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/>
    </xf>
    <xf numFmtId="1" fontId="2" fillId="0" borderId="36" xfId="0" applyNumberFormat="1" applyFont="1" applyBorder="1" applyAlignment="1">
      <alignment horizontal="center" vertical="center" shrinkToFit="1"/>
    </xf>
    <xf numFmtId="3" fontId="2" fillId="0" borderId="5" xfId="0" applyNumberFormat="1" applyFont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12" fillId="0" borderId="0" xfId="0" applyNumberFormat="1" applyFont="1"/>
    <xf numFmtId="14" fontId="2" fillId="0" borderId="0" xfId="0" applyNumberFormat="1" applyFont="1" applyAlignment="1">
      <alignment horizontal="left" vertical="top"/>
    </xf>
    <xf numFmtId="0" fontId="2" fillId="0" borderId="38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34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2" fillId="7" borderId="38" xfId="0" applyFont="1" applyFill="1" applyBorder="1" applyAlignment="1">
      <alignment horizontal="left" vertical="center" wrapText="1"/>
    </xf>
    <xf numFmtId="0" fontId="12" fillId="7" borderId="0" xfId="0" applyFont="1" applyFill="1" applyAlignment="1">
      <alignment vertical="center"/>
    </xf>
    <xf numFmtId="164" fontId="2" fillId="0" borderId="9" xfId="0" applyNumberFormat="1" applyFont="1" applyBorder="1" applyAlignment="1">
      <alignment horizontal="left" vertical="center" shrinkToFit="1"/>
    </xf>
    <xf numFmtId="0" fontId="1" fillId="3" borderId="9" xfId="0" applyFont="1" applyFill="1" applyBorder="1" applyAlignment="1">
      <alignment horizontal="left" vertical="center" wrapText="1"/>
    </xf>
    <xf numFmtId="1" fontId="2" fillId="3" borderId="9" xfId="0" applyNumberFormat="1" applyFont="1" applyFill="1" applyBorder="1" applyAlignment="1">
      <alignment horizontal="left" vertical="center" shrinkToFit="1"/>
    </xf>
    <xf numFmtId="1" fontId="2" fillId="0" borderId="9" xfId="0" applyNumberFormat="1" applyFont="1" applyBorder="1" applyAlignment="1">
      <alignment horizontal="left" vertical="center" shrinkToFit="1"/>
    </xf>
    <xf numFmtId="1" fontId="2" fillId="0" borderId="5" xfId="0" applyNumberFormat="1" applyFont="1" applyBorder="1" applyAlignment="1">
      <alignment horizontal="left" vertical="center" shrinkToFit="1"/>
    </xf>
    <xf numFmtId="2" fontId="2" fillId="0" borderId="9" xfId="0" applyNumberFormat="1" applyFont="1" applyBorder="1" applyAlignment="1">
      <alignment horizontal="left" vertical="center" shrinkToFit="1"/>
    </xf>
    <xf numFmtId="164" fontId="2" fillId="3" borderId="9" xfId="0" applyNumberFormat="1" applyFont="1" applyFill="1" applyBorder="1" applyAlignment="1">
      <alignment horizontal="left" vertical="center" shrinkToFit="1"/>
    </xf>
    <xf numFmtId="1" fontId="2" fillId="0" borderId="32" xfId="0" applyNumberFormat="1" applyFont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2" fillId="8" borderId="0" xfId="0" applyFont="1" applyFill="1" applyAlignment="1">
      <alignment vertical="center"/>
    </xf>
    <xf numFmtId="0" fontId="3" fillId="0" borderId="35" xfId="0" applyFont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9" borderId="42" xfId="0" applyFont="1" applyFill="1" applyBorder="1" applyAlignment="1">
      <alignment horizontal="left" vertical="center" wrapText="1"/>
    </xf>
    <xf numFmtId="0" fontId="1" fillId="9" borderId="43" xfId="0" applyFont="1" applyFill="1" applyBorder="1" applyAlignment="1">
      <alignment horizontal="center" vertical="center" wrapText="1"/>
    </xf>
    <xf numFmtId="1" fontId="2" fillId="9" borderId="43" xfId="0" applyNumberFormat="1" applyFont="1" applyFill="1" applyBorder="1" applyAlignment="1">
      <alignment horizontal="center" vertical="center" shrinkToFit="1"/>
    </xf>
    <xf numFmtId="0" fontId="1" fillId="9" borderId="42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12" fillId="9" borderId="0" xfId="0" applyFont="1" applyFill="1"/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" fillId="10" borderId="38" xfId="0" applyFont="1" applyFill="1" applyBorder="1" applyAlignment="1">
      <alignment horizontal="left" vertical="center" wrapText="1"/>
    </xf>
    <xf numFmtId="14" fontId="20" fillId="0" borderId="2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14" fontId="20" fillId="8" borderId="2" xfId="0" applyNumberFormat="1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14" fontId="3" fillId="8" borderId="2" xfId="0" applyNumberFormat="1" applyFont="1" applyFill="1" applyBorder="1" applyAlignment="1">
      <alignment horizontal="center" vertical="top" wrapText="1"/>
    </xf>
    <xf numFmtId="0" fontId="3" fillId="8" borderId="3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top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4" fontId="3" fillId="0" borderId="44" xfId="0" applyNumberFormat="1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14" fontId="3" fillId="0" borderId="51" xfId="0" applyNumberFormat="1" applyFont="1" applyBorder="1" applyAlignment="1">
      <alignment horizontal="center" vertical="center" wrapText="1"/>
    </xf>
    <xf numFmtId="14" fontId="3" fillId="0" borderId="50" xfId="0" applyNumberFormat="1" applyFont="1" applyBorder="1" applyAlignment="1">
      <alignment horizontal="center" vertical="center" wrapText="1"/>
    </xf>
    <xf numFmtId="14" fontId="3" fillId="0" borderId="52" xfId="0" applyNumberFormat="1" applyFont="1" applyBorder="1" applyAlignment="1">
      <alignment horizontal="center" vertical="center" wrapText="1"/>
    </xf>
    <xf numFmtId="14" fontId="3" fillId="0" borderId="47" xfId="0" applyNumberFormat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A81E-C3CD-4696-B8E7-B2C77F09D931}">
  <sheetPr>
    <tabColor theme="9"/>
  </sheetPr>
  <dimension ref="A2:WYN18"/>
  <sheetViews>
    <sheetView zoomScale="80" zoomScaleNormal="80" workbookViewId="0">
      <pane xSplit="5" ySplit="2" topLeftCell="BB3" activePane="bottomRight" state="frozen"/>
      <selection pane="topRight" activeCell="F1" sqref="F1"/>
      <selection pane="bottomLeft" activeCell="A3" sqref="A3"/>
      <selection pane="bottomRight" activeCell="BL9" sqref="BL9"/>
    </sheetView>
  </sheetViews>
  <sheetFormatPr baseColWidth="10" defaultColWidth="11.42578125" defaultRowHeight="12" x14ac:dyDescent="0.2"/>
  <cols>
    <col min="1" max="1" width="46.140625" style="37" customWidth="1"/>
    <col min="2" max="2" width="8.7109375" style="37" customWidth="1"/>
    <col min="3" max="3" width="7" style="37" customWidth="1"/>
    <col min="4" max="4" width="8.140625" style="37" customWidth="1"/>
    <col min="5" max="5" width="4.42578125" style="37" customWidth="1"/>
    <col min="6" max="16384" width="11.42578125" style="37"/>
  </cols>
  <sheetData>
    <row r="2" spans="1:81 16208:16212" s="188" customFormat="1" ht="20.100000000000001" customHeight="1" thickBot="1" x14ac:dyDescent="0.3">
      <c r="A2" s="187"/>
      <c r="B2" s="187"/>
      <c r="C2" s="187"/>
      <c r="D2" s="187"/>
      <c r="E2" s="187"/>
      <c r="F2" s="209">
        <v>46181</v>
      </c>
      <c r="G2" s="210"/>
      <c r="H2" s="210"/>
      <c r="I2" s="211"/>
      <c r="J2" s="209">
        <v>46188</v>
      </c>
      <c r="K2" s="210"/>
      <c r="L2" s="210"/>
      <c r="M2" s="211"/>
      <c r="N2" s="209">
        <v>46195</v>
      </c>
      <c r="O2" s="210"/>
      <c r="P2" s="210"/>
      <c r="Q2" s="211"/>
      <c r="R2" s="209">
        <v>46202</v>
      </c>
      <c r="S2" s="210"/>
      <c r="T2" s="210"/>
      <c r="U2" s="211"/>
      <c r="V2" s="209">
        <v>46209</v>
      </c>
      <c r="W2" s="210"/>
      <c r="X2" s="210"/>
      <c r="Y2" s="211"/>
      <c r="Z2" s="206">
        <v>46216</v>
      </c>
      <c r="AA2" s="207"/>
      <c r="AB2" s="207"/>
      <c r="AC2" s="208"/>
      <c r="AD2" s="206">
        <v>46223</v>
      </c>
      <c r="AE2" s="207"/>
      <c r="AF2" s="207"/>
      <c r="AG2" s="208"/>
      <c r="AH2" s="206">
        <v>46230</v>
      </c>
      <c r="AI2" s="207"/>
      <c r="AJ2" s="207"/>
      <c r="AK2" s="208"/>
      <c r="AL2" s="206">
        <v>46237</v>
      </c>
      <c r="AM2" s="207"/>
      <c r="AN2" s="207"/>
      <c r="AO2" s="208"/>
      <c r="AP2" s="206">
        <v>46244</v>
      </c>
      <c r="AQ2" s="207"/>
      <c r="AR2" s="207"/>
      <c r="AS2" s="208"/>
      <c r="AT2" s="206">
        <v>46251</v>
      </c>
      <c r="AU2" s="207"/>
      <c r="AV2" s="207"/>
      <c r="AW2" s="208"/>
      <c r="AX2" s="209">
        <v>46258</v>
      </c>
      <c r="AY2" s="210"/>
      <c r="AZ2" s="210"/>
      <c r="BA2" s="211"/>
      <c r="BB2" s="209">
        <v>46265</v>
      </c>
      <c r="BC2" s="210"/>
      <c r="BD2" s="210"/>
      <c r="BE2" s="211"/>
      <c r="BF2" s="206">
        <v>46272</v>
      </c>
      <c r="BG2" s="207"/>
      <c r="BH2" s="207"/>
      <c r="BI2" s="208"/>
      <c r="BJ2" s="206"/>
      <c r="BK2" s="207"/>
      <c r="BL2" s="207"/>
      <c r="BM2" s="208"/>
      <c r="BN2" s="206"/>
      <c r="BO2" s="207"/>
      <c r="BP2" s="207"/>
      <c r="BQ2" s="208"/>
      <c r="BR2" s="206"/>
      <c r="BS2" s="207"/>
      <c r="BT2" s="207"/>
      <c r="BU2" s="208"/>
      <c r="BV2" s="206"/>
      <c r="BW2" s="207"/>
      <c r="BX2" s="207"/>
      <c r="BY2" s="208"/>
      <c r="BZ2" s="206"/>
      <c r="CA2" s="207"/>
      <c r="CB2" s="207"/>
      <c r="CC2" s="208"/>
    </row>
    <row r="3" spans="1:81 16208:16212" s="176" customFormat="1" ht="56.25" x14ac:dyDescent="0.25">
      <c r="A3" s="172" t="s">
        <v>1</v>
      </c>
      <c r="B3" s="137" t="s">
        <v>345</v>
      </c>
      <c r="C3" s="137" t="s">
        <v>348</v>
      </c>
      <c r="D3" s="139" t="s">
        <v>347</v>
      </c>
      <c r="E3" s="60"/>
      <c r="F3" s="173" t="s">
        <v>3</v>
      </c>
      <c r="G3" s="175" t="s">
        <v>4</v>
      </c>
      <c r="H3" s="34" t="s">
        <v>5</v>
      </c>
      <c r="I3" s="174" t="s">
        <v>6</v>
      </c>
      <c r="J3" s="173" t="s">
        <v>3</v>
      </c>
      <c r="K3" s="175" t="s">
        <v>4</v>
      </c>
      <c r="L3" s="34" t="s">
        <v>5</v>
      </c>
      <c r="M3" s="174" t="s">
        <v>6</v>
      </c>
      <c r="N3" s="173" t="s">
        <v>3</v>
      </c>
      <c r="O3" s="175" t="s">
        <v>4</v>
      </c>
      <c r="P3" s="34" t="s">
        <v>5</v>
      </c>
      <c r="Q3" s="174" t="s">
        <v>6</v>
      </c>
      <c r="R3" s="173" t="s">
        <v>3</v>
      </c>
      <c r="S3" s="175" t="s">
        <v>4</v>
      </c>
      <c r="T3" s="34" t="s">
        <v>5</v>
      </c>
      <c r="U3" s="174" t="s">
        <v>6</v>
      </c>
      <c r="V3" s="173" t="s">
        <v>3</v>
      </c>
      <c r="W3" s="175" t="s">
        <v>4</v>
      </c>
      <c r="X3" s="34" t="s">
        <v>5</v>
      </c>
      <c r="Y3" s="174" t="s">
        <v>6</v>
      </c>
      <c r="Z3" s="173" t="s">
        <v>3</v>
      </c>
      <c r="AA3" s="175" t="s">
        <v>4</v>
      </c>
      <c r="AB3" s="34" t="s">
        <v>5</v>
      </c>
      <c r="AC3" s="174" t="s">
        <v>6</v>
      </c>
      <c r="AD3" s="173" t="s">
        <v>3</v>
      </c>
      <c r="AE3" s="175" t="s">
        <v>4</v>
      </c>
      <c r="AF3" s="34" t="s">
        <v>5</v>
      </c>
      <c r="AG3" s="174" t="s">
        <v>6</v>
      </c>
      <c r="AH3" s="173" t="s">
        <v>3</v>
      </c>
      <c r="AI3" s="175" t="s">
        <v>4</v>
      </c>
      <c r="AJ3" s="34" t="s">
        <v>5</v>
      </c>
      <c r="AK3" s="174" t="s">
        <v>6</v>
      </c>
      <c r="AL3" s="173" t="s">
        <v>3</v>
      </c>
      <c r="AM3" s="175" t="s">
        <v>4</v>
      </c>
      <c r="AN3" s="34" t="s">
        <v>5</v>
      </c>
      <c r="AO3" s="174" t="s">
        <v>6</v>
      </c>
      <c r="AP3" s="173" t="s">
        <v>3</v>
      </c>
      <c r="AQ3" s="175" t="s">
        <v>4</v>
      </c>
      <c r="AR3" s="34" t="s">
        <v>5</v>
      </c>
      <c r="AS3" s="174" t="s">
        <v>6</v>
      </c>
      <c r="AT3" s="173" t="s">
        <v>3</v>
      </c>
      <c r="AU3" s="175" t="s">
        <v>4</v>
      </c>
      <c r="AV3" s="34" t="s">
        <v>5</v>
      </c>
      <c r="AW3" s="174" t="s">
        <v>6</v>
      </c>
      <c r="AX3" s="173" t="s">
        <v>3</v>
      </c>
      <c r="AY3" s="175" t="s">
        <v>4</v>
      </c>
      <c r="AZ3" s="34" t="s">
        <v>5</v>
      </c>
      <c r="BA3" s="174" t="s">
        <v>6</v>
      </c>
      <c r="BB3" s="173" t="s">
        <v>3</v>
      </c>
      <c r="BC3" s="175" t="s">
        <v>4</v>
      </c>
      <c r="BD3" s="34" t="s">
        <v>5</v>
      </c>
      <c r="BE3" s="174" t="s">
        <v>6</v>
      </c>
      <c r="BF3" s="173" t="s">
        <v>3</v>
      </c>
      <c r="BG3" s="175" t="s">
        <v>4</v>
      </c>
      <c r="BH3" s="34" t="s">
        <v>5</v>
      </c>
      <c r="BI3" s="174" t="s">
        <v>6</v>
      </c>
      <c r="BJ3" s="173" t="s">
        <v>3</v>
      </c>
      <c r="BK3" s="175" t="s">
        <v>4</v>
      </c>
      <c r="BL3" s="34" t="s">
        <v>5</v>
      </c>
      <c r="BM3" s="174" t="s">
        <v>6</v>
      </c>
      <c r="BN3" s="173" t="s">
        <v>3</v>
      </c>
      <c r="BO3" s="175" t="s">
        <v>4</v>
      </c>
      <c r="BP3" s="34" t="s">
        <v>5</v>
      </c>
      <c r="BQ3" s="174" t="s">
        <v>6</v>
      </c>
      <c r="BR3" s="173" t="s">
        <v>3</v>
      </c>
      <c r="BS3" s="175" t="s">
        <v>4</v>
      </c>
      <c r="BT3" s="34" t="s">
        <v>5</v>
      </c>
      <c r="BU3" s="174" t="s">
        <v>6</v>
      </c>
      <c r="BV3" s="173" t="s">
        <v>3</v>
      </c>
      <c r="BW3" s="175" t="s">
        <v>4</v>
      </c>
      <c r="BX3" s="34" t="s">
        <v>5</v>
      </c>
      <c r="BY3" s="174" t="s">
        <v>6</v>
      </c>
      <c r="BZ3" s="173" t="s">
        <v>3</v>
      </c>
      <c r="CA3" s="175" t="s">
        <v>4</v>
      </c>
      <c r="CB3" s="34" t="s">
        <v>5</v>
      </c>
      <c r="CC3" s="174" t="s">
        <v>6</v>
      </c>
    </row>
    <row r="4" spans="1:81 16208:16212" ht="20.100000000000001" customHeight="1" x14ac:dyDescent="0.2">
      <c r="A4" s="12" t="s">
        <v>12</v>
      </c>
      <c r="B4" s="9" t="s">
        <v>7</v>
      </c>
      <c r="C4" s="10">
        <v>1</v>
      </c>
      <c r="D4" s="9" t="s">
        <v>360</v>
      </c>
      <c r="E4" s="13">
        <v>1</v>
      </c>
      <c r="F4" s="30">
        <v>2</v>
      </c>
      <c r="G4" s="32">
        <v>0</v>
      </c>
      <c r="H4" s="31"/>
      <c r="I4" s="33">
        <f t="shared" ref="I4:I16" si="0">+F4+H4*$E4</f>
        <v>2</v>
      </c>
      <c r="J4" s="30">
        <v>1</v>
      </c>
      <c r="K4" s="32">
        <f>+I4-J4</f>
        <v>1</v>
      </c>
      <c r="L4" s="31">
        <v>1</v>
      </c>
      <c r="M4" s="33">
        <f t="shared" ref="M4:M16" si="1">+J4+L4*$E4</f>
        <v>2</v>
      </c>
      <c r="N4" s="30">
        <v>2</v>
      </c>
      <c r="O4" s="32">
        <f>+M4-N4</f>
        <v>0</v>
      </c>
      <c r="P4" s="34"/>
      <c r="Q4" s="33">
        <f t="shared" ref="Q4:Q16" si="2">+N4+P4*$E4</f>
        <v>2</v>
      </c>
      <c r="R4" s="30">
        <v>1</v>
      </c>
      <c r="S4" s="32">
        <f>+Q4-R4</f>
        <v>1</v>
      </c>
      <c r="T4" s="31">
        <v>1</v>
      </c>
      <c r="U4" s="33">
        <f t="shared" ref="U4:U16" si="3">+R4+T4*$E4</f>
        <v>2</v>
      </c>
      <c r="V4" s="30">
        <v>2</v>
      </c>
      <c r="W4" s="32">
        <f>+U4-V4</f>
        <v>0</v>
      </c>
      <c r="X4" s="31"/>
      <c r="Y4" s="33">
        <f t="shared" ref="Y4:Y16" si="4">+V4+X4*$E4</f>
        <v>2</v>
      </c>
      <c r="Z4" s="30">
        <v>2</v>
      </c>
      <c r="AA4" s="32">
        <f t="shared" ref="AA4:AA9" si="5">Y4-Z4</f>
        <v>0</v>
      </c>
      <c r="AB4" s="31"/>
      <c r="AC4" s="33">
        <f t="shared" ref="AC4:AC16" si="6">+Z4+AB4*$E4</f>
        <v>2</v>
      </c>
      <c r="AD4" s="30">
        <v>2</v>
      </c>
      <c r="AE4" s="32">
        <f>+AC4-AD4</f>
        <v>0</v>
      </c>
      <c r="AF4" s="31"/>
      <c r="AG4" s="33">
        <f t="shared" ref="AG4:AG16" si="7">+AD4+AF4*$E4</f>
        <v>2</v>
      </c>
      <c r="AH4" s="30">
        <v>1</v>
      </c>
      <c r="AI4" s="32">
        <f>+AG4-AH4</f>
        <v>1</v>
      </c>
      <c r="AJ4" s="31">
        <v>1</v>
      </c>
      <c r="AK4" s="33">
        <f t="shared" ref="AK4:AK16" si="8">+AH4+AJ4*$E4</f>
        <v>2</v>
      </c>
      <c r="AL4" s="30">
        <v>2</v>
      </c>
      <c r="AM4" s="32">
        <f>+AK4-AL4</f>
        <v>0</v>
      </c>
      <c r="AN4" s="31"/>
      <c r="AO4" s="33">
        <f t="shared" ref="AO4:AO16" si="9">+AL4+AN4*$E4</f>
        <v>2</v>
      </c>
      <c r="AP4" s="30">
        <v>2</v>
      </c>
      <c r="AQ4" s="32">
        <f>+AO4-AP4</f>
        <v>0</v>
      </c>
      <c r="AR4" s="31">
        <v>1</v>
      </c>
      <c r="AS4" s="33">
        <f t="shared" ref="AS4:AS16" si="10">+AP4+AR4*$E4</f>
        <v>3</v>
      </c>
      <c r="AT4" s="30">
        <v>2</v>
      </c>
      <c r="AU4" s="32">
        <f>+AS4-AT4</f>
        <v>1</v>
      </c>
      <c r="AV4" s="31"/>
      <c r="AW4" s="33">
        <f t="shared" ref="AW4:AW18" si="11">+AT4+AV4*$E4</f>
        <v>2</v>
      </c>
      <c r="AX4" s="30">
        <v>2</v>
      </c>
      <c r="AY4" s="32">
        <f>+AW4-AX4</f>
        <v>0</v>
      </c>
      <c r="AZ4" s="31"/>
      <c r="BA4" s="33">
        <f t="shared" ref="BA4:BA16" si="12">+AX4+AZ4*$E4</f>
        <v>2</v>
      </c>
      <c r="BB4" s="30">
        <v>2</v>
      </c>
      <c r="BC4" s="32">
        <f>+BA4-BB4</f>
        <v>0</v>
      </c>
      <c r="BD4" s="31"/>
      <c r="BE4" s="33">
        <f t="shared" ref="BE4:BE16" si="13">+BB4+BD4*$E4</f>
        <v>2</v>
      </c>
      <c r="BF4" s="30">
        <v>1</v>
      </c>
      <c r="BG4" s="32">
        <f>+BE4-BF4</f>
        <v>1</v>
      </c>
      <c r="BH4" s="31"/>
      <c r="BI4" s="33">
        <f t="shared" ref="BI4:BI16" si="14">+BF4+BH4*$E4</f>
        <v>1</v>
      </c>
      <c r="BJ4" s="30">
        <v>0</v>
      </c>
      <c r="BK4" s="32">
        <f t="shared" ref="BK4:BK18" si="15">+BA4-BJ4</f>
        <v>2</v>
      </c>
      <c r="BL4" s="31">
        <v>2</v>
      </c>
      <c r="BM4" s="33">
        <f t="shared" ref="BM4:BM16" si="16">+BJ4+BL4*$E4</f>
        <v>2</v>
      </c>
      <c r="BN4" s="30"/>
      <c r="BO4" s="32">
        <f t="shared" ref="BO4:BO18" si="17">+BM4-BN4</f>
        <v>2</v>
      </c>
      <c r="BP4" s="31"/>
      <c r="BQ4" s="33">
        <f t="shared" ref="BQ4:BQ16" si="18">+BN4+BP4*$E4</f>
        <v>0</v>
      </c>
      <c r="BR4" s="30"/>
      <c r="BS4" s="32">
        <f t="shared" ref="BS4:BS18" si="19">+BQ4-BR4</f>
        <v>0</v>
      </c>
      <c r="BT4" s="31"/>
      <c r="BU4" s="33">
        <f t="shared" ref="BU4:BU16" si="20">+BR4+BT4*$E4</f>
        <v>0</v>
      </c>
      <c r="BV4" s="30"/>
      <c r="BW4" s="32">
        <f t="shared" ref="BW4:BW18" si="21">+BQ4-BV4</f>
        <v>0</v>
      </c>
      <c r="BX4" s="31"/>
      <c r="BY4" s="33">
        <f t="shared" ref="BY4:BY16" si="22">+BV4+BX4*$E4</f>
        <v>0</v>
      </c>
      <c r="BZ4" s="30"/>
      <c r="CA4" s="32">
        <f t="shared" ref="CA4:CA16" si="23">+BQ4-BZ4</f>
        <v>0</v>
      </c>
      <c r="CB4" s="31"/>
      <c r="CC4" s="33">
        <f>+BZ4+CB4*$E4</f>
        <v>0</v>
      </c>
    </row>
    <row r="5" spans="1:81 16208:16212" ht="20.100000000000001" customHeight="1" x14ac:dyDescent="0.2">
      <c r="A5" s="12" t="s">
        <v>17</v>
      </c>
      <c r="B5" s="9" t="s">
        <v>7</v>
      </c>
      <c r="C5" s="10">
        <v>6</v>
      </c>
      <c r="D5" s="9" t="s">
        <v>355</v>
      </c>
      <c r="E5" s="13">
        <v>6</v>
      </c>
      <c r="F5" s="30">
        <v>4</v>
      </c>
      <c r="G5" s="32">
        <v>1</v>
      </c>
      <c r="H5" s="31"/>
      <c r="I5" s="33">
        <f t="shared" si="0"/>
        <v>4</v>
      </c>
      <c r="J5" s="30">
        <v>2</v>
      </c>
      <c r="K5" s="32">
        <f>+I5-J5</f>
        <v>2</v>
      </c>
      <c r="L5" s="31">
        <v>1</v>
      </c>
      <c r="M5" s="33">
        <f t="shared" si="1"/>
        <v>8</v>
      </c>
      <c r="N5" s="30">
        <v>6</v>
      </c>
      <c r="O5" s="32">
        <f>+M5-N5</f>
        <v>2</v>
      </c>
      <c r="P5" s="34"/>
      <c r="Q5" s="33">
        <f t="shared" si="2"/>
        <v>6</v>
      </c>
      <c r="R5" s="30">
        <v>3</v>
      </c>
      <c r="S5" s="32">
        <f>+Q5-R5</f>
        <v>3</v>
      </c>
      <c r="T5" s="31">
        <v>1</v>
      </c>
      <c r="U5" s="33">
        <f t="shared" si="3"/>
        <v>9</v>
      </c>
      <c r="V5" s="30">
        <v>7</v>
      </c>
      <c r="W5" s="32">
        <f>+U5-V5</f>
        <v>2</v>
      </c>
      <c r="X5" s="31"/>
      <c r="Y5" s="33">
        <f t="shared" si="4"/>
        <v>7</v>
      </c>
      <c r="Z5" s="30">
        <v>5</v>
      </c>
      <c r="AA5" s="32">
        <f t="shared" si="5"/>
        <v>2</v>
      </c>
      <c r="AB5" s="31"/>
      <c r="AC5" s="33">
        <f t="shared" si="6"/>
        <v>5</v>
      </c>
      <c r="AD5" s="30">
        <v>2</v>
      </c>
      <c r="AE5" s="32">
        <f t="shared" ref="AE5:AE18" si="24">+AC5-AD5</f>
        <v>3</v>
      </c>
      <c r="AF5" s="31">
        <v>1</v>
      </c>
      <c r="AG5" s="33">
        <f t="shared" si="7"/>
        <v>8</v>
      </c>
      <c r="AH5" s="30">
        <v>7</v>
      </c>
      <c r="AI5" s="32">
        <f>+AG5-AH5</f>
        <v>1</v>
      </c>
      <c r="AJ5" s="31"/>
      <c r="AK5" s="33">
        <f t="shared" si="8"/>
        <v>7</v>
      </c>
      <c r="AL5" s="30">
        <v>5</v>
      </c>
      <c r="AM5" s="32">
        <f>+AK5-AL5</f>
        <v>2</v>
      </c>
      <c r="AN5" s="31"/>
      <c r="AO5" s="33">
        <f t="shared" si="9"/>
        <v>5</v>
      </c>
      <c r="AP5" s="30">
        <v>2</v>
      </c>
      <c r="AQ5" s="32">
        <f t="shared" ref="AQ5:AQ18" si="25">+AO5-AP5</f>
        <v>3</v>
      </c>
      <c r="AR5" s="31"/>
      <c r="AS5" s="33">
        <f t="shared" si="10"/>
        <v>2</v>
      </c>
      <c r="AT5" s="30">
        <v>1</v>
      </c>
      <c r="AU5" s="32">
        <f t="shared" ref="AU5:AU18" si="26">+AS5-AT5</f>
        <v>1</v>
      </c>
      <c r="AV5" s="31">
        <v>1</v>
      </c>
      <c r="AW5" s="33">
        <f t="shared" si="11"/>
        <v>7</v>
      </c>
      <c r="AX5" s="30">
        <v>4</v>
      </c>
      <c r="AY5" s="32">
        <f t="shared" ref="AY5:AY18" si="27">+AW5-AX5</f>
        <v>3</v>
      </c>
      <c r="AZ5" s="31">
        <v>1</v>
      </c>
      <c r="BA5" s="33">
        <f t="shared" si="12"/>
        <v>10</v>
      </c>
      <c r="BB5" s="30">
        <v>9</v>
      </c>
      <c r="BC5" s="32">
        <f t="shared" ref="BC5:BC18" si="28">+BA5-BB5</f>
        <v>1</v>
      </c>
      <c r="BD5" s="31"/>
      <c r="BE5" s="33">
        <f t="shared" si="13"/>
        <v>9</v>
      </c>
      <c r="BF5" s="30">
        <v>7</v>
      </c>
      <c r="BG5" s="32">
        <f t="shared" ref="BG5:BG18" si="29">+BE5-BF5</f>
        <v>2</v>
      </c>
      <c r="BH5" s="31"/>
      <c r="BI5" s="33">
        <f t="shared" si="14"/>
        <v>7</v>
      </c>
      <c r="BJ5" s="30">
        <v>5</v>
      </c>
      <c r="BK5" s="32">
        <f t="shared" si="15"/>
        <v>5</v>
      </c>
      <c r="BL5" s="31">
        <v>1</v>
      </c>
      <c r="BM5" s="33">
        <f t="shared" si="16"/>
        <v>11</v>
      </c>
      <c r="BN5" s="30"/>
      <c r="BO5" s="32">
        <f t="shared" si="17"/>
        <v>11</v>
      </c>
      <c r="BP5" s="31"/>
      <c r="BQ5" s="33">
        <f t="shared" si="18"/>
        <v>0</v>
      </c>
      <c r="BR5" s="30"/>
      <c r="BS5" s="32">
        <f t="shared" si="19"/>
        <v>0</v>
      </c>
      <c r="BT5" s="31"/>
      <c r="BU5" s="33">
        <f t="shared" si="20"/>
        <v>0</v>
      </c>
      <c r="BV5" s="30"/>
      <c r="BW5" s="32">
        <f t="shared" si="21"/>
        <v>0</v>
      </c>
      <c r="BX5" s="31"/>
      <c r="BY5" s="33">
        <f t="shared" si="22"/>
        <v>0</v>
      </c>
      <c r="BZ5" s="30"/>
      <c r="CA5" s="32">
        <f t="shared" si="23"/>
        <v>0</v>
      </c>
      <c r="CB5" s="31"/>
      <c r="CC5" s="33">
        <f>+BZ5+CB5*$E5</f>
        <v>0</v>
      </c>
    </row>
    <row r="6" spans="1:81 16208:16212" ht="20.100000000000001" customHeight="1" x14ac:dyDescent="0.2">
      <c r="A6" s="12" t="s">
        <v>23</v>
      </c>
      <c r="B6" s="9" t="s">
        <v>346</v>
      </c>
      <c r="C6" s="10">
        <v>1</v>
      </c>
      <c r="D6" s="9" t="s">
        <v>346</v>
      </c>
      <c r="E6" s="13">
        <v>1</v>
      </c>
      <c r="F6" s="30">
        <v>4</v>
      </c>
      <c r="G6" s="32">
        <v>0</v>
      </c>
      <c r="H6" s="31"/>
      <c r="I6" s="33">
        <f t="shared" si="0"/>
        <v>4</v>
      </c>
      <c r="J6" s="30">
        <v>4</v>
      </c>
      <c r="K6" s="32">
        <f>+I6-J6</f>
        <v>0</v>
      </c>
      <c r="L6" s="31"/>
      <c r="M6" s="33">
        <f t="shared" si="1"/>
        <v>4</v>
      </c>
      <c r="N6" s="30">
        <v>3</v>
      </c>
      <c r="O6" s="32">
        <f>+M6-N6</f>
        <v>1</v>
      </c>
      <c r="P6" s="34"/>
      <c r="Q6" s="33">
        <f t="shared" si="2"/>
        <v>3</v>
      </c>
      <c r="R6" s="30">
        <v>3</v>
      </c>
      <c r="S6" s="32">
        <f>+Q6-R6</f>
        <v>0</v>
      </c>
      <c r="T6" s="31"/>
      <c r="U6" s="33">
        <f t="shared" si="3"/>
        <v>3</v>
      </c>
      <c r="V6" s="30">
        <v>3</v>
      </c>
      <c r="W6" s="32">
        <f>+U6-V6</f>
        <v>0</v>
      </c>
      <c r="X6" s="31"/>
      <c r="Y6" s="33">
        <f t="shared" si="4"/>
        <v>3</v>
      </c>
      <c r="Z6" s="30">
        <v>3</v>
      </c>
      <c r="AA6" s="32">
        <f t="shared" si="5"/>
        <v>0</v>
      </c>
      <c r="AB6" s="31"/>
      <c r="AC6" s="33">
        <f t="shared" si="6"/>
        <v>3</v>
      </c>
      <c r="AD6" s="30">
        <v>3</v>
      </c>
      <c r="AE6" s="32">
        <f t="shared" si="24"/>
        <v>0</v>
      </c>
      <c r="AF6" s="31"/>
      <c r="AG6" s="33">
        <f t="shared" si="7"/>
        <v>3</v>
      </c>
      <c r="AH6" s="30">
        <v>3</v>
      </c>
      <c r="AI6" s="32">
        <f>+AG6-AH6</f>
        <v>0</v>
      </c>
      <c r="AJ6" s="31"/>
      <c r="AK6" s="33">
        <f t="shared" si="8"/>
        <v>3</v>
      </c>
      <c r="AL6" s="30">
        <v>3</v>
      </c>
      <c r="AM6" s="32">
        <f>+AK6-AL6</f>
        <v>0</v>
      </c>
      <c r="AN6" s="31"/>
      <c r="AO6" s="33">
        <f t="shared" si="9"/>
        <v>3</v>
      </c>
      <c r="AP6" s="30">
        <v>3</v>
      </c>
      <c r="AQ6" s="32">
        <f t="shared" si="25"/>
        <v>0</v>
      </c>
      <c r="AR6" s="31"/>
      <c r="AS6" s="33">
        <f t="shared" si="10"/>
        <v>3</v>
      </c>
      <c r="AT6" s="30">
        <v>3</v>
      </c>
      <c r="AU6" s="32">
        <f t="shared" si="26"/>
        <v>0</v>
      </c>
      <c r="AV6" s="31"/>
      <c r="AW6" s="33">
        <f t="shared" si="11"/>
        <v>3</v>
      </c>
      <c r="AX6" s="30">
        <v>3</v>
      </c>
      <c r="AY6" s="32">
        <f t="shared" si="27"/>
        <v>0</v>
      </c>
      <c r="AZ6" s="31"/>
      <c r="BA6" s="33">
        <f t="shared" si="12"/>
        <v>3</v>
      </c>
      <c r="BB6" s="30">
        <v>3</v>
      </c>
      <c r="BC6" s="32">
        <f t="shared" si="28"/>
        <v>0</v>
      </c>
      <c r="BD6" s="31"/>
      <c r="BE6" s="33">
        <f t="shared" si="13"/>
        <v>3</v>
      </c>
      <c r="BF6" s="30">
        <v>3</v>
      </c>
      <c r="BG6" s="32">
        <f t="shared" si="29"/>
        <v>0</v>
      </c>
      <c r="BH6" s="31"/>
      <c r="BI6" s="33">
        <f t="shared" si="14"/>
        <v>3</v>
      </c>
      <c r="BJ6" s="30">
        <v>2</v>
      </c>
      <c r="BK6" s="32">
        <f t="shared" si="15"/>
        <v>1</v>
      </c>
      <c r="BL6" s="31"/>
      <c r="BM6" s="33">
        <f t="shared" si="16"/>
        <v>2</v>
      </c>
      <c r="BN6" s="30"/>
      <c r="BO6" s="32">
        <f t="shared" si="17"/>
        <v>2</v>
      </c>
      <c r="BP6" s="31"/>
      <c r="BQ6" s="33">
        <f t="shared" si="18"/>
        <v>0</v>
      </c>
      <c r="BR6" s="30"/>
      <c r="BS6" s="32">
        <f t="shared" si="19"/>
        <v>0</v>
      </c>
      <c r="BT6" s="31"/>
      <c r="BU6" s="33">
        <f t="shared" si="20"/>
        <v>0</v>
      </c>
      <c r="BV6" s="30"/>
      <c r="BW6" s="32">
        <f t="shared" si="21"/>
        <v>0</v>
      </c>
      <c r="BX6" s="31"/>
      <c r="BY6" s="33">
        <f t="shared" si="22"/>
        <v>0</v>
      </c>
      <c r="BZ6" s="30"/>
      <c r="CA6" s="32">
        <f t="shared" si="23"/>
        <v>0</v>
      </c>
      <c r="CB6" s="31"/>
      <c r="CC6" s="33">
        <f>+BZ6+CB6*$E6</f>
        <v>0</v>
      </c>
    </row>
    <row r="7" spans="1:81 16208:16212" ht="20.100000000000001" customHeight="1" x14ac:dyDescent="0.2">
      <c r="A7" s="12" t="s">
        <v>214</v>
      </c>
      <c r="B7" s="9" t="s">
        <v>7</v>
      </c>
      <c r="C7" s="10">
        <v>4</v>
      </c>
      <c r="D7" s="9" t="s">
        <v>355</v>
      </c>
      <c r="E7" s="13">
        <v>4</v>
      </c>
      <c r="F7" s="30">
        <v>4</v>
      </c>
      <c r="G7" s="32">
        <v>1</v>
      </c>
      <c r="H7" s="31"/>
      <c r="I7" s="33">
        <f t="shared" si="0"/>
        <v>4</v>
      </c>
      <c r="J7" s="30">
        <v>2</v>
      </c>
      <c r="K7" s="32">
        <f>+I7-J7</f>
        <v>2</v>
      </c>
      <c r="L7" s="31">
        <v>1</v>
      </c>
      <c r="M7" s="33">
        <f t="shared" si="1"/>
        <v>6</v>
      </c>
      <c r="N7" s="30">
        <v>5</v>
      </c>
      <c r="O7" s="32">
        <f>+M7-N7</f>
        <v>1</v>
      </c>
      <c r="P7" s="34"/>
      <c r="Q7" s="33">
        <f t="shared" si="2"/>
        <v>5</v>
      </c>
      <c r="R7" s="30">
        <v>4</v>
      </c>
      <c r="S7" s="32">
        <f>+Q7-R7</f>
        <v>1</v>
      </c>
      <c r="T7" s="31"/>
      <c r="U7" s="33">
        <f t="shared" si="3"/>
        <v>4</v>
      </c>
      <c r="V7" s="30">
        <v>3</v>
      </c>
      <c r="W7" s="32">
        <f>+U7-V7</f>
        <v>1</v>
      </c>
      <c r="X7" s="31"/>
      <c r="Y7" s="33">
        <f t="shared" si="4"/>
        <v>3</v>
      </c>
      <c r="Z7" s="30">
        <v>1</v>
      </c>
      <c r="AA7" s="32">
        <f t="shared" si="5"/>
        <v>2</v>
      </c>
      <c r="AB7" s="34">
        <v>1</v>
      </c>
      <c r="AC7" s="33">
        <f t="shared" si="6"/>
        <v>5</v>
      </c>
      <c r="AD7" s="30">
        <v>3</v>
      </c>
      <c r="AE7" s="32">
        <f t="shared" si="24"/>
        <v>2</v>
      </c>
      <c r="AF7" s="31"/>
      <c r="AG7" s="33">
        <f t="shared" si="7"/>
        <v>3</v>
      </c>
      <c r="AH7" s="30">
        <v>2</v>
      </c>
      <c r="AI7" s="32">
        <f>+AG7-AH7</f>
        <v>1</v>
      </c>
      <c r="AJ7" s="31">
        <v>1</v>
      </c>
      <c r="AK7" s="33">
        <f t="shared" si="8"/>
        <v>6</v>
      </c>
      <c r="AL7" s="30">
        <v>5</v>
      </c>
      <c r="AM7" s="32">
        <f>+AK7-AL7</f>
        <v>1</v>
      </c>
      <c r="AN7" s="31"/>
      <c r="AO7" s="33">
        <f t="shared" si="9"/>
        <v>5</v>
      </c>
      <c r="AP7" s="30">
        <v>3</v>
      </c>
      <c r="AQ7" s="32">
        <f t="shared" si="25"/>
        <v>2</v>
      </c>
      <c r="AR7" s="31">
        <v>1</v>
      </c>
      <c r="AS7" s="33">
        <f t="shared" si="10"/>
        <v>7</v>
      </c>
      <c r="AT7" s="30">
        <v>5</v>
      </c>
      <c r="AU7" s="32">
        <f t="shared" si="26"/>
        <v>2</v>
      </c>
      <c r="AV7" s="31"/>
      <c r="AW7" s="33">
        <f t="shared" si="11"/>
        <v>5</v>
      </c>
      <c r="AX7" s="30">
        <v>3</v>
      </c>
      <c r="AY7" s="32">
        <f t="shared" si="27"/>
        <v>2</v>
      </c>
      <c r="AZ7" s="31">
        <v>1</v>
      </c>
      <c r="BA7" s="33">
        <f t="shared" si="12"/>
        <v>7</v>
      </c>
      <c r="BB7" s="30">
        <v>7</v>
      </c>
      <c r="BC7" s="32">
        <f t="shared" si="28"/>
        <v>0</v>
      </c>
      <c r="BD7" s="31"/>
      <c r="BE7" s="33">
        <f t="shared" si="13"/>
        <v>7</v>
      </c>
      <c r="BF7" s="30">
        <v>6</v>
      </c>
      <c r="BG7" s="32">
        <f t="shared" si="29"/>
        <v>1</v>
      </c>
      <c r="BH7" s="31"/>
      <c r="BI7" s="33">
        <f t="shared" si="14"/>
        <v>6</v>
      </c>
      <c r="BJ7" s="30">
        <v>5</v>
      </c>
      <c r="BK7" s="32">
        <f t="shared" si="15"/>
        <v>2</v>
      </c>
      <c r="BL7" s="31">
        <v>1</v>
      </c>
      <c r="BM7" s="33">
        <f t="shared" si="16"/>
        <v>9</v>
      </c>
      <c r="BN7" s="30"/>
      <c r="BO7" s="32">
        <f t="shared" si="17"/>
        <v>9</v>
      </c>
      <c r="BP7" s="31"/>
      <c r="BQ7" s="33">
        <f t="shared" si="18"/>
        <v>0</v>
      </c>
      <c r="BR7" s="30"/>
      <c r="BS7" s="32">
        <f t="shared" si="19"/>
        <v>0</v>
      </c>
      <c r="BT7" s="31"/>
      <c r="BU7" s="33">
        <f t="shared" si="20"/>
        <v>0</v>
      </c>
      <c r="BV7" s="30"/>
      <c r="BW7" s="32">
        <f t="shared" si="21"/>
        <v>0</v>
      </c>
      <c r="BX7" s="31"/>
      <c r="BY7" s="33">
        <f t="shared" si="22"/>
        <v>0</v>
      </c>
      <c r="BZ7" s="30"/>
      <c r="CA7" s="32">
        <f t="shared" si="23"/>
        <v>0</v>
      </c>
      <c r="CB7" s="31"/>
      <c r="CC7" s="33">
        <f>+BZ7+CB7*$E7</f>
        <v>0</v>
      </c>
    </row>
    <row r="8" spans="1:81 16208:16212" ht="20.100000000000001" customHeight="1" x14ac:dyDescent="0.2">
      <c r="A8" s="12" t="s">
        <v>30</v>
      </c>
      <c r="B8" s="9" t="s">
        <v>7</v>
      </c>
      <c r="C8" s="10">
        <v>6</v>
      </c>
      <c r="D8" s="9" t="s">
        <v>355</v>
      </c>
      <c r="E8" s="13">
        <v>6</v>
      </c>
      <c r="F8" s="30">
        <v>15</v>
      </c>
      <c r="G8" s="32">
        <v>0</v>
      </c>
      <c r="H8" s="31"/>
      <c r="I8" s="33">
        <f t="shared" si="0"/>
        <v>15</v>
      </c>
      <c r="J8" s="30">
        <v>12</v>
      </c>
      <c r="K8" s="32">
        <f t="shared" ref="K8:K16" si="30">+I8-J8</f>
        <v>3</v>
      </c>
      <c r="L8" s="31"/>
      <c r="M8" s="33">
        <f t="shared" si="1"/>
        <v>12</v>
      </c>
      <c r="N8" s="30">
        <v>12</v>
      </c>
      <c r="O8" s="32">
        <f t="shared" ref="O8:O16" si="31">+M8-N8</f>
        <v>0</v>
      </c>
      <c r="P8" s="31"/>
      <c r="Q8" s="33">
        <f t="shared" si="2"/>
        <v>12</v>
      </c>
      <c r="R8" s="30">
        <v>12</v>
      </c>
      <c r="S8" s="32">
        <f t="shared" ref="S8:S16" si="32">+Q8-R8</f>
        <v>0</v>
      </c>
      <c r="T8" s="31"/>
      <c r="U8" s="33">
        <f t="shared" si="3"/>
        <v>12</v>
      </c>
      <c r="V8" s="30">
        <v>8</v>
      </c>
      <c r="W8" s="32">
        <f t="shared" ref="W8:W16" si="33">+U8-V8</f>
        <v>4</v>
      </c>
      <c r="X8" s="31"/>
      <c r="Y8" s="33">
        <f t="shared" si="4"/>
        <v>8</v>
      </c>
      <c r="Z8" s="30">
        <v>8</v>
      </c>
      <c r="AA8" s="32">
        <f t="shared" si="5"/>
        <v>0</v>
      </c>
      <c r="AB8" s="31"/>
      <c r="AC8" s="33">
        <f t="shared" si="6"/>
        <v>8</v>
      </c>
      <c r="AD8" s="30">
        <v>7</v>
      </c>
      <c r="AE8" s="32">
        <f t="shared" si="24"/>
        <v>1</v>
      </c>
      <c r="AF8" s="31"/>
      <c r="AG8" s="33">
        <f t="shared" si="7"/>
        <v>7</v>
      </c>
      <c r="AH8" s="30">
        <v>7</v>
      </c>
      <c r="AI8" s="32">
        <f t="shared" ref="AI8:AI16" si="34">+AG8-AH8</f>
        <v>0</v>
      </c>
      <c r="AJ8" s="31"/>
      <c r="AK8" s="33">
        <f t="shared" si="8"/>
        <v>7</v>
      </c>
      <c r="AL8" s="30">
        <v>6</v>
      </c>
      <c r="AM8" s="32">
        <f t="shared" ref="AM8:AM16" si="35">+AK8-AL8</f>
        <v>1</v>
      </c>
      <c r="AN8" s="31">
        <v>1</v>
      </c>
      <c r="AO8" s="33">
        <f t="shared" si="9"/>
        <v>12</v>
      </c>
      <c r="AP8" s="30">
        <v>9</v>
      </c>
      <c r="AQ8" s="32">
        <f t="shared" si="25"/>
        <v>3</v>
      </c>
      <c r="AR8" s="31">
        <v>1</v>
      </c>
      <c r="AS8" s="33">
        <f t="shared" si="10"/>
        <v>15</v>
      </c>
      <c r="AT8" s="30">
        <v>15</v>
      </c>
      <c r="AU8" s="32">
        <f t="shared" si="26"/>
        <v>0</v>
      </c>
      <c r="AV8" s="31"/>
      <c r="AW8" s="33">
        <f t="shared" si="11"/>
        <v>15</v>
      </c>
      <c r="AX8" s="30">
        <v>14</v>
      </c>
      <c r="AY8" s="32">
        <f t="shared" si="27"/>
        <v>1</v>
      </c>
      <c r="AZ8" s="31"/>
      <c r="BA8" s="33">
        <f t="shared" si="12"/>
        <v>14</v>
      </c>
      <c r="BB8" s="30">
        <v>14</v>
      </c>
      <c r="BC8" s="32">
        <f t="shared" si="28"/>
        <v>0</v>
      </c>
      <c r="BD8" s="31"/>
      <c r="BE8" s="33">
        <f t="shared" si="13"/>
        <v>14</v>
      </c>
      <c r="BF8" s="30">
        <v>13</v>
      </c>
      <c r="BG8" s="32">
        <f t="shared" si="29"/>
        <v>1</v>
      </c>
      <c r="BH8" s="31"/>
      <c r="BI8" s="33">
        <f t="shared" si="14"/>
        <v>13</v>
      </c>
      <c r="BJ8" s="30">
        <v>12</v>
      </c>
      <c r="BK8" s="32">
        <f t="shared" si="15"/>
        <v>2</v>
      </c>
      <c r="BL8" s="31"/>
      <c r="BM8" s="33">
        <f t="shared" si="16"/>
        <v>12</v>
      </c>
      <c r="BN8" s="30"/>
      <c r="BO8" s="32">
        <f t="shared" si="17"/>
        <v>12</v>
      </c>
      <c r="BP8" s="31"/>
      <c r="BQ8" s="33">
        <f t="shared" si="18"/>
        <v>0</v>
      </c>
      <c r="BR8" s="30"/>
      <c r="BS8" s="32">
        <f t="shared" si="19"/>
        <v>0</v>
      </c>
      <c r="BT8" s="31"/>
      <c r="BU8" s="33">
        <f t="shared" si="20"/>
        <v>0</v>
      </c>
      <c r="BV8" s="30"/>
      <c r="BW8" s="32">
        <f t="shared" si="21"/>
        <v>0</v>
      </c>
      <c r="BX8" s="31"/>
      <c r="BY8" s="33">
        <f t="shared" si="22"/>
        <v>0</v>
      </c>
      <c r="BZ8" s="30"/>
      <c r="CA8" s="32">
        <f t="shared" si="23"/>
        <v>0</v>
      </c>
      <c r="CB8" s="31"/>
      <c r="CC8" s="33">
        <f>+BZ8+CB8*$E8</f>
        <v>0</v>
      </c>
    </row>
    <row r="9" spans="1:81 16208:16212" ht="20.100000000000001" customHeight="1" x14ac:dyDescent="0.2">
      <c r="A9" s="12" t="s">
        <v>37</v>
      </c>
      <c r="B9" s="9" t="s">
        <v>7</v>
      </c>
      <c r="C9" s="10">
        <v>6</v>
      </c>
      <c r="D9" s="9" t="s">
        <v>355</v>
      </c>
      <c r="E9" s="13">
        <v>6</v>
      </c>
      <c r="F9" s="30">
        <v>7</v>
      </c>
      <c r="G9" s="32">
        <v>1</v>
      </c>
      <c r="H9" s="31"/>
      <c r="I9" s="33">
        <f t="shared" si="0"/>
        <v>7</v>
      </c>
      <c r="J9" s="30">
        <v>7</v>
      </c>
      <c r="K9" s="32">
        <f t="shared" si="30"/>
        <v>0</v>
      </c>
      <c r="L9" s="31"/>
      <c r="M9" s="33">
        <f t="shared" si="1"/>
        <v>7</v>
      </c>
      <c r="N9" s="30">
        <v>7</v>
      </c>
      <c r="O9" s="32">
        <f t="shared" si="31"/>
        <v>0</v>
      </c>
      <c r="P9" s="34"/>
      <c r="Q9" s="33">
        <f t="shared" si="2"/>
        <v>7</v>
      </c>
      <c r="R9" s="30">
        <v>7</v>
      </c>
      <c r="S9" s="32">
        <f t="shared" si="32"/>
        <v>0</v>
      </c>
      <c r="T9" s="31"/>
      <c r="U9" s="33">
        <f t="shared" si="3"/>
        <v>7</v>
      </c>
      <c r="V9" s="30">
        <v>7</v>
      </c>
      <c r="W9" s="32">
        <f t="shared" si="33"/>
        <v>0</v>
      </c>
      <c r="X9" s="31"/>
      <c r="Y9" s="33">
        <f t="shared" si="4"/>
        <v>7</v>
      </c>
      <c r="Z9" s="30">
        <v>7</v>
      </c>
      <c r="AA9" s="32">
        <f t="shared" si="5"/>
        <v>0</v>
      </c>
      <c r="AB9" s="31"/>
      <c r="AC9" s="33">
        <f t="shared" si="6"/>
        <v>7</v>
      </c>
      <c r="AD9" s="30">
        <v>6</v>
      </c>
      <c r="AE9" s="32">
        <f t="shared" si="24"/>
        <v>1</v>
      </c>
      <c r="AF9" s="31"/>
      <c r="AG9" s="33">
        <f t="shared" si="7"/>
        <v>6</v>
      </c>
      <c r="AH9" s="30">
        <v>6</v>
      </c>
      <c r="AI9" s="32">
        <f t="shared" si="34"/>
        <v>0</v>
      </c>
      <c r="AJ9" s="31"/>
      <c r="AK9" s="33">
        <f t="shared" si="8"/>
        <v>6</v>
      </c>
      <c r="AL9" s="30">
        <v>4</v>
      </c>
      <c r="AM9" s="32">
        <f t="shared" si="35"/>
        <v>2</v>
      </c>
      <c r="AN9" s="31">
        <v>1</v>
      </c>
      <c r="AO9" s="33">
        <f t="shared" si="9"/>
        <v>10</v>
      </c>
      <c r="AP9" s="30">
        <v>6</v>
      </c>
      <c r="AQ9" s="32">
        <f t="shared" si="25"/>
        <v>4</v>
      </c>
      <c r="AR9" s="31"/>
      <c r="AS9" s="33">
        <f t="shared" si="10"/>
        <v>6</v>
      </c>
      <c r="AT9" s="30">
        <v>6</v>
      </c>
      <c r="AU9" s="32">
        <f t="shared" si="26"/>
        <v>0</v>
      </c>
      <c r="AV9" s="31"/>
      <c r="AW9" s="33">
        <f t="shared" si="11"/>
        <v>6</v>
      </c>
      <c r="AX9" s="30">
        <v>5</v>
      </c>
      <c r="AY9" s="32">
        <f t="shared" si="27"/>
        <v>1</v>
      </c>
      <c r="AZ9" s="31">
        <v>1</v>
      </c>
      <c r="BA9" s="33">
        <f t="shared" si="12"/>
        <v>11</v>
      </c>
      <c r="BB9" s="30">
        <v>11</v>
      </c>
      <c r="BC9" s="32">
        <f t="shared" si="28"/>
        <v>0</v>
      </c>
      <c r="BD9" s="31"/>
      <c r="BE9" s="33">
        <f t="shared" si="13"/>
        <v>11</v>
      </c>
      <c r="BF9" s="30">
        <v>11</v>
      </c>
      <c r="BG9" s="32">
        <f t="shared" si="29"/>
        <v>0</v>
      </c>
      <c r="BH9" s="31"/>
      <c r="BI9" s="33">
        <f t="shared" si="14"/>
        <v>11</v>
      </c>
      <c r="BJ9" s="30">
        <v>10</v>
      </c>
      <c r="BK9" s="32">
        <f t="shared" si="15"/>
        <v>1</v>
      </c>
      <c r="BL9" s="31"/>
      <c r="BM9" s="33">
        <f t="shared" si="16"/>
        <v>10</v>
      </c>
      <c r="BN9" s="30"/>
      <c r="BO9" s="32">
        <f t="shared" si="17"/>
        <v>10</v>
      </c>
      <c r="BP9" s="31"/>
      <c r="BQ9" s="33">
        <f t="shared" si="18"/>
        <v>0</v>
      </c>
      <c r="BR9" s="30"/>
      <c r="BS9" s="32">
        <f t="shared" si="19"/>
        <v>0</v>
      </c>
      <c r="BT9" s="31"/>
      <c r="BU9" s="33">
        <f t="shared" si="20"/>
        <v>0</v>
      </c>
      <c r="BV9" s="30"/>
      <c r="BW9" s="32">
        <f t="shared" si="21"/>
        <v>0</v>
      </c>
      <c r="BX9" s="31"/>
      <c r="BY9" s="33">
        <f t="shared" si="22"/>
        <v>0</v>
      </c>
      <c r="BZ9" s="30"/>
      <c r="CA9" s="32">
        <f t="shared" si="23"/>
        <v>0</v>
      </c>
      <c r="CB9" s="31"/>
      <c r="CC9" s="33">
        <f>+BZ9+CB9*$E9</f>
        <v>0</v>
      </c>
    </row>
    <row r="10" spans="1:81 16208:16212" ht="20.100000000000001" customHeight="1" x14ac:dyDescent="0.2">
      <c r="A10" s="12" t="s">
        <v>39</v>
      </c>
      <c r="B10" s="9" t="s">
        <v>7</v>
      </c>
      <c r="C10" s="10">
        <v>6</v>
      </c>
      <c r="D10" s="9" t="s">
        <v>355</v>
      </c>
      <c r="E10" s="13">
        <v>6</v>
      </c>
      <c r="F10" s="30">
        <v>9</v>
      </c>
      <c r="G10" s="32">
        <v>4</v>
      </c>
      <c r="H10" s="31">
        <v>1</v>
      </c>
      <c r="I10" s="33">
        <f t="shared" si="0"/>
        <v>15</v>
      </c>
      <c r="J10" s="30">
        <v>11</v>
      </c>
      <c r="K10" s="32">
        <f>+I10-J10</f>
        <v>4</v>
      </c>
      <c r="L10" s="31"/>
      <c r="M10" s="33">
        <f t="shared" si="1"/>
        <v>11</v>
      </c>
      <c r="N10" s="30">
        <v>10</v>
      </c>
      <c r="O10" s="32">
        <f>+M10-N10</f>
        <v>1</v>
      </c>
      <c r="P10" s="34"/>
      <c r="Q10" s="33">
        <f t="shared" si="2"/>
        <v>10</v>
      </c>
      <c r="R10" s="30">
        <v>8</v>
      </c>
      <c r="S10" s="32">
        <f>+Q10-R10</f>
        <v>2</v>
      </c>
      <c r="T10" s="31"/>
      <c r="U10" s="33">
        <f t="shared" si="3"/>
        <v>8</v>
      </c>
      <c r="V10" s="30">
        <v>7</v>
      </c>
      <c r="W10" s="32">
        <f>+U10-V10</f>
        <v>1</v>
      </c>
      <c r="X10" s="34">
        <v>1</v>
      </c>
      <c r="Y10" s="33">
        <f t="shared" si="4"/>
        <v>13</v>
      </c>
      <c r="Z10" s="30">
        <v>10</v>
      </c>
      <c r="AA10" s="32">
        <f>Y10-Z10</f>
        <v>3</v>
      </c>
      <c r="AB10" s="31"/>
      <c r="AC10" s="33">
        <f t="shared" si="6"/>
        <v>10</v>
      </c>
      <c r="AD10" s="30">
        <v>4</v>
      </c>
      <c r="AE10" s="32">
        <f t="shared" si="24"/>
        <v>6</v>
      </c>
      <c r="AF10" s="31">
        <v>1</v>
      </c>
      <c r="AG10" s="33">
        <f t="shared" si="7"/>
        <v>10</v>
      </c>
      <c r="AH10" s="30">
        <v>10</v>
      </c>
      <c r="AI10" s="32">
        <f>+AG10-AH10</f>
        <v>0</v>
      </c>
      <c r="AJ10" s="31"/>
      <c r="AK10" s="33">
        <f t="shared" si="8"/>
        <v>10</v>
      </c>
      <c r="AL10" s="30">
        <v>6</v>
      </c>
      <c r="AM10" s="32">
        <f>+AK10-AL10</f>
        <v>4</v>
      </c>
      <c r="AN10" s="31">
        <v>1</v>
      </c>
      <c r="AO10" s="33">
        <f t="shared" si="9"/>
        <v>12</v>
      </c>
      <c r="AP10" s="30">
        <v>10</v>
      </c>
      <c r="AQ10" s="32">
        <f t="shared" si="25"/>
        <v>2</v>
      </c>
      <c r="AR10" s="31"/>
      <c r="AS10" s="33">
        <f t="shared" si="10"/>
        <v>10</v>
      </c>
      <c r="AT10" s="30">
        <v>10</v>
      </c>
      <c r="AU10" s="32">
        <f t="shared" si="26"/>
        <v>0</v>
      </c>
      <c r="AV10" s="31"/>
      <c r="AW10" s="33">
        <f t="shared" si="11"/>
        <v>10</v>
      </c>
      <c r="AX10" s="30">
        <v>7</v>
      </c>
      <c r="AY10" s="32">
        <f t="shared" si="27"/>
        <v>3</v>
      </c>
      <c r="AZ10" s="31">
        <v>1</v>
      </c>
      <c r="BA10" s="33">
        <f t="shared" si="12"/>
        <v>13</v>
      </c>
      <c r="BB10" s="30">
        <v>9</v>
      </c>
      <c r="BC10" s="32">
        <f t="shared" si="28"/>
        <v>4</v>
      </c>
      <c r="BD10" s="31"/>
      <c r="BE10" s="33">
        <f t="shared" si="13"/>
        <v>9</v>
      </c>
      <c r="BF10" s="30">
        <v>4</v>
      </c>
      <c r="BG10" s="32">
        <f t="shared" si="29"/>
        <v>5</v>
      </c>
      <c r="BH10" s="31">
        <v>1</v>
      </c>
      <c r="BI10" s="33">
        <f t="shared" si="14"/>
        <v>10</v>
      </c>
      <c r="BJ10" s="30">
        <v>7</v>
      </c>
      <c r="BK10" s="32">
        <f t="shared" si="15"/>
        <v>6</v>
      </c>
      <c r="BL10" s="31">
        <v>1</v>
      </c>
      <c r="BM10" s="33">
        <f t="shared" si="16"/>
        <v>13</v>
      </c>
      <c r="BN10" s="30"/>
      <c r="BO10" s="32">
        <f t="shared" si="17"/>
        <v>13</v>
      </c>
      <c r="BP10" s="31"/>
      <c r="BQ10" s="33">
        <f t="shared" si="18"/>
        <v>0</v>
      </c>
      <c r="BR10" s="30"/>
      <c r="BS10" s="32">
        <f t="shared" si="19"/>
        <v>0</v>
      </c>
      <c r="BT10" s="31"/>
      <c r="BU10" s="33">
        <f t="shared" si="20"/>
        <v>0</v>
      </c>
      <c r="BV10" s="30"/>
      <c r="BW10" s="32">
        <f t="shared" si="21"/>
        <v>0</v>
      </c>
      <c r="BX10" s="31"/>
      <c r="BY10" s="33">
        <f t="shared" si="22"/>
        <v>0</v>
      </c>
      <c r="BZ10" s="30"/>
      <c r="CA10" s="32">
        <f t="shared" si="23"/>
        <v>0</v>
      </c>
      <c r="CB10" s="31"/>
      <c r="CC10" s="33">
        <f>+BZ10+CB10*$E10</f>
        <v>0</v>
      </c>
    </row>
    <row r="11" spans="1:81 16208:16212" ht="20.100000000000001" customHeight="1" x14ac:dyDescent="0.2">
      <c r="A11" s="12" t="s">
        <v>40</v>
      </c>
      <c r="B11" s="9" t="s">
        <v>7</v>
      </c>
      <c r="C11" s="10">
        <v>6</v>
      </c>
      <c r="D11" s="9" t="s">
        <v>355</v>
      </c>
      <c r="E11" s="13">
        <v>6</v>
      </c>
      <c r="F11" s="30">
        <v>6</v>
      </c>
      <c r="G11" s="32">
        <v>3</v>
      </c>
      <c r="H11" s="31">
        <v>1</v>
      </c>
      <c r="I11" s="33">
        <f t="shared" si="0"/>
        <v>12</v>
      </c>
      <c r="J11" s="30">
        <v>10</v>
      </c>
      <c r="K11" s="32">
        <f t="shared" si="30"/>
        <v>2</v>
      </c>
      <c r="L11" s="31"/>
      <c r="M11" s="33">
        <f t="shared" si="1"/>
        <v>10</v>
      </c>
      <c r="N11" s="30">
        <v>8</v>
      </c>
      <c r="O11" s="32">
        <f t="shared" si="31"/>
        <v>2</v>
      </c>
      <c r="P11" s="31"/>
      <c r="Q11" s="33">
        <f t="shared" si="2"/>
        <v>8</v>
      </c>
      <c r="R11" s="30">
        <v>8</v>
      </c>
      <c r="S11" s="32">
        <f t="shared" si="32"/>
        <v>0</v>
      </c>
      <c r="T11" s="31"/>
      <c r="U11" s="33">
        <f t="shared" si="3"/>
        <v>8</v>
      </c>
      <c r="V11" s="30">
        <v>8</v>
      </c>
      <c r="W11" s="32">
        <f t="shared" si="33"/>
        <v>0</v>
      </c>
      <c r="X11" s="31"/>
      <c r="Y11" s="33">
        <f t="shared" si="4"/>
        <v>8</v>
      </c>
      <c r="Z11" s="30">
        <v>8</v>
      </c>
      <c r="AA11" s="32">
        <f t="shared" ref="AA11:AA18" si="36">Y11-Z11</f>
        <v>0</v>
      </c>
      <c r="AB11" s="31"/>
      <c r="AC11" s="33">
        <f t="shared" si="6"/>
        <v>8</v>
      </c>
      <c r="AD11" s="30">
        <v>6</v>
      </c>
      <c r="AE11" s="32">
        <f t="shared" si="24"/>
        <v>2</v>
      </c>
      <c r="AF11" s="31"/>
      <c r="AG11" s="33">
        <f t="shared" si="7"/>
        <v>6</v>
      </c>
      <c r="AH11" s="30">
        <v>5</v>
      </c>
      <c r="AI11" s="32">
        <f t="shared" si="34"/>
        <v>1</v>
      </c>
      <c r="AJ11" s="31"/>
      <c r="AK11" s="33">
        <f t="shared" si="8"/>
        <v>5</v>
      </c>
      <c r="AL11" s="30">
        <v>1</v>
      </c>
      <c r="AM11" s="32">
        <f t="shared" si="35"/>
        <v>4</v>
      </c>
      <c r="AN11" s="31">
        <v>1</v>
      </c>
      <c r="AO11" s="33">
        <f t="shared" si="9"/>
        <v>7</v>
      </c>
      <c r="AP11" s="30">
        <v>6</v>
      </c>
      <c r="AQ11" s="32">
        <f t="shared" si="25"/>
        <v>1</v>
      </c>
      <c r="AR11" s="31"/>
      <c r="AS11" s="33">
        <f t="shared" si="10"/>
        <v>6</v>
      </c>
      <c r="AT11" s="30">
        <v>6</v>
      </c>
      <c r="AU11" s="32">
        <f t="shared" si="26"/>
        <v>0</v>
      </c>
      <c r="AV11" s="31"/>
      <c r="AW11" s="33">
        <f t="shared" si="11"/>
        <v>6</v>
      </c>
      <c r="AX11" s="30">
        <v>6</v>
      </c>
      <c r="AY11" s="32">
        <f t="shared" si="27"/>
        <v>0</v>
      </c>
      <c r="AZ11" s="31"/>
      <c r="BA11" s="33">
        <f t="shared" si="12"/>
        <v>6</v>
      </c>
      <c r="BB11" s="30">
        <v>5</v>
      </c>
      <c r="BC11" s="32">
        <f t="shared" si="28"/>
        <v>1</v>
      </c>
      <c r="BD11" s="31"/>
      <c r="BE11" s="33">
        <f t="shared" si="13"/>
        <v>5</v>
      </c>
      <c r="BF11" s="30">
        <v>4</v>
      </c>
      <c r="BG11" s="32">
        <f t="shared" si="29"/>
        <v>1</v>
      </c>
      <c r="BH11" s="31"/>
      <c r="BI11" s="33">
        <f t="shared" si="14"/>
        <v>4</v>
      </c>
      <c r="BJ11" s="30">
        <v>3</v>
      </c>
      <c r="BK11" s="32">
        <f t="shared" si="15"/>
        <v>3</v>
      </c>
      <c r="BL11" s="31">
        <v>1</v>
      </c>
      <c r="BM11" s="33">
        <f t="shared" si="16"/>
        <v>9</v>
      </c>
      <c r="BN11" s="30"/>
      <c r="BO11" s="32">
        <f t="shared" si="17"/>
        <v>9</v>
      </c>
      <c r="BP11" s="31"/>
      <c r="BQ11" s="33">
        <f t="shared" si="18"/>
        <v>0</v>
      </c>
      <c r="BR11" s="30"/>
      <c r="BS11" s="32">
        <f t="shared" si="19"/>
        <v>0</v>
      </c>
      <c r="BT11" s="31"/>
      <c r="BU11" s="33">
        <f t="shared" si="20"/>
        <v>0</v>
      </c>
      <c r="BV11" s="30"/>
      <c r="BW11" s="32">
        <f t="shared" si="21"/>
        <v>0</v>
      </c>
      <c r="BX11" s="31"/>
      <c r="BY11" s="33">
        <f t="shared" si="22"/>
        <v>0</v>
      </c>
      <c r="BZ11" s="30"/>
      <c r="CA11" s="32">
        <f t="shared" si="23"/>
        <v>0</v>
      </c>
      <c r="CB11" s="31"/>
      <c r="CC11" s="33">
        <f>+BZ11+CB11*$E11</f>
        <v>0</v>
      </c>
    </row>
    <row r="12" spans="1:81 16208:16212" ht="20.100000000000001" customHeight="1" x14ac:dyDescent="0.2">
      <c r="A12" s="12" t="s">
        <v>47</v>
      </c>
      <c r="B12" s="9" t="s">
        <v>7</v>
      </c>
      <c r="C12" s="136">
        <v>6</v>
      </c>
      <c r="D12" s="9" t="s">
        <v>355</v>
      </c>
      <c r="E12" s="13">
        <v>6</v>
      </c>
      <c r="F12" s="30">
        <v>8</v>
      </c>
      <c r="G12" s="32">
        <v>1</v>
      </c>
      <c r="H12" s="31"/>
      <c r="I12" s="33">
        <f t="shared" si="0"/>
        <v>8</v>
      </c>
      <c r="J12" s="30">
        <v>8</v>
      </c>
      <c r="K12" s="32">
        <f>+I12-J12</f>
        <v>0</v>
      </c>
      <c r="L12" s="31"/>
      <c r="M12" s="33">
        <f t="shared" si="1"/>
        <v>8</v>
      </c>
      <c r="N12" s="30">
        <v>7</v>
      </c>
      <c r="O12" s="32">
        <f>+M12-N12</f>
        <v>1</v>
      </c>
      <c r="P12" s="34"/>
      <c r="Q12" s="33">
        <f t="shared" si="2"/>
        <v>7</v>
      </c>
      <c r="R12" s="30">
        <v>6</v>
      </c>
      <c r="S12" s="32">
        <f>+Q12-R12</f>
        <v>1</v>
      </c>
      <c r="T12" s="31"/>
      <c r="U12" s="33">
        <f t="shared" si="3"/>
        <v>6</v>
      </c>
      <c r="V12" s="30">
        <v>5</v>
      </c>
      <c r="W12" s="32">
        <f>+U12-V12</f>
        <v>1</v>
      </c>
      <c r="X12" s="31"/>
      <c r="Y12" s="33">
        <f t="shared" si="4"/>
        <v>5</v>
      </c>
      <c r="Z12" s="30">
        <v>4</v>
      </c>
      <c r="AA12" s="32">
        <f t="shared" si="36"/>
        <v>1</v>
      </c>
      <c r="AB12" s="31"/>
      <c r="AC12" s="33">
        <f t="shared" si="6"/>
        <v>4</v>
      </c>
      <c r="AD12" s="30">
        <v>4</v>
      </c>
      <c r="AE12" s="32">
        <f t="shared" si="24"/>
        <v>0</v>
      </c>
      <c r="AF12" s="31"/>
      <c r="AG12" s="33">
        <f t="shared" si="7"/>
        <v>4</v>
      </c>
      <c r="AH12" s="30">
        <v>3</v>
      </c>
      <c r="AI12" s="32">
        <f>+AG12-AH12</f>
        <v>1</v>
      </c>
      <c r="AJ12" s="31"/>
      <c r="AK12" s="33">
        <f t="shared" si="8"/>
        <v>3</v>
      </c>
      <c r="AL12" s="30">
        <v>3</v>
      </c>
      <c r="AM12" s="32">
        <f>+AK12-AL12</f>
        <v>0</v>
      </c>
      <c r="AN12" s="31"/>
      <c r="AO12" s="33">
        <f t="shared" si="9"/>
        <v>3</v>
      </c>
      <c r="AP12" s="30">
        <v>2</v>
      </c>
      <c r="AQ12" s="32">
        <f t="shared" si="25"/>
        <v>1</v>
      </c>
      <c r="AR12" s="31"/>
      <c r="AS12" s="33">
        <f t="shared" si="10"/>
        <v>2</v>
      </c>
      <c r="AT12" s="30">
        <v>1</v>
      </c>
      <c r="AU12" s="32">
        <f t="shared" si="26"/>
        <v>1</v>
      </c>
      <c r="AV12" s="31">
        <v>1</v>
      </c>
      <c r="AW12" s="33">
        <f t="shared" si="11"/>
        <v>7</v>
      </c>
      <c r="AX12" s="30">
        <v>7</v>
      </c>
      <c r="AY12" s="32">
        <f t="shared" si="27"/>
        <v>0</v>
      </c>
      <c r="AZ12" s="31"/>
      <c r="BA12" s="33">
        <f t="shared" si="12"/>
        <v>7</v>
      </c>
      <c r="BB12" s="30">
        <v>5</v>
      </c>
      <c r="BC12" s="32">
        <f t="shared" si="28"/>
        <v>2</v>
      </c>
      <c r="BD12" s="31"/>
      <c r="BE12" s="33">
        <f t="shared" si="13"/>
        <v>5</v>
      </c>
      <c r="BF12" s="30">
        <v>5</v>
      </c>
      <c r="BG12" s="32">
        <f t="shared" si="29"/>
        <v>0</v>
      </c>
      <c r="BH12" s="31"/>
      <c r="BI12" s="33">
        <f t="shared" si="14"/>
        <v>5</v>
      </c>
      <c r="BJ12" s="30">
        <v>4</v>
      </c>
      <c r="BK12" s="32">
        <f t="shared" si="15"/>
        <v>3</v>
      </c>
      <c r="BL12" s="31">
        <v>1</v>
      </c>
      <c r="BM12" s="33">
        <f t="shared" si="16"/>
        <v>10</v>
      </c>
      <c r="BN12" s="30"/>
      <c r="BO12" s="32">
        <f t="shared" si="17"/>
        <v>10</v>
      </c>
      <c r="BP12" s="31"/>
      <c r="BQ12" s="33">
        <f t="shared" si="18"/>
        <v>0</v>
      </c>
      <c r="BR12" s="30"/>
      <c r="BS12" s="32">
        <f t="shared" si="19"/>
        <v>0</v>
      </c>
      <c r="BT12" s="31"/>
      <c r="BU12" s="33">
        <f t="shared" si="20"/>
        <v>0</v>
      </c>
      <c r="BV12" s="30"/>
      <c r="BW12" s="32">
        <f t="shared" si="21"/>
        <v>0</v>
      </c>
      <c r="BX12" s="31"/>
      <c r="BY12" s="33">
        <f t="shared" si="22"/>
        <v>0</v>
      </c>
      <c r="BZ12" s="30"/>
      <c r="CA12" s="32">
        <f t="shared" si="23"/>
        <v>0</v>
      </c>
      <c r="CB12" s="31"/>
      <c r="CC12" s="33">
        <f>+BZ12+CB12*$E12</f>
        <v>0</v>
      </c>
      <c r="WYJ12" s="8"/>
      <c r="WYK12" s="8"/>
      <c r="WYL12" s="35"/>
      <c r="WYM12" s="8"/>
      <c r="WYN12" s="36"/>
    </row>
    <row r="13" spans="1:81 16208:16212" ht="20.100000000000001" customHeight="1" x14ac:dyDescent="0.2">
      <c r="A13" s="12" t="s">
        <v>48</v>
      </c>
      <c r="B13" s="9" t="s">
        <v>7</v>
      </c>
      <c r="C13" s="10">
        <v>6</v>
      </c>
      <c r="D13" s="9" t="s">
        <v>355</v>
      </c>
      <c r="E13" s="13">
        <v>6</v>
      </c>
      <c r="F13" s="30">
        <v>9</v>
      </c>
      <c r="G13" s="32">
        <v>0</v>
      </c>
      <c r="H13" s="31"/>
      <c r="I13" s="33">
        <f t="shared" si="0"/>
        <v>9</v>
      </c>
      <c r="J13" s="30">
        <v>9</v>
      </c>
      <c r="K13" s="32">
        <f t="shared" si="30"/>
        <v>0</v>
      </c>
      <c r="L13" s="31"/>
      <c r="M13" s="33">
        <f t="shared" si="1"/>
        <v>9</v>
      </c>
      <c r="N13" s="30">
        <v>9</v>
      </c>
      <c r="O13" s="32">
        <f t="shared" si="31"/>
        <v>0</v>
      </c>
      <c r="P13" s="31"/>
      <c r="Q13" s="33">
        <f t="shared" si="2"/>
        <v>9</v>
      </c>
      <c r="R13" s="30">
        <v>9</v>
      </c>
      <c r="S13" s="32">
        <f t="shared" si="32"/>
        <v>0</v>
      </c>
      <c r="T13" s="31"/>
      <c r="U13" s="33">
        <f t="shared" si="3"/>
        <v>9</v>
      </c>
      <c r="V13" s="30">
        <v>9</v>
      </c>
      <c r="W13" s="32">
        <f t="shared" si="33"/>
        <v>0</v>
      </c>
      <c r="X13" s="31"/>
      <c r="Y13" s="33">
        <f t="shared" si="4"/>
        <v>9</v>
      </c>
      <c r="Z13" s="30">
        <v>8</v>
      </c>
      <c r="AA13" s="32">
        <f t="shared" si="36"/>
        <v>1</v>
      </c>
      <c r="AB13" s="31"/>
      <c r="AC13" s="33">
        <f t="shared" si="6"/>
        <v>8</v>
      </c>
      <c r="AD13" s="30">
        <v>8</v>
      </c>
      <c r="AE13" s="32">
        <f t="shared" si="24"/>
        <v>0</v>
      </c>
      <c r="AF13" s="31"/>
      <c r="AG13" s="33">
        <f t="shared" si="7"/>
        <v>8</v>
      </c>
      <c r="AH13" s="30">
        <v>8</v>
      </c>
      <c r="AI13" s="32">
        <f t="shared" si="34"/>
        <v>0</v>
      </c>
      <c r="AJ13" s="31"/>
      <c r="AK13" s="33">
        <f t="shared" si="8"/>
        <v>8</v>
      </c>
      <c r="AL13" s="30">
        <v>8</v>
      </c>
      <c r="AM13" s="32">
        <f t="shared" si="35"/>
        <v>0</v>
      </c>
      <c r="AN13" s="31"/>
      <c r="AO13" s="33">
        <f t="shared" si="9"/>
        <v>8</v>
      </c>
      <c r="AP13" s="30">
        <v>8</v>
      </c>
      <c r="AQ13" s="32">
        <f t="shared" si="25"/>
        <v>0</v>
      </c>
      <c r="AR13" s="31"/>
      <c r="AS13" s="33">
        <f t="shared" si="10"/>
        <v>8</v>
      </c>
      <c r="AT13" s="30">
        <v>8</v>
      </c>
      <c r="AU13" s="32">
        <f t="shared" si="26"/>
        <v>0</v>
      </c>
      <c r="AV13" s="31"/>
      <c r="AW13" s="33">
        <f t="shared" si="11"/>
        <v>8</v>
      </c>
      <c r="AX13" s="30">
        <v>8</v>
      </c>
      <c r="AY13" s="32">
        <f t="shared" si="27"/>
        <v>0</v>
      </c>
      <c r="AZ13" s="31"/>
      <c r="BA13" s="33">
        <f t="shared" si="12"/>
        <v>8</v>
      </c>
      <c r="BB13" s="30">
        <v>6</v>
      </c>
      <c r="BC13" s="32">
        <f t="shared" si="28"/>
        <v>2</v>
      </c>
      <c r="BD13" s="31"/>
      <c r="BE13" s="33">
        <f t="shared" si="13"/>
        <v>6</v>
      </c>
      <c r="BF13" s="30">
        <v>6</v>
      </c>
      <c r="BG13" s="32">
        <f t="shared" si="29"/>
        <v>0</v>
      </c>
      <c r="BH13" s="31"/>
      <c r="BI13" s="33">
        <f t="shared" si="14"/>
        <v>6</v>
      </c>
      <c r="BJ13" s="30">
        <v>8</v>
      </c>
      <c r="BK13" s="32">
        <f t="shared" si="15"/>
        <v>0</v>
      </c>
      <c r="BL13" s="31"/>
      <c r="BM13" s="33">
        <f t="shared" si="16"/>
        <v>8</v>
      </c>
      <c r="BN13" s="30"/>
      <c r="BO13" s="32">
        <f t="shared" si="17"/>
        <v>8</v>
      </c>
      <c r="BP13" s="31"/>
      <c r="BQ13" s="33">
        <f t="shared" si="18"/>
        <v>0</v>
      </c>
      <c r="BR13" s="30"/>
      <c r="BS13" s="32">
        <f t="shared" si="19"/>
        <v>0</v>
      </c>
      <c r="BT13" s="31"/>
      <c r="BU13" s="33">
        <f t="shared" si="20"/>
        <v>0</v>
      </c>
      <c r="BV13" s="30"/>
      <c r="BW13" s="32">
        <f t="shared" si="21"/>
        <v>0</v>
      </c>
      <c r="BX13" s="31"/>
      <c r="BY13" s="33">
        <f t="shared" si="22"/>
        <v>0</v>
      </c>
      <c r="BZ13" s="30"/>
      <c r="CA13" s="32">
        <f t="shared" si="23"/>
        <v>0</v>
      </c>
      <c r="CB13" s="31"/>
      <c r="CC13" s="33">
        <f>+BZ13+CB13*$E13</f>
        <v>0</v>
      </c>
    </row>
    <row r="14" spans="1:81 16208:16212" ht="20.100000000000001" customHeight="1" x14ac:dyDescent="0.2">
      <c r="A14" s="12" t="s">
        <v>50</v>
      </c>
      <c r="B14" s="9" t="s">
        <v>346</v>
      </c>
      <c r="C14" s="10">
        <v>1</v>
      </c>
      <c r="D14" s="9" t="s">
        <v>346</v>
      </c>
      <c r="E14" s="13">
        <v>1</v>
      </c>
      <c r="F14" s="30">
        <v>5</v>
      </c>
      <c r="G14" s="32">
        <v>0</v>
      </c>
      <c r="H14" s="31"/>
      <c r="I14" s="33">
        <f t="shared" si="0"/>
        <v>5</v>
      </c>
      <c r="J14" s="30">
        <v>5</v>
      </c>
      <c r="K14" s="32">
        <f t="shared" si="30"/>
        <v>0</v>
      </c>
      <c r="L14" s="31"/>
      <c r="M14" s="33">
        <f t="shared" si="1"/>
        <v>5</v>
      </c>
      <c r="N14" s="30">
        <v>5</v>
      </c>
      <c r="O14" s="32">
        <f t="shared" si="31"/>
        <v>0</v>
      </c>
      <c r="P14" s="34"/>
      <c r="Q14" s="33">
        <f t="shared" si="2"/>
        <v>5</v>
      </c>
      <c r="R14" s="30">
        <v>5</v>
      </c>
      <c r="S14" s="32">
        <f t="shared" si="32"/>
        <v>0</v>
      </c>
      <c r="T14" s="31"/>
      <c r="U14" s="33">
        <f t="shared" si="3"/>
        <v>5</v>
      </c>
      <c r="V14" s="30">
        <v>5</v>
      </c>
      <c r="W14" s="32">
        <f t="shared" si="33"/>
        <v>0</v>
      </c>
      <c r="X14" s="34"/>
      <c r="Y14" s="33">
        <f t="shared" si="4"/>
        <v>5</v>
      </c>
      <c r="Z14" s="30">
        <v>5</v>
      </c>
      <c r="AA14" s="32">
        <f t="shared" si="36"/>
        <v>0</v>
      </c>
      <c r="AB14" s="31"/>
      <c r="AC14" s="33">
        <f t="shared" si="6"/>
        <v>5</v>
      </c>
      <c r="AD14" s="30">
        <v>5</v>
      </c>
      <c r="AE14" s="32">
        <f t="shared" si="24"/>
        <v>0</v>
      </c>
      <c r="AF14" s="31"/>
      <c r="AG14" s="33">
        <f t="shared" si="7"/>
        <v>5</v>
      </c>
      <c r="AH14" s="30">
        <v>5</v>
      </c>
      <c r="AI14" s="32">
        <f t="shared" si="34"/>
        <v>0</v>
      </c>
      <c r="AJ14" s="31"/>
      <c r="AK14" s="33">
        <f t="shared" si="8"/>
        <v>5</v>
      </c>
      <c r="AL14" s="30">
        <v>5</v>
      </c>
      <c r="AM14" s="32">
        <f t="shared" si="35"/>
        <v>0</v>
      </c>
      <c r="AN14" s="31"/>
      <c r="AO14" s="33">
        <f t="shared" si="9"/>
        <v>5</v>
      </c>
      <c r="AP14" s="30">
        <v>5</v>
      </c>
      <c r="AQ14" s="32">
        <f t="shared" si="25"/>
        <v>0</v>
      </c>
      <c r="AR14" s="31"/>
      <c r="AS14" s="33">
        <f t="shared" si="10"/>
        <v>5</v>
      </c>
      <c r="AT14" s="30">
        <v>5</v>
      </c>
      <c r="AU14" s="32">
        <f t="shared" si="26"/>
        <v>0</v>
      </c>
      <c r="AV14" s="31"/>
      <c r="AW14" s="33">
        <f t="shared" si="11"/>
        <v>5</v>
      </c>
      <c r="AX14" s="30">
        <v>5</v>
      </c>
      <c r="AY14" s="32">
        <f t="shared" si="27"/>
        <v>0</v>
      </c>
      <c r="AZ14" s="31"/>
      <c r="BA14" s="33">
        <f t="shared" si="12"/>
        <v>5</v>
      </c>
      <c r="BB14" s="30">
        <v>5</v>
      </c>
      <c r="BC14" s="32">
        <f t="shared" si="28"/>
        <v>0</v>
      </c>
      <c r="BD14" s="31"/>
      <c r="BE14" s="33">
        <f t="shared" si="13"/>
        <v>5</v>
      </c>
      <c r="BF14" s="30">
        <v>5</v>
      </c>
      <c r="BG14" s="32">
        <f t="shared" si="29"/>
        <v>0</v>
      </c>
      <c r="BH14" s="31"/>
      <c r="BI14" s="33">
        <f t="shared" si="14"/>
        <v>5</v>
      </c>
      <c r="BJ14" s="30">
        <v>5</v>
      </c>
      <c r="BK14" s="32">
        <f t="shared" si="15"/>
        <v>0</v>
      </c>
      <c r="BL14" s="31"/>
      <c r="BM14" s="33">
        <f t="shared" si="16"/>
        <v>5</v>
      </c>
      <c r="BN14" s="30"/>
      <c r="BO14" s="32">
        <f t="shared" si="17"/>
        <v>5</v>
      </c>
      <c r="BP14" s="31"/>
      <c r="BQ14" s="33">
        <f t="shared" si="18"/>
        <v>0</v>
      </c>
      <c r="BR14" s="30"/>
      <c r="BS14" s="32">
        <f t="shared" si="19"/>
        <v>0</v>
      </c>
      <c r="BT14" s="31"/>
      <c r="BU14" s="33">
        <f t="shared" si="20"/>
        <v>0</v>
      </c>
      <c r="BV14" s="30"/>
      <c r="BW14" s="32">
        <f t="shared" si="21"/>
        <v>0</v>
      </c>
      <c r="BX14" s="31"/>
      <c r="BY14" s="33">
        <f t="shared" si="22"/>
        <v>0</v>
      </c>
      <c r="BZ14" s="30"/>
      <c r="CA14" s="32">
        <f t="shared" si="23"/>
        <v>0</v>
      </c>
      <c r="CB14" s="31"/>
      <c r="CC14" s="33">
        <f>+BZ14+CB14*$E14</f>
        <v>0</v>
      </c>
    </row>
    <row r="15" spans="1:81 16208:16212" ht="20.100000000000001" customHeight="1" x14ac:dyDescent="0.2">
      <c r="A15" s="12" t="s">
        <v>51</v>
      </c>
      <c r="B15" s="9" t="s">
        <v>346</v>
      </c>
      <c r="C15" s="10">
        <v>1</v>
      </c>
      <c r="D15" s="9" t="s">
        <v>346</v>
      </c>
      <c r="E15" s="13">
        <v>1</v>
      </c>
      <c r="F15" s="30">
        <v>3</v>
      </c>
      <c r="G15" s="32">
        <v>0</v>
      </c>
      <c r="H15" s="31"/>
      <c r="I15" s="33">
        <f t="shared" si="0"/>
        <v>3</v>
      </c>
      <c r="J15" s="30">
        <v>3</v>
      </c>
      <c r="K15" s="32">
        <f t="shared" si="30"/>
        <v>0</v>
      </c>
      <c r="L15" s="31"/>
      <c r="M15" s="33">
        <f t="shared" si="1"/>
        <v>3</v>
      </c>
      <c r="N15" s="30">
        <v>3</v>
      </c>
      <c r="O15" s="32">
        <f t="shared" si="31"/>
        <v>0</v>
      </c>
      <c r="P15" s="31"/>
      <c r="Q15" s="33">
        <f t="shared" si="2"/>
        <v>3</v>
      </c>
      <c r="R15" s="30">
        <v>3</v>
      </c>
      <c r="S15" s="32">
        <f t="shared" si="32"/>
        <v>0</v>
      </c>
      <c r="T15" s="31"/>
      <c r="U15" s="33">
        <f t="shared" si="3"/>
        <v>3</v>
      </c>
      <c r="V15" s="30">
        <v>3</v>
      </c>
      <c r="W15" s="32">
        <f t="shared" si="33"/>
        <v>0</v>
      </c>
      <c r="X15" s="31"/>
      <c r="Y15" s="33">
        <f t="shared" si="4"/>
        <v>3</v>
      </c>
      <c r="Z15" s="30">
        <v>3</v>
      </c>
      <c r="AA15" s="32">
        <f t="shared" si="36"/>
        <v>0</v>
      </c>
      <c r="AB15" s="31"/>
      <c r="AC15" s="33">
        <f t="shared" si="6"/>
        <v>3</v>
      </c>
      <c r="AD15" s="30">
        <v>3</v>
      </c>
      <c r="AE15" s="32">
        <f t="shared" si="24"/>
        <v>0</v>
      </c>
      <c r="AF15" s="31"/>
      <c r="AG15" s="33">
        <f t="shared" si="7"/>
        <v>3</v>
      </c>
      <c r="AH15" s="30">
        <v>3</v>
      </c>
      <c r="AI15" s="32">
        <f t="shared" si="34"/>
        <v>0</v>
      </c>
      <c r="AJ15" s="31"/>
      <c r="AK15" s="33">
        <f t="shared" si="8"/>
        <v>3</v>
      </c>
      <c r="AL15" s="30">
        <v>3</v>
      </c>
      <c r="AM15" s="32">
        <f t="shared" si="35"/>
        <v>0</v>
      </c>
      <c r="AN15" s="31"/>
      <c r="AO15" s="33">
        <f t="shared" si="9"/>
        <v>3</v>
      </c>
      <c r="AP15" s="30">
        <v>3</v>
      </c>
      <c r="AQ15" s="32">
        <f t="shared" si="25"/>
        <v>0</v>
      </c>
      <c r="AR15" s="31"/>
      <c r="AS15" s="33">
        <f t="shared" si="10"/>
        <v>3</v>
      </c>
      <c r="AT15" s="30">
        <v>3</v>
      </c>
      <c r="AU15" s="32">
        <f t="shared" si="26"/>
        <v>0</v>
      </c>
      <c r="AV15" s="31"/>
      <c r="AW15" s="33">
        <f t="shared" si="11"/>
        <v>3</v>
      </c>
      <c r="AX15" s="30">
        <v>3</v>
      </c>
      <c r="AY15" s="32">
        <f t="shared" si="27"/>
        <v>0</v>
      </c>
      <c r="AZ15" s="31"/>
      <c r="BA15" s="33">
        <f t="shared" si="12"/>
        <v>3</v>
      </c>
      <c r="BB15" s="30">
        <v>3</v>
      </c>
      <c r="BC15" s="32">
        <f t="shared" si="28"/>
        <v>0</v>
      </c>
      <c r="BD15" s="31"/>
      <c r="BE15" s="33">
        <f t="shared" si="13"/>
        <v>3</v>
      </c>
      <c r="BF15" s="30">
        <v>3</v>
      </c>
      <c r="BG15" s="32">
        <f t="shared" si="29"/>
        <v>0</v>
      </c>
      <c r="BH15" s="31"/>
      <c r="BI15" s="33">
        <f t="shared" si="14"/>
        <v>3</v>
      </c>
      <c r="BJ15" s="30">
        <v>3</v>
      </c>
      <c r="BK15" s="32">
        <f t="shared" si="15"/>
        <v>0</v>
      </c>
      <c r="BL15" s="31"/>
      <c r="BM15" s="33">
        <f t="shared" si="16"/>
        <v>3</v>
      </c>
      <c r="BN15" s="30"/>
      <c r="BO15" s="32">
        <f t="shared" si="17"/>
        <v>3</v>
      </c>
      <c r="BP15" s="31"/>
      <c r="BQ15" s="33">
        <f t="shared" si="18"/>
        <v>0</v>
      </c>
      <c r="BR15" s="30"/>
      <c r="BS15" s="32">
        <f t="shared" si="19"/>
        <v>0</v>
      </c>
      <c r="BT15" s="31"/>
      <c r="BU15" s="33">
        <f t="shared" si="20"/>
        <v>0</v>
      </c>
      <c r="BV15" s="30"/>
      <c r="BW15" s="32">
        <f t="shared" si="21"/>
        <v>0</v>
      </c>
      <c r="BX15" s="31"/>
      <c r="BY15" s="33">
        <f t="shared" si="22"/>
        <v>0</v>
      </c>
      <c r="BZ15" s="30"/>
      <c r="CA15" s="32">
        <f t="shared" si="23"/>
        <v>0</v>
      </c>
      <c r="CB15" s="31"/>
      <c r="CC15" s="33">
        <f>+BZ15+CB15*$E15</f>
        <v>0</v>
      </c>
    </row>
    <row r="16" spans="1:81 16208:16212" ht="20.100000000000001" customHeight="1" x14ac:dyDescent="0.2">
      <c r="A16" s="12" t="s">
        <v>52</v>
      </c>
      <c r="B16" s="9" t="s">
        <v>346</v>
      </c>
      <c r="C16" s="10">
        <v>1</v>
      </c>
      <c r="D16" s="9" t="s">
        <v>346</v>
      </c>
      <c r="E16" s="13">
        <v>1</v>
      </c>
      <c r="F16" s="30">
        <v>6</v>
      </c>
      <c r="G16" s="32">
        <v>0</v>
      </c>
      <c r="H16" s="31"/>
      <c r="I16" s="33">
        <f t="shared" si="0"/>
        <v>6</v>
      </c>
      <c r="J16" s="30">
        <v>6</v>
      </c>
      <c r="K16" s="32">
        <f t="shared" si="30"/>
        <v>0</v>
      </c>
      <c r="L16" s="31"/>
      <c r="M16" s="33">
        <f t="shared" si="1"/>
        <v>6</v>
      </c>
      <c r="N16" s="30">
        <v>6</v>
      </c>
      <c r="O16" s="32">
        <f t="shared" si="31"/>
        <v>0</v>
      </c>
      <c r="P16" s="34"/>
      <c r="Q16" s="33">
        <f t="shared" si="2"/>
        <v>6</v>
      </c>
      <c r="R16" s="30">
        <v>6</v>
      </c>
      <c r="S16" s="32">
        <f t="shared" si="32"/>
        <v>0</v>
      </c>
      <c r="T16" s="31"/>
      <c r="U16" s="33">
        <f t="shared" si="3"/>
        <v>6</v>
      </c>
      <c r="V16" s="30">
        <v>6</v>
      </c>
      <c r="W16" s="32">
        <f t="shared" si="33"/>
        <v>0</v>
      </c>
      <c r="X16" s="31"/>
      <c r="Y16" s="33">
        <f t="shared" si="4"/>
        <v>6</v>
      </c>
      <c r="Z16" s="30">
        <v>6</v>
      </c>
      <c r="AA16" s="32">
        <f t="shared" si="36"/>
        <v>0</v>
      </c>
      <c r="AB16" s="31"/>
      <c r="AC16" s="33">
        <f t="shared" si="6"/>
        <v>6</v>
      </c>
      <c r="AD16" s="30">
        <v>6</v>
      </c>
      <c r="AE16" s="32">
        <f t="shared" si="24"/>
        <v>0</v>
      </c>
      <c r="AF16" s="31"/>
      <c r="AG16" s="33">
        <f t="shared" si="7"/>
        <v>6</v>
      </c>
      <c r="AH16" s="30">
        <v>6</v>
      </c>
      <c r="AI16" s="32">
        <f t="shared" si="34"/>
        <v>0</v>
      </c>
      <c r="AJ16" s="31"/>
      <c r="AK16" s="33">
        <f t="shared" si="8"/>
        <v>6</v>
      </c>
      <c r="AL16" s="30">
        <v>6</v>
      </c>
      <c r="AM16" s="32">
        <f t="shared" si="35"/>
        <v>0</v>
      </c>
      <c r="AN16" s="31"/>
      <c r="AO16" s="33">
        <f t="shared" si="9"/>
        <v>6</v>
      </c>
      <c r="AP16" s="30">
        <v>6</v>
      </c>
      <c r="AQ16" s="32">
        <f t="shared" si="25"/>
        <v>0</v>
      </c>
      <c r="AR16" s="31"/>
      <c r="AS16" s="33">
        <f t="shared" si="10"/>
        <v>6</v>
      </c>
      <c r="AT16" s="30">
        <v>6</v>
      </c>
      <c r="AU16" s="32">
        <f t="shared" si="26"/>
        <v>0</v>
      </c>
      <c r="AV16" s="31"/>
      <c r="AW16" s="33">
        <f t="shared" si="11"/>
        <v>6</v>
      </c>
      <c r="AX16" s="30">
        <v>6</v>
      </c>
      <c r="AY16" s="32">
        <f t="shared" si="27"/>
        <v>0</v>
      </c>
      <c r="AZ16" s="31"/>
      <c r="BA16" s="33">
        <f t="shared" si="12"/>
        <v>6</v>
      </c>
      <c r="BB16" s="30">
        <v>6</v>
      </c>
      <c r="BC16" s="32">
        <f t="shared" si="28"/>
        <v>0</v>
      </c>
      <c r="BD16" s="31"/>
      <c r="BE16" s="33">
        <f t="shared" si="13"/>
        <v>6</v>
      </c>
      <c r="BF16" s="30">
        <v>5</v>
      </c>
      <c r="BG16" s="32">
        <f t="shared" si="29"/>
        <v>1</v>
      </c>
      <c r="BH16" s="31"/>
      <c r="BI16" s="33">
        <f t="shared" si="14"/>
        <v>5</v>
      </c>
      <c r="BJ16" s="30">
        <v>6</v>
      </c>
      <c r="BK16" s="32">
        <f t="shared" si="15"/>
        <v>0</v>
      </c>
      <c r="BL16" s="31"/>
      <c r="BM16" s="33">
        <f t="shared" si="16"/>
        <v>6</v>
      </c>
      <c r="BN16" s="30"/>
      <c r="BO16" s="32">
        <f t="shared" si="17"/>
        <v>6</v>
      </c>
      <c r="BP16" s="31"/>
      <c r="BQ16" s="33">
        <f t="shared" si="18"/>
        <v>0</v>
      </c>
      <c r="BR16" s="30"/>
      <c r="BS16" s="32">
        <f t="shared" si="19"/>
        <v>0</v>
      </c>
      <c r="BT16" s="31"/>
      <c r="BU16" s="33">
        <f t="shared" si="20"/>
        <v>0</v>
      </c>
      <c r="BV16" s="30"/>
      <c r="BW16" s="32">
        <f t="shared" si="21"/>
        <v>0</v>
      </c>
      <c r="BX16" s="31"/>
      <c r="BY16" s="33">
        <f t="shared" si="22"/>
        <v>0</v>
      </c>
      <c r="BZ16" s="30"/>
      <c r="CA16" s="32">
        <f t="shared" si="23"/>
        <v>0</v>
      </c>
      <c r="CB16" s="31"/>
      <c r="CC16" s="33">
        <f>+BZ16+CB16*$E16</f>
        <v>0</v>
      </c>
    </row>
    <row r="17" spans="1:81" ht="20.100000000000001" customHeight="1" x14ac:dyDescent="0.2">
      <c r="A17" s="12" t="s">
        <v>364</v>
      </c>
      <c r="B17" s="9" t="s">
        <v>346</v>
      </c>
      <c r="C17" s="10">
        <v>1</v>
      </c>
      <c r="D17" s="9" t="s">
        <v>346</v>
      </c>
      <c r="E17" s="13">
        <v>24</v>
      </c>
      <c r="F17" s="30">
        <v>9</v>
      </c>
      <c r="G17" s="32">
        <v>-3</v>
      </c>
      <c r="H17" s="31">
        <v>1</v>
      </c>
      <c r="I17" s="33">
        <f>+F17+H17*$E17</f>
        <v>33</v>
      </c>
      <c r="J17" s="30">
        <v>26</v>
      </c>
      <c r="K17" s="32">
        <f>+I17-J17</f>
        <v>7</v>
      </c>
      <c r="L17" s="31"/>
      <c r="M17" s="33">
        <f>+J17+L17*$E17</f>
        <v>26</v>
      </c>
      <c r="N17" s="30">
        <v>26</v>
      </c>
      <c r="O17" s="32">
        <f>+M17-N17</f>
        <v>0</v>
      </c>
      <c r="P17" s="34"/>
      <c r="Q17" s="33">
        <f>+N17+P17*$E17</f>
        <v>26</v>
      </c>
      <c r="R17" s="30">
        <v>23</v>
      </c>
      <c r="S17" s="32">
        <f>+Q17-R17</f>
        <v>3</v>
      </c>
      <c r="T17" s="31"/>
      <c r="U17" s="33">
        <f>+R17+T17*$E17</f>
        <v>23</v>
      </c>
      <c r="V17" s="30">
        <v>10</v>
      </c>
      <c r="W17" s="32">
        <f>+U17-V17</f>
        <v>13</v>
      </c>
      <c r="X17" s="34">
        <v>1</v>
      </c>
      <c r="Y17" s="33">
        <f>+V17+X17*$E17</f>
        <v>34</v>
      </c>
      <c r="Z17" s="30">
        <v>27</v>
      </c>
      <c r="AA17" s="32">
        <f t="shared" ref="AA17" si="37">Y17-Z17</f>
        <v>7</v>
      </c>
      <c r="AB17" s="31"/>
      <c r="AC17" s="33">
        <f>+Z17+AB17*$E17</f>
        <v>27</v>
      </c>
      <c r="AD17" s="30">
        <v>20</v>
      </c>
      <c r="AE17" s="32">
        <f t="shared" ref="AE17" si="38">+AC17-AD17</f>
        <v>7</v>
      </c>
      <c r="AF17" s="31"/>
      <c r="AG17" s="33">
        <f>+AD17+AF17*$E17</f>
        <v>20</v>
      </c>
      <c r="AH17" s="30">
        <v>15</v>
      </c>
      <c r="AI17" s="32">
        <f>+AG17-AH17</f>
        <v>5</v>
      </c>
      <c r="AJ17" s="31"/>
      <c r="AK17" s="33">
        <f>+AH17+AJ17*$E17</f>
        <v>15</v>
      </c>
      <c r="AL17" s="30">
        <v>8</v>
      </c>
      <c r="AM17" s="32">
        <f>+AK17-AL17</f>
        <v>7</v>
      </c>
      <c r="AN17" s="31">
        <v>1</v>
      </c>
      <c r="AO17" s="33">
        <f>+AL17+AN17*$E17</f>
        <v>32</v>
      </c>
      <c r="AP17" s="30">
        <v>29</v>
      </c>
      <c r="AQ17" s="32">
        <f t="shared" si="25"/>
        <v>3</v>
      </c>
      <c r="AR17" s="31"/>
      <c r="AS17" s="33">
        <f>+AP17+AR17*$E17</f>
        <v>29</v>
      </c>
      <c r="AT17" s="30">
        <v>29</v>
      </c>
      <c r="AU17" s="32">
        <f t="shared" si="26"/>
        <v>0</v>
      </c>
      <c r="AV17" s="31"/>
      <c r="AW17" s="33">
        <f t="shared" ref="AW17" si="39">+AT17+AV17*$E17</f>
        <v>29</v>
      </c>
      <c r="AX17" s="30">
        <v>28</v>
      </c>
      <c r="AY17" s="32">
        <f t="shared" si="27"/>
        <v>1</v>
      </c>
      <c r="AZ17" s="31"/>
      <c r="BA17" s="33">
        <f>+AX17+AZ17*$E17</f>
        <v>28</v>
      </c>
      <c r="BB17" s="30">
        <v>18</v>
      </c>
      <c r="BC17" s="32">
        <f t="shared" si="28"/>
        <v>10</v>
      </c>
      <c r="BD17" s="31"/>
      <c r="BE17" s="33">
        <f>+BB17+BD17*$E17</f>
        <v>18</v>
      </c>
      <c r="BF17" s="30">
        <v>11</v>
      </c>
      <c r="BG17" s="32">
        <f t="shared" si="29"/>
        <v>7</v>
      </c>
      <c r="BH17" s="31">
        <v>1</v>
      </c>
      <c r="BI17" s="33">
        <f>+BF17+BH17*$E17</f>
        <v>35</v>
      </c>
      <c r="BJ17" s="30">
        <v>27</v>
      </c>
      <c r="BK17" s="32">
        <f t="shared" ref="BK17" si="40">+BA17-BJ17</f>
        <v>1</v>
      </c>
      <c r="BL17" s="31"/>
      <c r="BM17" s="33">
        <f>+BJ17+BL17*$E17</f>
        <v>27</v>
      </c>
      <c r="BN17" s="30"/>
      <c r="BO17" s="32">
        <f t="shared" ref="BO17" si="41">+BM17-BN17</f>
        <v>27</v>
      </c>
      <c r="BP17" s="31"/>
      <c r="BQ17" s="33">
        <f>+BN17+BP17*$E17</f>
        <v>0</v>
      </c>
      <c r="BR17" s="30"/>
      <c r="BS17" s="32">
        <f t="shared" ref="BS17" si="42">+BQ17-BR17</f>
        <v>0</v>
      </c>
      <c r="BT17" s="31"/>
      <c r="BU17" s="33">
        <f>+BR17+BT17*$E17</f>
        <v>0</v>
      </c>
      <c r="BV17" s="30"/>
      <c r="BW17" s="32">
        <f t="shared" ref="BW17" si="43">+BQ17-BV17</f>
        <v>0</v>
      </c>
      <c r="BX17" s="31"/>
      <c r="BY17" s="33">
        <f>+BV17+BX17*$E17</f>
        <v>0</v>
      </c>
      <c r="BZ17" s="30"/>
      <c r="CA17" s="32">
        <f>+BQ17-BZ17</f>
        <v>0</v>
      </c>
      <c r="CB17" s="31"/>
      <c r="CC17" s="33">
        <f>+BZ17+CB17*$E17</f>
        <v>0</v>
      </c>
    </row>
    <row r="18" spans="1:81" ht="20.100000000000001" customHeight="1" x14ac:dyDescent="0.2">
      <c r="A18" s="12" t="s">
        <v>376</v>
      </c>
      <c r="B18" s="9" t="s">
        <v>346</v>
      </c>
      <c r="C18" s="10">
        <v>1</v>
      </c>
      <c r="D18" s="9" t="s">
        <v>346</v>
      </c>
      <c r="E18" s="13">
        <v>6</v>
      </c>
      <c r="F18" s="30">
        <v>9</v>
      </c>
      <c r="G18" s="32">
        <v>-3</v>
      </c>
      <c r="H18" s="31"/>
      <c r="I18" s="33">
        <f>+F18+H18*$E18</f>
        <v>9</v>
      </c>
      <c r="J18" s="30">
        <v>6</v>
      </c>
      <c r="K18" s="32">
        <f>+I18-J18</f>
        <v>3</v>
      </c>
      <c r="L18" s="31"/>
      <c r="M18" s="33">
        <f>+J18+L18*$E18</f>
        <v>6</v>
      </c>
      <c r="N18" s="30">
        <v>26</v>
      </c>
      <c r="O18" s="32">
        <f>+M18-N18</f>
        <v>-20</v>
      </c>
      <c r="P18" s="34"/>
      <c r="Q18" s="33">
        <f>+N18+P18*$E18</f>
        <v>26</v>
      </c>
      <c r="R18" s="30">
        <v>23</v>
      </c>
      <c r="S18" s="32">
        <f>+Q18-R18</f>
        <v>3</v>
      </c>
      <c r="T18" s="31"/>
      <c r="U18" s="33">
        <f>+R18+T18*$E18</f>
        <v>23</v>
      </c>
      <c r="V18" s="30"/>
      <c r="W18" s="32">
        <f>+U18-V18</f>
        <v>23</v>
      </c>
      <c r="X18" s="34"/>
      <c r="Y18" s="33">
        <f>+V18+X18*$E18</f>
        <v>0</v>
      </c>
      <c r="Z18" s="30"/>
      <c r="AA18" s="32">
        <f t="shared" si="36"/>
        <v>0</v>
      </c>
      <c r="AB18" s="31"/>
      <c r="AC18" s="33">
        <f>+Z18+AB18*$E18</f>
        <v>0</v>
      </c>
      <c r="AD18" s="30"/>
      <c r="AE18" s="32">
        <f t="shared" si="24"/>
        <v>0</v>
      </c>
      <c r="AF18" s="31">
        <v>1</v>
      </c>
      <c r="AG18" s="33">
        <f>+AD18+AF18*$E18</f>
        <v>6</v>
      </c>
      <c r="AH18" s="30">
        <v>6</v>
      </c>
      <c r="AI18" s="32">
        <f>+AG18-AH18</f>
        <v>0</v>
      </c>
      <c r="AJ18" s="31"/>
      <c r="AK18" s="33">
        <f>+AH18+AJ18*$E18</f>
        <v>6</v>
      </c>
      <c r="AL18" s="30">
        <v>6</v>
      </c>
      <c r="AM18" s="32">
        <f>+AK18-AL18</f>
        <v>0</v>
      </c>
      <c r="AN18" s="31"/>
      <c r="AO18" s="33">
        <f>+AL18+AN18*$E18</f>
        <v>6</v>
      </c>
      <c r="AP18" s="30">
        <v>6</v>
      </c>
      <c r="AQ18" s="32">
        <f t="shared" si="25"/>
        <v>0</v>
      </c>
      <c r="AR18" s="31"/>
      <c r="AS18" s="33">
        <f>+AP18+AR18*$E18</f>
        <v>6</v>
      </c>
      <c r="AT18" s="30">
        <v>6</v>
      </c>
      <c r="AU18" s="32">
        <f t="shared" si="26"/>
        <v>0</v>
      </c>
      <c r="AV18" s="31"/>
      <c r="AW18" s="33">
        <f t="shared" si="11"/>
        <v>6</v>
      </c>
      <c r="AX18" s="30">
        <v>5</v>
      </c>
      <c r="AY18" s="32">
        <f t="shared" si="27"/>
        <v>1</v>
      </c>
      <c r="AZ18" s="31"/>
      <c r="BA18" s="33">
        <f>+AX18+AZ18*$E18</f>
        <v>5</v>
      </c>
      <c r="BB18" s="30">
        <v>5</v>
      </c>
      <c r="BC18" s="32">
        <f t="shared" si="28"/>
        <v>0</v>
      </c>
      <c r="BD18" s="31"/>
      <c r="BE18" s="33">
        <f>+BB18+BD18*$E18</f>
        <v>5</v>
      </c>
      <c r="BF18" s="30">
        <v>4</v>
      </c>
      <c r="BG18" s="32">
        <f t="shared" si="29"/>
        <v>1</v>
      </c>
      <c r="BH18" s="31"/>
      <c r="BI18" s="33">
        <f>+BF18+BH18*$E18</f>
        <v>4</v>
      </c>
      <c r="BJ18" s="30">
        <v>4</v>
      </c>
      <c r="BK18" s="32">
        <f t="shared" si="15"/>
        <v>1</v>
      </c>
      <c r="BL18" s="31"/>
      <c r="BM18" s="33">
        <f>+BJ18+BL18*$E18</f>
        <v>4</v>
      </c>
      <c r="BN18" s="30"/>
      <c r="BO18" s="32">
        <f t="shared" si="17"/>
        <v>4</v>
      </c>
      <c r="BP18" s="31"/>
      <c r="BQ18" s="33">
        <f>+BN18+BP18*$E18</f>
        <v>0</v>
      </c>
      <c r="BR18" s="30"/>
      <c r="BS18" s="32">
        <f t="shared" si="19"/>
        <v>0</v>
      </c>
      <c r="BT18" s="31"/>
      <c r="BU18" s="33">
        <f>+BR18+BT18*$E18</f>
        <v>0</v>
      </c>
      <c r="BV18" s="30"/>
      <c r="BW18" s="32">
        <f t="shared" si="21"/>
        <v>0</v>
      </c>
      <c r="BX18" s="31"/>
      <c r="BY18" s="33">
        <f>+BV18+BX18*$E18</f>
        <v>0</v>
      </c>
      <c r="BZ18" s="30"/>
      <c r="CA18" s="32">
        <f>+BQ18-BZ18</f>
        <v>0</v>
      </c>
      <c r="CB18" s="31"/>
      <c r="CC18" s="33">
        <f>+BZ18+CB18*$E18</f>
        <v>0</v>
      </c>
    </row>
  </sheetData>
  <autoFilter ref="A2:CC18" xr:uid="{87C5A81E-C3CD-4696-B8E7-B2C77F09D931}"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7" showButton="0"/>
    <filterColumn colId="38" showButton="0"/>
    <filterColumn colId="39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9" showButton="0"/>
    <filterColumn colId="50" showButton="0"/>
    <filterColumn colId="51" showButton="0"/>
    <filterColumn colId="53" showButton="0"/>
    <filterColumn colId="54" showButton="0"/>
    <filterColumn colId="55" showButton="0"/>
    <filterColumn colId="57" showButton="0"/>
    <filterColumn colId="58" showButton="0"/>
    <filterColumn colId="59" showButton="0"/>
    <filterColumn colId="61" showButton="0"/>
    <filterColumn colId="62" showButton="0"/>
    <filterColumn colId="63" showButton="0"/>
    <filterColumn colId="65" showButton="0"/>
    <filterColumn colId="66" showButton="0"/>
    <filterColumn colId="67" showButton="0"/>
    <filterColumn colId="69" showButton="0"/>
    <filterColumn colId="70" showButton="0"/>
    <filterColumn colId="71" showButton="0"/>
    <filterColumn colId="73" showButton="0"/>
    <filterColumn colId="74" showButton="0"/>
    <filterColumn colId="75" showButton="0"/>
    <filterColumn colId="77" showButton="0"/>
    <filterColumn colId="78" showButton="0"/>
    <filterColumn colId="79" showButton="0"/>
  </autoFilter>
  <mergeCells count="19">
    <mergeCell ref="N2:Q2"/>
    <mergeCell ref="F2:I2"/>
    <mergeCell ref="J2:M2"/>
    <mergeCell ref="AP2:AS2"/>
    <mergeCell ref="AT2:AW2"/>
    <mergeCell ref="R2:U2"/>
    <mergeCell ref="V2:Y2"/>
    <mergeCell ref="Z2:AC2"/>
    <mergeCell ref="AD2:AG2"/>
    <mergeCell ref="AH2:AK2"/>
    <mergeCell ref="AL2:AO2"/>
    <mergeCell ref="BR2:BU2"/>
    <mergeCell ref="BV2:BY2"/>
    <mergeCell ref="BZ2:CC2"/>
    <mergeCell ref="AX2:BA2"/>
    <mergeCell ref="BB2:BE2"/>
    <mergeCell ref="BF2:BI2"/>
    <mergeCell ref="BJ2:BM2"/>
    <mergeCell ref="BN2:BQ2"/>
  </mergeCells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C79-CE25-449C-85DA-81B3047D6F2E}">
  <sheetPr>
    <tabColor theme="9"/>
  </sheetPr>
  <dimension ref="A2:WXL15"/>
  <sheetViews>
    <sheetView zoomScale="80" zoomScaleNormal="80" workbookViewId="0">
      <pane xSplit="5" ySplit="2" topLeftCell="BB3" activePane="bottomRight" state="frozen"/>
      <selection pane="topRight" activeCell="F1" sqref="F1"/>
      <selection pane="bottomLeft" activeCell="A3" sqref="A3"/>
      <selection pane="bottomRight" activeCell="BM21" sqref="BM21"/>
    </sheetView>
  </sheetViews>
  <sheetFormatPr baseColWidth="10" defaultColWidth="11.42578125" defaultRowHeight="12" x14ac:dyDescent="0.2"/>
  <cols>
    <col min="1" max="1" width="46.140625" style="37" customWidth="1"/>
    <col min="2" max="4" width="11.42578125" style="37"/>
    <col min="5" max="5" width="7.28515625" style="37" bestFit="1" customWidth="1"/>
    <col min="6" max="16384" width="11.42578125" style="37"/>
  </cols>
  <sheetData>
    <row r="2" spans="1:73 16180:16184" x14ac:dyDescent="0.2">
      <c r="A2" s="29"/>
      <c r="B2" s="29"/>
      <c r="C2" s="29"/>
      <c r="D2" s="29"/>
      <c r="E2" s="42"/>
      <c r="F2" s="215">
        <v>46181</v>
      </c>
      <c r="G2" s="216"/>
      <c r="H2" s="216"/>
      <c r="I2" s="217"/>
      <c r="J2" s="215">
        <v>46188</v>
      </c>
      <c r="K2" s="216"/>
      <c r="L2" s="216"/>
      <c r="M2" s="217"/>
      <c r="N2" s="215">
        <v>46195</v>
      </c>
      <c r="O2" s="216"/>
      <c r="P2" s="216"/>
      <c r="Q2" s="217"/>
      <c r="R2" s="212">
        <v>46202</v>
      </c>
      <c r="S2" s="213"/>
      <c r="T2" s="213"/>
      <c r="U2" s="214"/>
      <c r="V2" s="215">
        <v>46209</v>
      </c>
      <c r="W2" s="216"/>
      <c r="X2" s="216"/>
      <c r="Y2" s="217"/>
      <c r="Z2" s="215">
        <v>46216</v>
      </c>
      <c r="AA2" s="216"/>
      <c r="AB2" s="216"/>
      <c r="AC2" s="217"/>
      <c r="AD2" s="212">
        <v>46223</v>
      </c>
      <c r="AE2" s="213"/>
      <c r="AF2" s="213"/>
      <c r="AG2" s="214"/>
      <c r="AH2" s="212">
        <v>46230</v>
      </c>
      <c r="AI2" s="213"/>
      <c r="AJ2" s="213"/>
      <c r="AK2" s="214"/>
      <c r="AL2" s="212">
        <v>46237</v>
      </c>
      <c r="AM2" s="213"/>
      <c r="AN2" s="213"/>
      <c r="AO2" s="214"/>
      <c r="AP2" s="212">
        <v>46244</v>
      </c>
      <c r="AQ2" s="213"/>
      <c r="AR2" s="213"/>
      <c r="AS2" s="214"/>
      <c r="AT2" s="212">
        <v>46251</v>
      </c>
      <c r="AU2" s="213"/>
      <c r="AV2" s="213"/>
      <c r="AW2" s="214"/>
      <c r="AX2" s="212">
        <v>46258</v>
      </c>
      <c r="AY2" s="213"/>
      <c r="AZ2" s="213"/>
      <c r="BA2" s="214"/>
      <c r="BB2" s="212">
        <v>46265</v>
      </c>
      <c r="BC2" s="213"/>
      <c r="BD2" s="213"/>
      <c r="BE2" s="214"/>
      <c r="BF2" s="212">
        <v>46272</v>
      </c>
      <c r="BG2" s="213"/>
      <c r="BH2" s="213"/>
      <c r="BI2" s="214"/>
      <c r="BJ2" s="212">
        <v>46279</v>
      </c>
      <c r="BK2" s="213"/>
      <c r="BL2" s="213"/>
      <c r="BM2" s="214"/>
      <c r="BN2" s="212"/>
      <c r="BO2" s="213"/>
      <c r="BP2" s="213"/>
      <c r="BQ2" s="214"/>
      <c r="BR2" s="212"/>
      <c r="BS2" s="213"/>
      <c r="BT2" s="213"/>
      <c r="BU2" s="214"/>
    </row>
    <row r="3" spans="1:73 16180:16184" s="176" customFormat="1" ht="33.75" x14ac:dyDescent="0.25">
      <c r="A3" s="172" t="s">
        <v>1</v>
      </c>
      <c r="B3" s="137" t="s">
        <v>345</v>
      </c>
      <c r="C3" s="137" t="s">
        <v>348</v>
      </c>
      <c r="D3" s="139" t="s">
        <v>347</v>
      </c>
      <c r="E3" s="26"/>
      <c r="F3" s="173" t="s">
        <v>3</v>
      </c>
      <c r="G3" s="175" t="s">
        <v>4</v>
      </c>
      <c r="H3" s="34" t="s">
        <v>5</v>
      </c>
      <c r="I3" s="174" t="s">
        <v>6</v>
      </c>
      <c r="J3" s="173" t="s">
        <v>3</v>
      </c>
      <c r="K3" s="175" t="s">
        <v>4</v>
      </c>
      <c r="L3" s="34" t="s">
        <v>5</v>
      </c>
      <c r="M3" s="174" t="s">
        <v>6</v>
      </c>
      <c r="N3" s="173" t="s">
        <v>3</v>
      </c>
      <c r="O3" s="175" t="s">
        <v>4</v>
      </c>
      <c r="P3" s="34" t="s">
        <v>5</v>
      </c>
      <c r="Q3" s="174" t="s">
        <v>6</v>
      </c>
      <c r="R3" s="173" t="s">
        <v>3</v>
      </c>
      <c r="S3" s="175" t="s">
        <v>4</v>
      </c>
      <c r="T3" s="34" t="s">
        <v>5</v>
      </c>
      <c r="U3" s="174" t="s">
        <v>6</v>
      </c>
      <c r="V3" s="173" t="s">
        <v>3</v>
      </c>
      <c r="W3" s="175" t="s">
        <v>4</v>
      </c>
      <c r="X3" s="34" t="s">
        <v>5</v>
      </c>
      <c r="Y3" s="174" t="s">
        <v>6</v>
      </c>
      <c r="Z3" s="173" t="s">
        <v>3</v>
      </c>
      <c r="AA3" s="175" t="s">
        <v>4</v>
      </c>
      <c r="AB3" s="34" t="s">
        <v>5</v>
      </c>
      <c r="AC3" s="174" t="s">
        <v>6</v>
      </c>
      <c r="AD3" s="173" t="s">
        <v>3</v>
      </c>
      <c r="AE3" s="175" t="s">
        <v>4</v>
      </c>
      <c r="AF3" s="34" t="s">
        <v>5</v>
      </c>
      <c r="AG3" s="174" t="s">
        <v>6</v>
      </c>
      <c r="AH3" s="173" t="s">
        <v>3</v>
      </c>
      <c r="AI3" s="175" t="s">
        <v>4</v>
      </c>
      <c r="AJ3" s="34" t="s">
        <v>5</v>
      </c>
      <c r="AK3" s="174" t="s">
        <v>6</v>
      </c>
      <c r="AL3" s="173" t="s">
        <v>3</v>
      </c>
      <c r="AM3" s="175" t="s">
        <v>4</v>
      </c>
      <c r="AN3" s="34" t="s">
        <v>5</v>
      </c>
      <c r="AO3" s="174" t="s">
        <v>6</v>
      </c>
      <c r="AP3" s="173" t="s">
        <v>3</v>
      </c>
      <c r="AQ3" s="175" t="s">
        <v>4</v>
      </c>
      <c r="AR3" s="34" t="s">
        <v>5</v>
      </c>
      <c r="AS3" s="174" t="s">
        <v>6</v>
      </c>
      <c r="AT3" s="173" t="s">
        <v>3</v>
      </c>
      <c r="AU3" s="175" t="s">
        <v>4</v>
      </c>
      <c r="AV3" s="34" t="s">
        <v>5</v>
      </c>
      <c r="AW3" s="174" t="s">
        <v>6</v>
      </c>
      <c r="AX3" s="173" t="s">
        <v>3</v>
      </c>
      <c r="AY3" s="175" t="s">
        <v>4</v>
      </c>
      <c r="AZ3" s="34" t="s">
        <v>5</v>
      </c>
      <c r="BA3" s="174" t="s">
        <v>6</v>
      </c>
      <c r="BB3" s="173" t="s">
        <v>3</v>
      </c>
      <c r="BC3" s="175" t="s">
        <v>4</v>
      </c>
      <c r="BD3" s="34" t="s">
        <v>5</v>
      </c>
      <c r="BE3" s="174" t="s">
        <v>6</v>
      </c>
      <c r="BF3" s="173" t="s">
        <v>3</v>
      </c>
      <c r="BG3" s="175" t="s">
        <v>4</v>
      </c>
      <c r="BH3" s="34" t="s">
        <v>5</v>
      </c>
      <c r="BI3" s="174" t="s">
        <v>6</v>
      </c>
      <c r="BJ3" s="173" t="s">
        <v>3</v>
      </c>
      <c r="BK3" s="175" t="s">
        <v>4</v>
      </c>
      <c r="BL3" s="34" t="s">
        <v>5</v>
      </c>
      <c r="BM3" s="174" t="s">
        <v>6</v>
      </c>
      <c r="BN3" s="173" t="s">
        <v>3</v>
      </c>
      <c r="BO3" s="175" t="s">
        <v>4</v>
      </c>
      <c r="BP3" s="34" t="s">
        <v>5</v>
      </c>
      <c r="BQ3" s="174" t="s">
        <v>6</v>
      </c>
      <c r="BR3" s="173" t="s">
        <v>3</v>
      </c>
      <c r="BS3" s="175" t="s">
        <v>4</v>
      </c>
      <c r="BT3" s="34" t="s">
        <v>5</v>
      </c>
      <c r="BU3" s="174" t="s">
        <v>6</v>
      </c>
    </row>
    <row r="4" spans="1:73 16180:16184" ht="20.100000000000001" customHeight="1" x14ac:dyDescent="0.2">
      <c r="A4" s="12" t="s">
        <v>10</v>
      </c>
      <c r="B4" s="9" t="s">
        <v>7</v>
      </c>
      <c r="C4" s="10">
        <v>10</v>
      </c>
      <c r="D4" s="9" t="s">
        <v>360</v>
      </c>
      <c r="E4" s="13">
        <v>1</v>
      </c>
      <c r="F4" s="30">
        <v>2</v>
      </c>
      <c r="G4" s="32">
        <v>0</v>
      </c>
      <c r="H4" s="31"/>
      <c r="I4" s="33">
        <f t="shared" ref="I4:I15" si="0">+F4+H4*$E4</f>
        <v>2</v>
      </c>
      <c r="J4" s="30">
        <v>1</v>
      </c>
      <c r="K4" s="32">
        <f>+I4-J4</f>
        <v>1</v>
      </c>
      <c r="L4" s="31">
        <v>1</v>
      </c>
      <c r="M4" s="33">
        <f t="shared" ref="M4:M15" si="1">+J4+L4*$E4</f>
        <v>2</v>
      </c>
      <c r="N4" s="30">
        <v>2</v>
      </c>
      <c r="O4" s="32">
        <f>+M4-N4</f>
        <v>0</v>
      </c>
      <c r="P4" s="34"/>
      <c r="Q4" s="33">
        <f t="shared" ref="Q4:Q15" si="2">+N4+P4*$E4</f>
        <v>2</v>
      </c>
      <c r="R4" s="30">
        <v>2</v>
      </c>
      <c r="S4" s="32">
        <f>+Q4-R4</f>
        <v>0</v>
      </c>
      <c r="T4" s="31"/>
      <c r="U4" s="33">
        <f t="shared" ref="U4:U15" si="3">+R4+T4*$E4</f>
        <v>2</v>
      </c>
      <c r="V4" s="30">
        <v>2</v>
      </c>
      <c r="W4" s="32">
        <f t="shared" ref="W4:W15" si="4">+U4-V4</f>
        <v>0</v>
      </c>
      <c r="X4" s="31"/>
      <c r="Y4" s="33">
        <f t="shared" ref="Y4:Y15" si="5">+V4+X4*$E4</f>
        <v>2</v>
      </c>
      <c r="Z4" s="30">
        <v>1</v>
      </c>
      <c r="AA4" s="32">
        <f t="shared" ref="AA4:AA15" si="6">+Y4-Z4</f>
        <v>1</v>
      </c>
      <c r="AB4" s="34">
        <v>1</v>
      </c>
      <c r="AC4" s="33">
        <f t="shared" ref="AC4:AC15" si="7">+Z4+AB4*$E4</f>
        <v>2</v>
      </c>
      <c r="AD4" s="30">
        <v>2</v>
      </c>
      <c r="AE4" s="32">
        <f>AC4-AD4</f>
        <v>0</v>
      </c>
      <c r="AF4" s="31"/>
      <c r="AG4" s="33">
        <f t="shared" ref="AG4:AG15" si="8">+AD4+AF4*$E4</f>
        <v>2</v>
      </c>
      <c r="AH4" s="30">
        <v>2</v>
      </c>
      <c r="AI4" s="32">
        <f>+AG4-AH4</f>
        <v>0</v>
      </c>
      <c r="AJ4" s="31"/>
      <c r="AK4" s="33">
        <f t="shared" ref="AK4:AK15" si="9">+AH4+AJ4*$E4</f>
        <v>2</v>
      </c>
      <c r="AL4" s="30">
        <v>1</v>
      </c>
      <c r="AM4" s="32">
        <f t="shared" ref="AM4:AM15" si="10">+AK4-AL4</f>
        <v>1</v>
      </c>
      <c r="AN4" s="31">
        <v>1</v>
      </c>
      <c r="AO4" s="33">
        <f t="shared" ref="AO4:AO15" si="11">+AL4+AN4*$E4</f>
        <v>2</v>
      </c>
      <c r="AP4" s="30">
        <v>2</v>
      </c>
      <c r="AQ4" s="32">
        <f t="shared" ref="AQ4:AQ15" si="12">+AO4-AP4</f>
        <v>0</v>
      </c>
      <c r="AR4" s="31"/>
      <c r="AS4" s="33">
        <f t="shared" ref="AS4:AS15" si="13">+AP4+AR4*$E4</f>
        <v>2</v>
      </c>
      <c r="AT4" s="30">
        <v>2</v>
      </c>
      <c r="AU4" s="32">
        <f>+AS4-AT4</f>
        <v>0</v>
      </c>
      <c r="AV4" s="31"/>
      <c r="AW4" s="33">
        <f t="shared" ref="AW4:AW15" si="14">+AT4+AV4*$E4</f>
        <v>2</v>
      </c>
      <c r="AX4" s="30">
        <v>1</v>
      </c>
      <c r="AY4" s="32">
        <f t="shared" ref="AY4:AY9" si="15">AW4-AX4</f>
        <v>1</v>
      </c>
      <c r="AZ4" s="31">
        <v>1</v>
      </c>
      <c r="BA4" s="33">
        <f t="shared" ref="BA4:BA15" si="16">+AX4+AZ4*$E4</f>
        <v>2</v>
      </c>
      <c r="BB4" s="30">
        <v>2</v>
      </c>
      <c r="BC4" s="32">
        <f t="shared" ref="BC4:BC9" si="17">BA4-BB4</f>
        <v>0</v>
      </c>
      <c r="BD4" s="31"/>
      <c r="BE4" s="33">
        <f t="shared" ref="BE4:BE15" si="18">+BB4+BD4*$E4</f>
        <v>2</v>
      </c>
      <c r="BF4" s="30">
        <v>2</v>
      </c>
      <c r="BG4" s="32">
        <f t="shared" ref="BG4:BG9" si="19">BE4-BF4</f>
        <v>0</v>
      </c>
      <c r="BH4" s="31"/>
      <c r="BI4" s="33">
        <f t="shared" ref="BI4:BI15" si="20">+BF4+BH4*$E4</f>
        <v>2</v>
      </c>
      <c r="BJ4" s="30">
        <v>1</v>
      </c>
      <c r="BK4" s="32">
        <f t="shared" ref="BK4:BK9" si="21">BI4-BJ4</f>
        <v>1</v>
      </c>
      <c r="BL4" s="31">
        <v>1</v>
      </c>
      <c r="BM4" s="33">
        <f t="shared" ref="BM4:BM15" si="22">+BJ4+BL4*$E4</f>
        <v>2</v>
      </c>
      <c r="BN4" s="30"/>
      <c r="BO4" s="32">
        <f t="shared" ref="BO4:BO9" si="23">BM4-BN4</f>
        <v>2</v>
      </c>
      <c r="BP4" s="31"/>
      <c r="BQ4" s="33">
        <f t="shared" ref="BQ4:BQ15" si="24">+BN4+BP4*$E4</f>
        <v>0</v>
      </c>
      <c r="BR4" s="30"/>
      <c r="BS4" s="32">
        <f t="shared" ref="BS4:BS9" si="25">BQ4-BR4</f>
        <v>0</v>
      </c>
      <c r="BT4" s="31"/>
      <c r="BU4" s="33">
        <f>+BR4+BT4*$E4</f>
        <v>0</v>
      </c>
    </row>
    <row r="5" spans="1:73 16180:16184" ht="20.100000000000001" customHeight="1" x14ac:dyDescent="0.2">
      <c r="A5" s="12" t="s">
        <v>11</v>
      </c>
      <c r="B5" s="9" t="s">
        <v>7</v>
      </c>
      <c r="C5" s="10">
        <v>10</v>
      </c>
      <c r="D5" s="9" t="s">
        <v>360</v>
      </c>
      <c r="E5" s="13">
        <v>1</v>
      </c>
      <c r="F5" s="30">
        <v>1</v>
      </c>
      <c r="G5" s="32">
        <v>2</v>
      </c>
      <c r="H5" s="31">
        <v>2</v>
      </c>
      <c r="I5" s="33">
        <f t="shared" si="0"/>
        <v>3</v>
      </c>
      <c r="J5" s="30">
        <v>3</v>
      </c>
      <c r="K5" s="32">
        <f>+I5-J5</f>
        <v>0</v>
      </c>
      <c r="L5" s="31">
        <v>1</v>
      </c>
      <c r="M5" s="33">
        <f t="shared" si="1"/>
        <v>4</v>
      </c>
      <c r="N5" s="30">
        <v>2</v>
      </c>
      <c r="O5" s="32">
        <f>+M5-N5</f>
        <v>2</v>
      </c>
      <c r="P5" s="34"/>
      <c r="Q5" s="33">
        <f t="shared" si="2"/>
        <v>2</v>
      </c>
      <c r="R5" s="30">
        <v>1</v>
      </c>
      <c r="S5" s="32">
        <f t="shared" ref="S5:S15" si="26">+Q5-R5</f>
        <v>1</v>
      </c>
      <c r="T5" s="31">
        <v>2</v>
      </c>
      <c r="U5" s="33">
        <f t="shared" si="3"/>
        <v>3</v>
      </c>
      <c r="V5" s="30">
        <v>2</v>
      </c>
      <c r="W5" s="32">
        <f t="shared" si="4"/>
        <v>1</v>
      </c>
      <c r="X5" s="31"/>
      <c r="Y5" s="33">
        <f t="shared" si="5"/>
        <v>2</v>
      </c>
      <c r="Z5" s="30">
        <v>1</v>
      </c>
      <c r="AA5" s="32">
        <f t="shared" si="6"/>
        <v>1</v>
      </c>
      <c r="AB5" s="34">
        <v>1</v>
      </c>
      <c r="AC5" s="33">
        <f t="shared" si="7"/>
        <v>2</v>
      </c>
      <c r="AD5" s="30"/>
      <c r="AE5" s="32">
        <f t="shared" ref="AE5:AE15" si="27">AC5-AD5</f>
        <v>2</v>
      </c>
      <c r="AF5" s="31">
        <v>3</v>
      </c>
      <c r="AG5" s="33">
        <f t="shared" si="8"/>
        <v>3</v>
      </c>
      <c r="AH5" s="30">
        <v>2</v>
      </c>
      <c r="AI5" s="32">
        <f t="shared" ref="AI5:AI15" si="28">+AG5-AH5</f>
        <v>1</v>
      </c>
      <c r="AJ5" s="31"/>
      <c r="AK5" s="33">
        <f t="shared" si="9"/>
        <v>2</v>
      </c>
      <c r="AL5" s="30">
        <v>1</v>
      </c>
      <c r="AM5" s="32">
        <f t="shared" si="10"/>
        <v>1</v>
      </c>
      <c r="AN5" s="31">
        <v>2</v>
      </c>
      <c r="AO5" s="33">
        <f t="shared" si="11"/>
        <v>3</v>
      </c>
      <c r="AP5" s="30">
        <v>2</v>
      </c>
      <c r="AQ5" s="32">
        <f t="shared" si="12"/>
        <v>1</v>
      </c>
      <c r="AR5" s="31">
        <v>2</v>
      </c>
      <c r="AS5" s="33">
        <f t="shared" si="13"/>
        <v>4</v>
      </c>
      <c r="AT5" s="30">
        <v>1</v>
      </c>
      <c r="AU5" s="32">
        <f t="shared" ref="AU5:AU15" si="29">+AS5-AT5</f>
        <v>3</v>
      </c>
      <c r="AV5" s="31">
        <v>2</v>
      </c>
      <c r="AW5" s="33">
        <f t="shared" si="14"/>
        <v>3</v>
      </c>
      <c r="AX5" s="30">
        <v>3</v>
      </c>
      <c r="AY5" s="32">
        <f t="shared" si="15"/>
        <v>0</v>
      </c>
      <c r="AZ5" s="31"/>
      <c r="BA5" s="33">
        <f t="shared" si="16"/>
        <v>3</v>
      </c>
      <c r="BB5" s="30">
        <v>2</v>
      </c>
      <c r="BC5" s="32">
        <f t="shared" si="17"/>
        <v>1</v>
      </c>
      <c r="BD5" s="31">
        <v>1</v>
      </c>
      <c r="BE5" s="33">
        <f t="shared" si="18"/>
        <v>3</v>
      </c>
      <c r="BF5" s="30">
        <v>2</v>
      </c>
      <c r="BG5" s="32">
        <f t="shared" si="19"/>
        <v>1</v>
      </c>
      <c r="BH5" s="31">
        <v>1</v>
      </c>
      <c r="BI5" s="33">
        <f t="shared" si="20"/>
        <v>3</v>
      </c>
      <c r="BJ5" s="30">
        <v>1</v>
      </c>
      <c r="BK5" s="32">
        <f t="shared" si="21"/>
        <v>2</v>
      </c>
      <c r="BL5" s="31">
        <v>2</v>
      </c>
      <c r="BM5" s="33">
        <f t="shared" si="22"/>
        <v>3</v>
      </c>
      <c r="BN5" s="30"/>
      <c r="BO5" s="32">
        <f t="shared" si="23"/>
        <v>3</v>
      </c>
      <c r="BP5" s="31"/>
      <c r="BQ5" s="33">
        <f t="shared" si="24"/>
        <v>0</v>
      </c>
      <c r="BR5" s="30"/>
      <c r="BS5" s="32">
        <f t="shared" si="25"/>
        <v>0</v>
      </c>
      <c r="BT5" s="31"/>
      <c r="BU5" s="33">
        <f>+BR5+BT5*$E5</f>
        <v>0</v>
      </c>
    </row>
    <row r="6" spans="1:73 16180:16184" ht="20.100000000000001" customHeight="1" x14ac:dyDescent="0.2">
      <c r="A6" s="12" t="s">
        <v>16</v>
      </c>
      <c r="B6" s="9" t="s">
        <v>7</v>
      </c>
      <c r="C6" s="10">
        <v>6</v>
      </c>
      <c r="D6" s="9" t="s">
        <v>355</v>
      </c>
      <c r="E6" s="13">
        <v>6</v>
      </c>
      <c r="F6" s="30">
        <v>6</v>
      </c>
      <c r="G6" s="32">
        <v>2</v>
      </c>
      <c r="H6" s="31"/>
      <c r="I6" s="33">
        <f t="shared" si="0"/>
        <v>6</v>
      </c>
      <c r="J6" s="30">
        <v>4</v>
      </c>
      <c r="K6" s="32">
        <f>+I6-J6</f>
        <v>2</v>
      </c>
      <c r="L6" s="31">
        <v>1</v>
      </c>
      <c r="M6" s="33">
        <f t="shared" si="1"/>
        <v>10</v>
      </c>
      <c r="N6" s="30">
        <v>8</v>
      </c>
      <c r="O6" s="32">
        <f>+M6-N6</f>
        <v>2</v>
      </c>
      <c r="P6" s="34"/>
      <c r="Q6" s="33">
        <f t="shared" si="2"/>
        <v>8</v>
      </c>
      <c r="R6" s="30">
        <v>8</v>
      </c>
      <c r="S6" s="32">
        <f t="shared" si="26"/>
        <v>0</v>
      </c>
      <c r="T6" s="31"/>
      <c r="U6" s="33">
        <f t="shared" si="3"/>
        <v>8</v>
      </c>
      <c r="V6" s="30">
        <v>8</v>
      </c>
      <c r="W6" s="32">
        <f t="shared" si="4"/>
        <v>0</v>
      </c>
      <c r="X6" s="31"/>
      <c r="Y6" s="33">
        <f t="shared" si="5"/>
        <v>8</v>
      </c>
      <c r="Z6" s="30">
        <v>8</v>
      </c>
      <c r="AA6" s="32">
        <f t="shared" si="6"/>
        <v>0</v>
      </c>
      <c r="AB6" s="31"/>
      <c r="AC6" s="33">
        <f t="shared" si="7"/>
        <v>8</v>
      </c>
      <c r="AD6" s="30">
        <v>7</v>
      </c>
      <c r="AE6" s="32">
        <f t="shared" si="27"/>
        <v>1</v>
      </c>
      <c r="AF6" s="31"/>
      <c r="AG6" s="33">
        <f t="shared" si="8"/>
        <v>7</v>
      </c>
      <c r="AH6" s="30">
        <v>7</v>
      </c>
      <c r="AI6" s="32">
        <f t="shared" si="28"/>
        <v>0</v>
      </c>
      <c r="AJ6" s="31"/>
      <c r="AK6" s="33">
        <f t="shared" si="9"/>
        <v>7</v>
      </c>
      <c r="AL6" s="30">
        <v>7</v>
      </c>
      <c r="AM6" s="32">
        <f t="shared" si="10"/>
        <v>0</v>
      </c>
      <c r="AN6" s="31"/>
      <c r="AO6" s="33">
        <f t="shared" si="11"/>
        <v>7</v>
      </c>
      <c r="AP6" s="30">
        <v>6</v>
      </c>
      <c r="AQ6" s="32">
        <f t="shared" si="12"/>
        <v>1</v>
      </c>
      <c r="AR6" s="31"/>
      <c r="AS6" s="33">
        <f t="shared" si="13"/>
        <v>6</v>
      </c>
      <c r="AT6" s="30">
        <v>6</v>
      </c>
      <c r="AU6" s="32">
        <f t="shared" si="29"/>
        <v>0</v>
      </c>
      <c r="AV6" s="31"/>
      <c r="AW6" s="33">
        <f t="shared" si="14"/>
        <v>6</v>
      </c>
      <c r="AX6" s="30">
        <v>4</v>
      </c>
      <c r="AY6" s="32">
        <f t="shared" si="15"/>
        <v>2</v>
      </c>
      <c r="AZ6" s="31">
        <v>1</v>
      </c>
      <c r="BA6" s="33">
        <f t="shared" si="16"/>
        <v>10</v>
      </c>
      <c r="BB6" s="30">
        <v>10</v>
      </c>
      <c r="BC6" s="32">
        <f t="shared" si="17"/>
        <v>0</v>
      </c>
      <c r="BD6" s="31"/>
      <c r="BE6" s="33">
        <f t="shared" si="18"/>
        <v>10</v>
      </c>
      <c r="BF6" s="30">
        <v>10</v>
      </c>
      <c r="BG6" s="32">
        <f t="shared" si="19"/>
        <v>0</v>
      </c>
      <c r="BH6" s="31"/>
      <c r="BI6" s="33">
        <f t="shared" si="20"/>
        <v>10</v>
      </c>
      <c r="BJ6" s="30">
        <v>10</v>
      </c>
      <c r="BK6" s="32">
        <f t="shared" si="21"/>
        <v>0</v>
      </c>
      <c r="BL6" s="31"/>
      <c r="BM6" s="33">
        <f t="shared" si="22"/>
        <v>10</v>
      </c>
      <c r="BN6" s="30"/>
      <c r="BO6" s="32">
        <f t="shared" si="23"/>
        <v>10</v>
      </c>
      <c r="BP6" s="31"/>
      <c r="BQ6" s="33">
        <f t="shared" si="24"/>
        <v>0</v>
      </c>
      <c r="BR6" s="30"/>
      <c r="BS6" s="32">
        <f t="shared" si="25"/>
        <v>0</v>
      </c>
      <c r="BT6" s="31"/>
      <c r="BU6" s="33">
        <f>+BR6+BT6*$E6</f>
        <v>0</v>
      </c>
    </row>
    <row r="7" spans="1:73 16180:16184" ht="20.100000000000001" customHeight="1" x14ac:dyDescent="0.2">
      <c r="A7" s="12" t="s">
        <v>20</v>
      </c>
      <c r="B7" s="9" t="s">
        <v>7</v>
      </c>
      <c r="C7" s="10">
        <v>6</v>
      </c>
      <c r="D7" s="9" t="s">
        <v>355</v>
      </c>
      <c r="E7" s="13">
        <v>6</v>
      </c>
      <c r="F7" s="30">
        <v>6</v>
      </c>
      <c r="G7" s="32">
        <v>1</v>
      </c>
      <c r="H7" s="31"/>
      <c r="I7" s="33">
        <f t="shared" si="0"/>
        <v>6</v>
      </c>
      <c r="J7" s="30">
        <v>5</v>
      </c>
      <c r="K7" s="32">
        <f>+I7-J7</f>
        <v>1</v>
      </c>
      <c r="L7" s="31"/>
      <c r="M7" s="33">
        <f t="shared" si="1"/>
        <v>5</v>
      </c>
      <c r="N7" s="30">
        <v>4</v>
      </c>
      <c r="O7" s="32">
        <f>+M7-N7</f>
        <v>1</v>
      </c>
      <c r="P7" s="34"/>
      <c r="Q7" s="33">
        <f t="shared" si="2"/>
        <v>4</v>
      </c>
      <c r="R7" s="30">
        <v>3</v>
      </c>
      <c r="S7" s="32">
        <f t="shared" si="26"/>
        <v>1</v>
      </c>
      <c r="T7" s="31"/>
      <c r="U7" s="33">
        <f t="shared" si="3"/>
        <v>3</v>
      </c>
      <c r="V7" s="30">
        <v>2</v>
      </c>
      <c r="W7" s="32">
        <f t="shared" si="4"/>
        <v>1</v>
      </c>
      <c r="X7" s="34">
        <v>1</v>
      </c>
      <c r="Y7" s="33">
        <f t="shared" si="5"/>
        <v>8</v>
      </c>
      <c r="Z7" s="30">
        <v>5</v>
      </c>
      <c r="AA7" s="32">
        <f t="shared" si="6"/>
        <v>3</v>
      </c>
      <c r="AB7" s="34">
        <v>1</v>
      </c>
      <c r="AC7" s="33">
        <f t="shared" si="7"/>
        <v>11</v>
      </c>
      <c r="AD7" s="30">
        <v>11</v>
      </c>
      <c r="AE7" s="32">
        <f t="shared" si="27"/>
        <v>0</v>
      </c>
      <c r="AF7" s="31"/>
      <c r="AG7" s="33">
        <f t="shared" si="8"/>
        <v>11</v>
      </c>
      <c r="AH7" s="30">
        <v>9</v>
      </c>
      <c r="AI7" s="32">
        <f t="shared" si="28"/>
        <v>2</v>
      </c>
      <c r="AJ7" s="31"/>
      <c r="AK7" s="33">
        <f t="shared" si="9"/>
        <v>9</v>
      </c>
      <c r="AL7" s="30">
        <v>9</v>
      </c>
      <c r="AM7" s="32">
        <f t="shared" si="10"/>
        <v>0</v>
      </c>
      <c r="AN7" s="31"/>
      <c r="AO7" s="33">
        <f t="shared" si="11"/>
        <v>9</v>
      </c>
      <c r="AP7" s="30">
        <v>7</v>
      </c>
      <c r="AQ7" s="32">
        <f t="shared" si="12"/>
        <v>2</v>
      </c>
      <c r="AR7" s="31"/>
      <c r="AS7" s="33">
        <f t="shared" si="13"/>
        <v>7</v>
      </c>
      <c r="AT7" s="30">
        <v>6</v>
      </c>
      <c r="AU7" s="32">
        <f t="shared" si="29"/>
        <v>1</v>
      </c>
      <c r="AV7" s="31"/>
      <c r="AW7" s="33">
        <f t="shared" si="14"/>
        <v>6</v>
      </c>
      <c r="AX7" s="30">
        <v>4</v>
      </c>
      <c r="AY7" s="32">
        <f t="shared" si="15"/>
        <v>2</v>
      </c>
      <c r="AZ7" s="31">
        <v>1</v>
      </c>
      <c r="BA7" s="33">
        <f t="shared" si="16"/>
        <v>10</v>
      </c>
      <c r="BB7" s="30">
        <v>8</v>
      </c>
      <c r="BC7" s="32">
        <f t="shared" si="17"/>
        <v>2</v>
      </c>
      <c r="BD7" s="31"/>
      <c r="BE7" s="33">
        <f t="shared" si="18"/>
        <v>8</v>
      </c>
      <c r="BF7" s="30">
        <v>8</v>
      </c>
      <c r="BG7" s="32">
        <f t="shared" si="19"/>
        <v>0</v>
      </c>
      <c r="BH7" s="31"/>
      <c r="BI7" s="33">
        <f t="shared" si="20"/>
        <v>8</v>
      </c>
      <c r="BJ7" s="30">
        <v>7</v>
      </c>
      <c r="BK7" s="32">
        <f t="shared" si="21"/>
        <v>1</v>
      </c>
      <c r="BL7" s="31"/>
      <c r="BM7" s="33">
        <f t="shared" si="22"/>
        <v>7</v>
      </c>
      <c r="BN7" s="30"/>
      <c r="BO7" s="32">
        <f t="shared" si="23"/>
        <v>7</v>
      </c>
      <c r="BP7" s="31"/>
      <c r="BQ7" s="33">
        <f t="shared" si="24"/>
        <v>0</v>
      </c>
      <c r="BR7" s="30"/>
      <c r="BS7" s="32">
        <f t="shared" si="25"/>
        <v>0</v>
      </c>
      <c r="BT7" s="31"/>
      <c r="BU7" s="33">
        <f>+BR7+BT7*$E7</f>
        <v>0</v>
      </c>
    </row>
    <row r="8" spans="1:73 16180:16184" ht="20.100000000000001" customHeight="1" x14ac:dyDescent="0.2">
      <c r="A8" s="12" t="s">
        <v>24</v>
      </c>
      <c r="B8" s="9" t="s">
        <v>7</v>
      </c>
      <c r="C8" s="10">
        <v>6</v>
      </c>
      <c r="D8" s="9" t="s">
        <v>355</v>
      </c>
      <c r="E8" s="13">
        <v>6</v>
      </c>
      <c r="F8" s="30">
        <v>4</v>
      </c>
      <c r="G8" s="32">
        <v>2</v>
      </c>
      <c r="H8" s="31">
        <v>1</v>
      </c>
      <c r="I8" s="33">
        <f t="shared" si="0"/>
        <v>10</v>
      </c>
      <c r="J8" s="30">
        <v>9</v>
      </c>
      <c r="K8" s="32">
        <f t="shared" ref="K8:K15" si="30">+I8-J8</f>
        <v>1</v>
      </c>
      <c r="L8" s="31"/>
      <c r="M8" s="33">
        <f t="shared" si="1"/>
        <v>9</v>
      </c>
      <c r="N8" s="30">
        <v>7</v>
      </c>
      <c r="O8" s="32">
        <f t="shared" ref="O8:O15" si="31">+M8-N8</f>
        <v>2</v>
      </c>
      <c r="P8" s="31"/>
      <c r="Q8" s="33">
        <f t="shared" si="2"/>
        <v>7</v>
      </c>
      <c r="R8" s="30">
        <v>4</v>
      </c>
      <c r="S8" s="32">
        <f t="shared" si="26"/>
        <v>3</v>
      </c>
      <c r="T8" s="31">
        <v>1</v>
      </c>
      <c r="U8" s="33">
        <f t="shared" si="3"/>
        <v>10</v>
      </c>
      <c r="V8" s="30">
        <v>7</v>
      </c>
      <c r="W8" s="32">
        <f t="shared" si="4"/>
        <v>3</v>
      </c>
      <c r="X8" s="34">
        <v>2</v>
      </c>
      <c r="Y8" s="33">
        <f t="shared" si="5"/>
        <v>19</v>
      </c>
      <c r="Z8" s="30">
        <v>16</v>
      </c>
      <c r="AA8" s="32">
        <f t="shared" si="6"/>
        <v>3</v>
      </c>
      <c r="AB8" s="31"/>
      <c r="AC8" s="33">
        <f t="shared" si="7"/>
        <v>16</v>
      </c>
      <c r="AD8" s="30">
        <v>12</v>
      </c>
      <c r="AE8" s="32">
        <f t="shared" si="27"/>
        <v>4</v>
      </c>
      <c r="AF8" s="31"/>
      <c r="AG8" s="33">
        <f t="shared" si="8"/>
        <v>12</v>
      </c>
      <c r="AH8" s="30">
        <v>9</v>
      </c>
      <c r="AI8" s="32">
        <f t="shared" si="28"/>
        <v>3</v>
      </c>
      <c r="AJ8" s="31">
        <v>1</v>
      </c>
      <c r="AK8" s="33">
        <f t="shared" si="9"/>
        <v>15</v>
      </c>
      <c r="AL8" s="30">
        <v>13</v>
      </c>
      <c r="AM8" s="32">
        <f t="shared" si="10"/>
        <v>2</v>
      </c>
      <c r="AN8" s="31"/>
      <c r="AO8" s="33">
        <f t="shared" si="11"/>
        <v>13</v>
      </c>
      <c r="AP8" s="30">
        <v>11</v>
      </c>
      <c r="AQ8" s="32">
        <f t="shared" si="12"/>
        <v>2</v>
      </c>
      <c r="AR8" s="31"/>
      <c r="AS8" s="33">
        <f t="shared" si="13"/>
        <v>11</v>
      </c>
      <c r="AT8" s="30">
        <v>7</v>
      </c>
      <c r="AU8" s="32">
        <f t="shared" si="29"/>
        <v>4</v>
      </c>
      <c r="AV8" s="31">
        <v>1</v>
      </c>
      <c r="AW8" s="33">
        <f t="shared" si="14"/>
        <v>13</v>
      </c>
      <c r="AX8" s="30">
        <v>8</v>
      </c>
      <c r="AY8" s="32">
        <f t="shared" si="15"/>
        <v>5</v>
      </c>
      <c r="AZ8" s="31">
        <v>1</v>
      </c>
      <c r="BA8" s="33">
        <f t="shared" si="16"/>
        <v>14</v>
      </c>
      <c r="BB8" s="30">
        <v>12</v>
      </c>
      <c r="BC8" s="32">
        <f t="shared" si="17"/>
        <v>2</v>
      </c>
      <c r="BD8" s="31"/>
      <c r="BE8" s="33">
        <f t="shared" si="18"/>
        <v>12</v>
      </c>
      <c r="BF8" s="30">
        <v>7</v>
      </c>
      <c r="BG8" s="32">
        <f t="shared" si="19"/>
        <v>5</v>
      </c>
      <c r="BH8" s="31">
        <v>1</v>
      </c>
      <c r="BI8" s="33">
        <f t="shared" si="20"/>
        <v>13</v>
      </c>
      <c r="BJ8" s="30">
        <v>8</v>
      </c>
      <c r="BK8" s="32">
        <f t="shared" si="21"/>
        <v>5</v>
      </c>
      <c r="BL8" s="31">
        <v>1</v>
      </c>
      <c r="BM8" s="33">
        <f t="shared" si="22"/>
        <v>14</v>
      </c>
      <c r="BN8" s="30"/>
      <c r="BO8" s="32">
        <f t="shared" si="23"/>
        <v>14</v>
      </c>
      <c r="BP8" s="31"/>
      <c r="BQ8" s="33">
        <f t="shared" si="24"/>
        <v>0</v>
      </c>
      <c r="BR8" s="30"/>
      <c r="BS8" s="32">
        <f t="shared" si="25"/>
        <v>0</v>
      </c>
      <c r="BT8" s="31"/>
      <c r="BU8" s="33">
        <f>+BR8+BT8*$E8</f>
        <v>0</v>
      </c>
    </row>
    <row r="9" spans="1:73 16180:16184" ht="20.100000000000001" customHeight="1" x14ac:dyDescent="0.2">
      <c r="A9" s="12" t="s">
        <v>25</v>
      </c>
      <c r="B9" s="9" t="s">
        <v>7</v>
      </c>
      <c r="C9" s="10">
        <v>9</v>
      </c>
      <c r="D9" s="9" t="s">
        <v>355</v>
      </c>
      <c r="E9" s="13">
        <v>6</v>
      </c>
      <c r="F9" s="30">
        <v>4</v>
      </c>
      <c r="G9" s="32">
        <v>0</v>
      </c>
      <c r="H9" s="31"/>
      <c r="I9" s="33">
        <f t="shared" si="0"/>
        <v>4</v>
      </c>
      <c r="J9" s="30">
        <v>4</v>
      </c>
      <c r="K9" s="32">
        <f t="shared" si="30"/>
        <v>0</v>
      </c>
      <c r="L9" s="31"/>
      <c r="M9" s="33">
        <f t="shared" si="1"/>
        <v>4</v>
      </c>
      <c r="N9" s="30">
        <v>4</v>
      </c>
      <c r="O9" s="32">
        <f t="shared" si="31"/>
        <v>0</v>
      </c>
      <c r="P9" s="34"/>
      <c r="Q9" s="33">
        <f t="shared" si="2"/>
        <v>4</v>
      </c>
      <c r="R9" s="30">
        <v>4</v>
      </c>
      <c r="S9" s="32">
        <f t="shared" si="26"/>
        <v>0</v>
      </c>
      <c r="T9" s="31"/>
      <c r="U9" s="33">
        <f t="shared" si="3"/>
        <v>4</v>
      </c>
      <c r="V9" s="30">
        <v>3</v>
      </c>
      <c r="W9" s="32">
        <f t="shared" si="4"/>
        <v>1</v>
      </c>
      <c r="X9" s="31"/>
      <c r="Y9" s="33">
        <f t="shared" si="5"/>
        <v>3</v>
      </c>
      <c r="Z9" s="30">
        <v>3</v>
      </c>
      <c r="AA9" s="32">
        <f t="shared" si="6"/>
        <v>0</v>
      </c>
      <c r="AB9" s="31"/>
      <c r="AC9" s="33">
        <f t="shared" si="7"/>
        <v>3</v>
      </c>
      <c r="AD9" s="30">
        <v>3</v>
      </c>
      <c r="AE9" s="32">
        <f t="shared" si="27"/>
        <v>0</v>
      </c>
      <c r="AF9" s="31"/>
      <c r="AG9" s="33">
        <f t="shared" si="8"/>
        <v>3</v>
      </c>
      <c r="AH9" s="30">
        <v>3</v>
      </c>
      <c r="AI9" s="32">
        <f t="shared" si="28"/>
        <v>0</v>
      </c>
      <c r="AJ9" s="31"/>
      <c r="AK9" s="33">
        <f t="shared" si="9"/>
        <v>3</v>
      </c>
      <c r="AL9" s="30">
        <v>3</v>
      </c>
      <c r="AM9" s="32">
        <f t="shared" si="10"/>
        <v>0</v>
      </c>
      <c r="AN9" s="31"/>
      <c r="AO9" s="33">
        <f t="shared" si="11"/>
        <v>3</v>
      </c>
      <c r="AP9" s="30">
        <v>2</v>
      </c>
      <c r="AQ9" s="32">
        <f t="shared" si="12"/>
        <v>1</v>
      </c>
      <c r="AR9" s="31"/>
      <c r="AS9" s="33">
        <f t="shared" si="13"/>
        <v>2</v>
      </c>
      <c r="AT9" s="30">
        <v>2</v>
      </c>
      <c r="AU9" s="32">
        <f t="shared" si="29"/>
        <v>0</v>
      </c>
      <c r="AV9" s="31"/>
      <c r="AW9" s="33">
        <f t="shared" si="14"/>
        <v>2</v>
      </c>
      <c r="AX9" s="30">
        <v>2</v>
      </c>
      <c r="AY9" s="32">
        <f t="shared" si="15"/>
        <v>0</v>
      </c>
      <c r="AZ9" s="31"/>
      <c r="BA9" s="33">
        <f t="shared" si="16"/>
        <v>2</v>
      </c>
      <c r="BB9" s="30">
        <v>2</v>
      </c>
      <c r="BC9" s="32">
        <f t="shared" si="17"/>
        <v>0</v>
      </c>
      <c r="BD9" s="31"/>
      <c r="BE9" s="33">
        <f t="shared" si="18"/>
        <v>2</v>
      </c>
      <c r="BF9" s="30">
        <v>2</v>
      </c>
      <c r="BG9" s="32">
        <f t="shared" si="19"/>
        <v>0</v>
      </c>
      <c r="BH9" s="31"/>
      <c r="BI9" s="33">
        <f t="shared" si="20"/>
        <v>2</v>
      </c>
      <c r="BJ9" s="30">
        <v>2</v>
      </c>
      <c r="BK9" s="32">
        <f t="shared" si="21"/>
        <v>0</v>
      </c>
      <c r="BL9" s="31"/>
      <c r="BM9" s="33">
        <f t="shared" si="22"/>
        <v>2</v>
      </c>
      <c r="BN9" s="30"/>
      <c r="BO9" s="32">
        <f t="shared" si="23"/>
        <v>2</v>
      </c>
      <c r="BP9" s="31"/>
      <c r="BQ9" s="33">
        <f t="shared" si="24"/>
        <v>0</v>
      </c>
      <c r="BR9" s="30"/>
      <c r="BS9" s="32">
        <f t="shared" si="25"/>
        <v>0</v>
      </c>
      <c r="BT9" s="31"/>
      <c r="BU9" s="33">
        <f>+BR9+BT9*$E9</f>
        <v>0</v>
      </c>
    </row>
    <row r="10" spans="1:73 16180:16184" ht="20.100000000000001" customHeight="1" x14ac:dyDescent="0.2">
      <c r="A10" s="12" t="s">
        <v>28</v>
      </c>
      <c r="B10" s="9" t="s">
        <v>7</v>
      </c>
      <c r="C10" s="10">
        <v>6</v>
      </c>
      <c r="D10" s="9" t="s">
        <v>355</v>
      </c>
      <c r="E10" s="13">
        <v>6</v>
      </c>
      <c r="F10" s="30">
        <v>9</v>
      </c>
      <c r="G10" s="32">
        <v>1</v>
      </c>
      <c r="H10" s="31"/>
      <c r="I10" s="33">
        <f t="shared" si="0"/>
        <v>9</v>
      </c>
      <c r="J10" s="30">
        <v>8</v>
      </c>
      <c r="K10" s="32">
        <f>+I10-J10</f>
        <v>1</v>
      </c>
      <c r="L10" s="31"/>
      <c r="M10" s="33">
        <f t="shared" si="1"/>
        <v>8</v>
      </c>
      <c r="N10" s="30">
        <v>6</v>
      </c>
      <c r="O10" s="32">
        <f>+M10-N10</f>
        <v>2</v>
      </c>
      <c r="P10" s="34"/>
      <c r="Q10" s="33">
        <f t="shared" si="2"/>
        <v>6</v>
      </c>
      <c r="R10" s="30">
        <v>5</v>
      </c>
      <c r="S10" s="32">
        <f t="shared" si="26"/>
        <v>1</v>
      </c>
      <c r="T10" s="31"/>
      <c r="U10" s="33">
        <f t="shared" si="3"/>
        <v>5</v>
      </c>
      <c r="V10" s="30">
        <v>5</v>
      </c>
      <c r="W10" s="32">
        <f t="shared" si="4"/>
        <v>0</v>
      </c>
      <c r="X10" s="31"/>
      <c r="Y10" s="33">
        <f t="shared" si="5"/>
        <v>5</v>
      </c>
      <c r="Z10" s="30">
        <v>5</v>
      </c>
      <c r="AA10" s="32">
        <f t="shared" si="6"/>
        <v>0</v>
      </c>
      <c r="AB10" s="31"/>
      <c r="AC10" s="33">
        <f t="shared" si="7"/>
        <v>5</v>
      </c>
      <c r="AD10" s="30">
        <v>3</v>
      </c>
      <c r="AE10" s="32">
        <f t="shared" si="27"/>
        <v>2</v>
      </c>
      <c r="AF10" s="31">
        <v>1</v>
      </c>
      <c r="AG10" s="33">
        <f t="shared" si="8"/>
        <v>9</v>
      </c>
      <c r="AH10" s="30">
        <v>8</v>
      </c>
      <c r="AI10" s="32">
        <f t="shared" si="28"/>
        <v>1</v>
      </c>
      <c r="AJ10" s="31"/>
      <c r="AK10" s="33">
        <f t="shared" si="9"/>
        <v>8</v>
      </c>
      <c r="AL10" s="30">
        <v>5</v>
      </c>
      <c r="AM10" s="32">
        <f t="shared" si="10"/>
        <v>3</v>
      </c>
      <c r="AN10" s="31">
        <v>1</v>
      </c>
      <c r="AO10" s="33">
        <f t="shared" si="11"/>
        <v>11</v>
      </c>
      <c r="AP10" s="30">
        <v>10</v>
      </c>
      <c r="AQ10" s="32">
        <f t="shared" si="12"/>
        <v>1</v>
      </c>
      <c r="AR10" s="31"/>
      <c r="AS10" s="33">
        <f t="shared" si="13"/>
        <v>10</v>
      </c>
      <c r="AT10" s="30">
        <v>9</v>
      </c>
      <c r="AU10" s="32">
        <f t="shared" si="29"/>
        <v>1</v>
      </c>
      <c r="AV10" s="31">
        <v>1</v>
      </c>
      <c r="AW10" s="33">
        <f t="shared" si="14"/>
        <v>15</v>
      </c>
      <c r="AX10" s="30">
        <v>14</v>
      </c>
      <c r="AY10" s="32">
        <f>AW10-AX10</f>
        <v>1</v>
      </c>
      <c r="AZ10" s="31"/>
      <c r="BA10" s="33">
        <f t="shared" si="16"/>
        <v>14</v>
      </c>
      <c r="BB10" s="30">
        <v>13</v>
      </c>
      <c r="BC10" s="32">
        <f>BA10-BB10</f>
        <v>1</v>
      </c>
      <c r="BD10" s="31"/>
      <c r="BE10" s="33">
        <f t="shared" si="18"/>
        <v>13</v>
      </c>
      <c r="BF10" s="30">
        <v>13</v>
      </c>
      <c r="BG10" s="32">
        <f>BE10-BF10</f>
        <v>0</v>
      </c>
      <c r="BH10" s="31"/>
      <c r="BI10" s="33">
        <f t="shared" si="20"/>
        <v>13</v>
      </c>
      <c r="BJ10" s="30">
        <v>13</v>
      </c>
      <c r="BK10" s="32">
        <f>BI10-BJ10</f>
        <v>0</v>
      </c>
      <c r="BL10" s="31"/>
      <c r="BM10" s="33">
        <f t="shared" si="22"/>
        <v>13</v>
      </c>
      <c r="BN10" s="30"/>
      <c r="BO10" s="32">
        <f>BM10-BN10</f>
        <v>13</v>
      </c>
      <c r="BP10" s="31"/>
      <c r="BQ10" s="33">
        <f t="shared" si="24"/>
        <v>0</v>
      </c>
      <c r="BR10" s="30"/>
      <c r="BS10" s="32">
        <f>BQ10-BR10</f>
        <v>0</v>
      </c>
      <c r="BT10" s="31"/>
      <c r="BU10" s="33">
        <f>+BR10+BT10*$E10</f>
        <v>0</v>
      </c>
    </row>
    <row r="11" spans="1:73 16180:16184" ht="20.100000000000001" customHeight="1" x14ac:dyDescent="0.2">
      <c r="A11" s="12" t="s">
        <v>31</v>
      </c>
      <c r="B11" s="9" t="s">
        <v>7</v>
      </c>
      <c r="C11" s="10">
        <v>6</v>
      </c>
      <c r="D11" s="9" t="s">
        <v>355</v>
      </c>
      <c r="E11" s="13">
        <v>6</v>
      </c>
      <c r="F11" s="30">
        <v>3</v>
      </c>
      <c r="G11" s="32">
        <v>1</v>
      </c>
      <c r="H11" s="31">
        <v>1</v>
      </c>
      <c r="I11" s="33">
        <f t="shared" si="0"/>
        <v>9</v>
      </c>
      <c r="J11" s="30">
        <v>8</v>
      </c>
      <c r="K11" s="32">
        <f t="shared" si="30"/>
        <v>1</v>
      </c>
      <c r="L11" s="31"/>
      <c r="M11" s="33">
        <f t="shared" si="1"/>
        <v>8</v>
      </c>
      <c r="N11" s="30">
        <v>8</v>
      </c>
      <c r="O11" s="32">
        <f t="shared" si="31"/>
        <v>0</v>
      </c>
      <c r="P11" s="31"/>
      <c r="Q11" s="33">
        <f t="shared" si="2"/>
        <v>8</v>
      </c>
      <c r="R11" s="30">
        <v>7</v>
      </c>
      <c r="S11" s="32">
        <f t="shared" si="26"/>
        <v>1</v>
      </c>
      <c r="T11" s="31"/>
      <c r="U11" s="33">
        <f t="shared" si="3"/>
        <v>7</v>
      </c>
      <c r="V11" s="30">
        <v>6</v>
      </c>
      <c r="W11" s="32">
        <f t="shared" si="4"/>
        <v>1</v>
      </c>
      <c r="X11" s="31"/>
      <c r="Y11" s="33">
        <f t="shared" si="5"/>
        <v>6</v>
      </c>
      <c r="Z11" s="30">
        <v>3</v>
      </c>
      <c r="AA11" s="32">
        <f t="shared" si="6"/>
        <v>3</v>
      </c>
      <c r="AB11" s="34">
        <v>1</v>
      </c>
      <c r="AC11" s="33">
        <f t="shared" si="7"/>
        <v>9</v>
      </c>
      <c r="AD11" s="30">
        <v>8</v>
      </c>
      <c r="AE11" s="32">
        <f t="shared" si="27"/>
        <v>1</v>
      </c>
      <c r="AF11" s="31"/>
      <c r="AG11" s="33">
        <f t="shared" si="8"/>
        <v>8</v>
      </c>
      <c r="AH11" s="30">
        <v>8</v>
      </c>
      <c r="AI11" s="32">
        <f t="shared" si="28"/>
        <v>0</v>
      </c>
      <c r="AJ11" s="31"/>
      <c r="AK11" s="33">
        <f t="shared" si="9"/>
        <v>8</v>
      </c>
      <c r="AL11" s="30">
        <v>6</v>
      </c>
      <c r="AM11" s="32">
        <f t="shared" si="10"/>
        <v>2</v>
      </c>
      <c r="AN11" s="31">
        <v>1</v>
      </c>
      <c r="AO11" s="33">
        <f t="shared" si="11"/>
        <v>12</v>
      </c>
      <c r="AP11" s="30">
        <v>12</v>
      </c>
      <c r="AQ11" s="32">
        <f t="shared" si="12"/>
        <v>0</v>
      </c>
      <c r="AR11" s="31"/>
      <c r="AS11" s="33">
        <f t="shared" si="13"/>
        <v>12</v>
      </c>
      <c r="AT11" s="30">
        <v>12</v>
      </c>
      <c r="AU11" s="32">
        <f t="shared" si="29"/>
        <v>0</v>
      </c>
      <c r="AV11" s="31"/>
      <c r="AW11" s="33">
        <f t="shared" si="14"/>
        <v>12</v>
      </c>
      <c r="AX11" s="30">
        <v>11</v>
      </c>
      <c r="AY11" s="32">
        <f t="shared" ref="AY11:AY15" si="32">AW11-AX11</f>
        <v>1</v>
      </c>
      <c r="AZ11" s="31"/>
      <c r="BA11" s="33">
        <f t="shared" si="16"/>
        <v>11</v>
      </c>
      <c r="BB11" s="30">
        <v>11</v>
      </c>
      <c r="BC11" s="32">
        <f t="shared" ref="BC11:BC15" si="33">BA11-BB11</f>
        <v>0</v>
      </c>
      <c r="BD11" s="31"/>
      <c r="BE11" s="33">
        <f t="shared" si="18"/>
        <v>11</v>
      </c>
      <c r="BF11" s="30">
        <v>8</v>
      </c>
      <c r="BG11" s="32">
        <f t="shared" ref="BG11:BG15" si="34">BE11-BF11</f>
        <v>3</v>
      </c>
      <c r="BH11" s="31">
        <v>1</v>
      </c>
      <c r="BI11" s="33">
        <f t="shared" si="20"/>
        <v>14</v>
      </c>
      <c r="BJ11" s="30">
        <v>13</v>
      </c>
      <c r="BK11" s="32">
        <f t="shared" ref="BK11:BK15" si="35">BI11-BJ11</f>
        <v>1</v>
      </c>
      <c r="BL11" s="31"/>
      <c r="BM11" s="33">
        <f t="shared" si="22"/>
        <v>13</v>
      </c>
      <c r="BN11" s="30"/>
      <c r="BO11" s="32">
        <f t="shared" ref="BO11:BO15" si="36">BM11-BN11</f>
        <v>13</v>
      </c>
      <c r="BP11" s="31"/>
      <c r="BQ11" s="33">
        <f t="shared" si="24"/>
        <v>0</v>
      </c>
      <c r="BR11" s="30"/>
      <c r="BS11" s="32">
        <f t="shared" ref="BS11:BS15" si="37">BQ11-BR11</f>
        <v>0</v>
      </c>
      <c r="BT11" s="31"/>
      <c r="BU11" s="33">
        <f>+BR11+BT11*$E11</f>
        <v>0</v>
      </c>
    </row>
    <row r="12" spans="1:73 16180:16184" ht="20.100000000000001" customHeight="1" x14ac:dyDescent="0.2">
      <c r="A12" s="12" t="s">
        <v>32</v>
      </c>
      <c r="B12" s="9" t="s">
        <v>7</v>
      </c>
      <c r="C12" s="10">
        <v>6</v>
      </c>
      <c r="D12" s="9" t="s">
        <v>355</v>
      </c>
      <c r="E12" s="13">
        <v>6</v>
      </c>
      <c r="F12" s="30">
        <v>7</v>
      </c>
      <c r="G12" s="32">
        <v>3</v>
      </c>
      <c r="H12" s="31">
        <v>1</v>
      </c>
      <c r="I12" s="33">
        <f t="shared" si="0"/>
        <v>13</v>
      </c>
      <c r="J12" s="30">
        <v>9</v>
      </c>
      <c r="K12" s="32">
        <f>+I12-J12</f>
        <v>4</v>
      </c>
      <c r="L12" s="31"/>
      <c r="M12" s="33">
        <f t="shared" si="1"/>
        <v>9</v>
      </c>
      <c r="N12" s="30">
        <v>7</v>
      </c>
      <c r="O12" s="32">
        <f>+M12-N12</f>
        <v>2</v>
      </c>
      <c r="P12" s="34"/>
      <c r="Q12" s="33">
        <f t="shared" si="2"/>
        <v>7</v>
      </c>
      <c r="R12" s="30">
        <v>5</v>
      </c>
      <c r="S12" s="32">
        <f t="shared" si="26"/>
        <v>2</v>
      </c>
      <c r="T12" s="31"/>
      <c r="U12" s="33">
        <f t="shared" si="3"/>
        <v>5</v>
      </c>
      <c r="V12" s="30"/>
      <c r="W12" s="32">
        <f t="shared" si="4"/>
        <v>5</v>
      </c>
      <c r="X12" s="34">
        <v>2</v>
      </c>
      <c r="Y12" s="33">
        <f t="shared" si="5"/>
        <v>12</v>
      </c>
      <c r="Z12" s="30">
        <v>9</v>
      </c>
      <c r="AA12" s="32">
        <f t="shared" si="6"/>
        <v>3</v>
      </c>
      <c r="AB12" s="34">
        <v>1</v>
      </c>
      <c r="AC12" s="33">
        <f t="shared" si="7"/>
        <v>15</v>
      </c>
      <c r="AD12" s="30">
        <v>14</v>
      </c>
      <c r="AE12" s="32">
        <f t="shared" si="27"/>
        <v>1</v>
      </c>
      <c r="AF12" s="31"/>
      <c r="AG12" s="33">
        <f t="shared" si="8"/>
        <v>14</v>
      </c>
      <c r="AH12" s="30">
        <v>12</v>
      </c>
      <c r="AI12" s="32">
        <f t="shared" si="28"/>
        <v>2</v>
      </c>
      <c r="AJ12" s="31"/>
      <c r="AK12" s="33">
        <f t="shared" si="9"/>
        <v>12</v>
      </c>
      <c r="AL12" s="30">
        <v>9</v>
      </c>
      <c r="AM12" s="32">
        <f t="shared" si="10"/>
        <v>3</v>
      </c>
      <c r="AN12" s="31">
        <v>1</v>
      </c>
      <c r="AO12" s="33">
        <f t="shared" si="11"/>
        <v>15</v>
      </c>
      <c r="AP12" s="30">
        <v>11</v>
      </c>
      <c r="AQ12" s="32">
        <f t="shared" si="12"/>
        <v>4</v>
      </c>
      <c r="AR12" s="31"/>
      <c r="AS12" s="33">
        <f t="shared" si="13"/>
        <v>11</v>
      </c>
      <c r="AT12" s="30">
        <v>10</v>
      </c>
      <c r="AU12" s="32">
        <f t="shared" si="29"/>
        <v>1</v>
      </c>
      <c r="AV12" s="31"/>
      <c r="AW12" s="33">
        <f t="shared" si="14"/>
        <v>10</v>
      </c>
      <c r="AX12" s="30">
        <v>8</v>
      </c>
      <c r="AY12" s="32">
        <f t="shared" si="32"/>
        <v>2</v>
      </c>
      <c r="AZ12" s="31"/>
      <c r="BA12" s="33">
        <f t="shared" si="16"/>
        <v>8</v>
      </c>
      <c r="BB12" s="30">
        <v>7</v>
      </c>
      <c r="BC12" s="32">
        <f t="shared" si="33"/>
        <v>1</v>
      </c>
      <c r="BD12" s="31"/>
      <c r="BE12" s="33">
        <f t="shared" si="18"/>
        <v>7</v>
      </c>
      <c r="BF12" s="30">
        <v>5</v>
      </c>
      <c r="BG12" s="32">
        <f t="shared" si="34"/>
        <v>2</v>
      </c>
      <c r="BH12" s="31"/>
      <c r="BI12" s="33">
        <f t="shared" si="20"/>
        <v>5</v>
      </c>
      <c r="BJ12" s="30">
        <v>2</v>
      </c>
      <c r="BK12" s="32">
        <f t="shared" si="35"/>
        <v>3</v>
      </c>
      <c r="BL12" s="31">
        <v>1</v>
      </c>
      <c r="BM12" s="33">
        <f t="shared" si="22"/>
        <v>8</v>
      </c>
      <c r="BN12" s="30"/>
      <c r="BO12" s="32">
        <f t="shared" si="36"/>
        <v>8</v>
      </c>
      <c r="BP12" s="31"/>
      <c r="BQ12" s="33">
        <f t="shared" si="24"/>
        <v>0</v>
      </c>
      <c r="BR12" s="30"/>
      <c r="BS12" s="32">
        <f t="shared" si="37"/>
        <v>0</v>
      </c>
      <c r="BT12" s="31"/>
      <c r="BU12" s="33">
        <f>+BR12+BT12*$E12</f>
        <v>0</v>
      </c>
      <c r="WXH12" s="8"/>
      <c r="WXI12" s="8"/>
      <c r="WXJ12" s="35"/>
      <c r="WXK12" s="8"/>
      <c r="WXL12" s="36"/>
    </row>
    <row r="13" spans="1:73 16180:16184" ht="20.100000000000001" customHeight="1" x14ac:dyDescent="0.2">
      <c r="A13" s="12" t="s">
        <v>36</v>
      </c>
      <c r="B13" s="9" t="s">
        <v>7</v>
      </c>
      <c r="C13" s="10">
        <v>6</v>
      </c>
      <c r="D13" s="9" t="s">
        <v>355</v>
      </c>
      <c r="E13" s="13">
        <v>6</v>
      </c>
      <c r="F13" s="30">
        <v>7</v>
      </c>
      <c r="G13" s="32">
        <v>1</v>
      </c>
      <c r="H13" s="31"/>
      <c r="I13" s="33">
        <f t="shared" si="0"/>
        <v>7</v>
      </c>
      <c r="J13" s="30">
        <v>7</v>
      </c>
      <c r="K13" s="32">
        <f t="shared" si="30"/>
        <v>0</v>
      </c>
      <c r="L13" s="31"/>
      <c r="M13" s="33">
        <f t="shared" si="1"/>
        <v>7</v>
      </c>
      <c r="N13" s="30">
        <v>7</v>
      </c>
      <c r="O13" s="32">
        <f t="shared" si="31"/>
        <v>0</v>
      </c>
      <c r="P13" s="31"/>
      <c r="Q13" s="33">
        <f t="shared" si="2"/>
        <v>7</v>
      </c>
      <c r="R13" s="30">
        <v>7</v>
      </c>
      <c r="S13" s="32">
        <f t="shared" si="26"/>
        <v>0</v>
      </c>
      <c r="T13" s="31"/>
      <c r="U13" s="33">
        <f t="shared" si="3"/>
        <v>7</v>
      </c>
      <c r="V13" s="30">
        <v>6</v>
      </c>
      <c r="W13" s="32">
        <f t="shared" si="4"/>
        <v>1</v>
      </c>
      <c r="X13" s="31"/>
      <c r="Y13" s="33">
        <f t="shared" si="5"/>
        <v>6</v>
      </c>
      <c r="Z13" s="30">
        <v>6</v>
      </c>
      <c r="AA13" s="32">
        <f t="shared" si="6"/>
        <v>0</v>
      </c>
      <c r="AB13" s="31"/>
      <c r="AC13" s="33">
        <f t="shared" si="7"/>
        <v>6</v>
      </c>
      <c r="AD13" s="30">
        <v>5</v>
      </c>
      <c r="AE13" s="32">
        <f t="shared" si="27"/>
        <v>1</v>
      </c>
      <c r="AF13" s="31"/>
      <c r="AG13" s="33">
        <f t="shared" si="8"/>
        <v>5</v>
      </c>
      <c r="AH13" s="30">
        <v>3</v>
      </c>
      <c r="AI13" s="32">
        <f t="shared" si="28"/>
        <v>2</v>
      </c>
      <c r="AJ13" s="31">
        <v>1</v>
      </c>
      <c r="AK13" s="33">
        <f t="shared" si="9"/>
        <v>9</v>
      </c>
      <c r="AL13" s="30">
        <v>9</v>
      </c>
      <c r="AM13" s="32">
        <f t="shared" si="10"/>
        <v>0</v>
      </c>
      <c r="AN13" s="31"/>
      <c r="AO13" s="33">
        <f t="shared" si="11"/>
        <v>9</v>
      </c>
      <c r="AP13" s="30">
        <v>7</v>
      </c>
      <c r="AQ13" s="32">
        <f t="shared" si="12"/>
        <v>2</v>
      </c>
      <c r="AR13" s="31"/>
      <c r="AS13" s="33">
        <f t="shared" si="13"/>
        <v>7</v>
      </c>
      <c r="AT13" s="30">
        <v>7</v>
      </c>
      <c r="AU13" s="32">
        <f t="shared" si="29"/>
        <v>0</v>
      </c>
      <c r="AV13" s="31"/>
      <c r="AW13" s="33">
        <f t="shared" si="14"/>
        <v>7</v>
      </c>
      <c r="AX13" s="30">
        <v>6</v>
      </c>
      <c r="AY13" s="32">
        <f t="shared" si="32"/>
        <v>1</v>
      </c>
      <c r="AZ13" s="31"/>
      <c r="BA13" s="33">
        <f t="shared" si="16"/>
        <v>6</v>
      </c>
      <c r="BB13" s="30">
        <v>6</v>
      </c>
      <c r="BC13" s="32">
        <f t="shared" si="33"/>
        <v>0</v>
      </c>
      <c r="BD13" s="31"/>
      <c r="BE13" s="33">
        <f t="shared" si="18"/>
        <v>6</v>
      </c>
      <c r="BF13" s="30">
        <v>6</v>
      </c>
      <c r="BG13" s="32">
        <f t="shared" si="34"/>
        <v>0</v>
      </c>
      <c r="BH13" s="31"/>
      <c r="BI13" s="33">
        <f t="shared" si="20"/>
        <v>6</v>
      </c>
      <c r="BJ13" s="30">
        <v>5</v>
      </c>
      <c r="BK13" s="32">
        <f t="shared" si="35"/>
        <v>1</v>
      </c>
      <c r="BL13" s="31"/>
      <c r="BM13" s="33">
        <f t="shared" si="22"/>
        <v>5</v>
      </c>
      <c r="BN13" s="30"/>
      <c r="BO13" s="32">
        <f t="shared" si="36"/>
        <v>5</v>
      </c>
      <c r="BP13" s="31"/>
      <c r="BQ13" s="33">
        <f t="shared" si="24"/>
        <v>0</v>
      </c>
      <c r="BR13" s="30"/>
      <c r="BS13" s="32">
        <f t="shared" si="37"/>
        <v>0</v>
      </c>
      <c r="BT13" s="31"/>
      <c r="BU13" s="33">
        <f>+BR13+BT13*$E13</f>
        <v>0</v>
      </c>
    </row>
    <row r="14" spans="1:73 16180:16184" ht="20.100000000000001" customHeight="1" x14ac:dyDescent="0.2">
      <c r="A14" s="12" t="s">
        <v>38</v>
      </c>
      <c r="B14" s="9" t="s">
        <v>7</v>
      </c>
      <c r="C14" s="10">
        <v>6</v>
      </c>
      <c r="D14" s="9" t="s">
        <v>355</v>
      </c>
      <c r="E14" s="13">
        <v>6</v>
      </c>
      <c r="F14" s="30">
        <v>17</v>
      </c>
      <c r="G14" s="32">
        <v>6</v>
      </c>
      <c r="H14" s="31">
        <v>1</v>
      </c>
      <c r="I14" s="33">
        <f t="shared" si="0"/>
        <v>23</v>
      </c>
      <c r="J14" s="30">
        <v>20</v>
      </c>
      <c r="K14" s="32">
        <f t="shared" si="30"/>
        <v>3</v>
      </c>
      <c r="L14" s="31"/>
      <c r="M14" s="33">
        <f t="shared" si="1"/>
        <v>20</v>
      </c>
      <c r="N14" s="30">
        <v>15</v>
      </c>
      <c r="O14" s="32">
        <f t="shared" si="31"/>
        <v>5</v>
      </c>
      <c r="P14" s="34"/>
      <c r="Q14" s="33">
        <f t="shared" si="2"/>
        <v>15</v>
      </c>
      <c r="R14" s="30">
        <v>7</v>
      </c>
      <c r="S14" s="32">
        <f t="shared" si="26"/>
        <v>8</v>
      </c>
      <c r="T14" s="31">
        <v>1</v>
      </c>
      <c r="U14" s="33">
        <f t="shared" si="3"/>
        <v>13</v>
      </c>
      <c r="V14" s="30">
        <v>8</v>
      </c>
      <c r="W14" s="32">
        <f t="shared" si="4"/>
        <v>5</v>
      </c>
      <c r="X14" s="34">
        <v>2</v>
      </c>
      <c r="Y14" s="33">
        <f t="shared" si="5"/>
        <v>20</v>
      </c>
      <c r="Z14" s="30">
        <v>11</v>
      </c>
      <c r="AA14" s="32">
        <f t="shared" si="6"/>
        <v>9</v>
      </c>
      <c r="AB14" s="34">
        <v>1</v>
      </c>
      <c r="AC14" s="33">
        <f t="shared" si="7"/>
        <v>17</v>
      </c>
      <c r="AD14" s="30">
        <v>6</v>
      </c>
      <c r="AE14" s="32">
        <f t="shared" si="27"/>
        <v>11</v>
      </c>
      <c r="AF14" s="31">
        <v>2</v>
      </c>
      <c r="AG14" s="33">
        <f t="shared" si="8"/>
        <v>18</v>
      </c>
      <c r="AH14" s="30">
        <v>13</v>
      </c>
      <c r="AI14" s="32">
        <f t="shared" si="28"/>
        <v>5</v>
      </c>
      <c r="AJ14" s="31"/>
      <c r="AK14" s="33">
        <f t="shared" si="9"/>
        <v>13</v>
      </c>
      <c r="AL14" s="30">
        <v>7</v>
      </c>
      <c r="AM14" s="32">
        <f t="shared" si="10"/>
        <v>6</v>
      </c>
      <c r="AN14" s="31">
        <v>2</v>
      </c>
      <c r="AO14" s="33">
        <f t="shared" si="11"/>
        <v>19</v>
      </c>
      <c r="AP14" s="30">
        <v>11</v>
      </c>
      <c r="AQ14" s="32">
        <f t="shared" si="12"/>
        <v>8</v>
      </c>
      <c r="AR14" s="31">
        <v>2</v>
      </c>
      <c r="AS14" s="33">
        <f t="shared" si="13"/>
        <v>23</v>
      </c>
      <c r="AT14" s="30">
        <v>17</v>
      </c>
      <c r="AU14" s="32">
        <f t="shared" si="29"/>
        <v>6</v>
      </c>
      <c r="AV14" s="31"/>
      <c r="AW14" s="33">
        <f t="shared" si="14"/>
        <v>17</v>
      </c>
      <c r="AX14" s="30">
        <v>8</v>
      </c>
      <c r="AY14" s="32">
        <f t="shared" si="32"/>
        <v>9</v>
      </c>
      <c r="AZ14" s="31">
        <v>1</v>
      </c>
      <c r="BA14" s="33">
        <f t="shared" si="16"/>
        <v>14</v>
      </c>
      <c r="BB14" s="30">
        <v>4</v>
      </c>
      <c r="BC14" s="32">
        <f t="shared" si="33"/>
        <v>10</v>
      </c>
      <c r="BD14" s="31">
        <v>3</v>
      </c>
      <c r="BE14" s="33">
        <f t="shared" si="18"/>
        <v>22</v>
      </c>
      <c r="BF14" s="30">
        <v>16</v>
      </c>
      <c r="BG14" s="32">
        <f t="shared" si="34"/>
        <v>6</v>
      </c>
      <c r="BH14" s="31"/>
      <c r="BI14" s="33">
        <f t="shared" si="20"/>
        <v>16</v>
      </c>
      <c r="BJ14" s="30">
        <v>9</v>
      </c>
      <c r="BK14" s="32">
        <f t="shared" si="35"/>
        <v>7</v>
      </c>
      <c r="BL14" s="31">
        <v>1</v>
      </c>
      <c r="BM14" s="33">
        <f t="shared" si="22"/>
        <v>15</v>
      </c>
      <c r="BN14" s="30"/>
      <c r="BO14" s="32">
        <f t="shared" si="36"/>
        <v>15</v>
      </c>
      <c r="BP14" s="31"/>
      <c r="BQ14" s="33">
        <f t="shared" si="24"/>
        <v>0</v>
      </c>
      <c r="BR14" s="30"/>
      <c r="BS14" s="32">
        <f t="shared" si="37"/>
        <v>0</v>
      </c>
      <c r="BT14" s="31"/>
      <c r="BU14" s="33">
        <f>+BR14+BT14*$E14</f>
        <v>0</v>
      </c>
    </row>
    <row r="15" spans="1:73 16180:16184" ht="20.100000000000001" customHeight="1" x14ac:dyDescent="0.2">
      <c r="A15" s="12" t="s">
        <v>273</v>
      </c>
      <c r="B15" s="9" t="s">
        <v>7</v>
      </c>
      <c r="C15" s="10">
        <v>6</v>
      </c>
      <c r="D15" s="9" t="s">
        <v>355</v>
      </c>
      <c r="E15" s="13">
        <v>6</v>
      </c>
      <c r="F15" s="30">
        <v>9</v>
      </c>
      <c r="G15" s="32">
        <v>3</v>
      </c>
      <c r="H15" s="31">
        <v>1</v>
      </c>
      <c r="I15" s="33">
        <f t="shared" si="0"/>
        <v>15</v>
      </c>
      <c r="J15" s="30">
        <v>9</v>
      </c>
      <c r="K15" s="32">
        <f t="shared" si="30"/>
        <v>6</v>
      </c>
      <c r="L15" s="31">
        <v>1</v>
      </c>
      <c r="M15" s="33">
        <f t="shared" si="1"/>
        <v>15</v>
      </c>
      <c r="N15" s="30">
        <v>9</v>
      </c>
      <c r="O15" s="32">
        <f t="shared" si="31"/>
        <v>6</v>
      </c>
      <c r="P15" s="31">
        <v>1</v>
      </c>
      <c r="Q15" s="33">
        <f t="shared" si="2"/>
        <v>15</v>
      </c>
      <c r="R15" s="30">
        <v>12</v>
      </c>
      <c r="S15" s="32">
        <f t="shared" si="26"/>
        <v>3</v>
      </c>
      <c r="T15" s="31"/>
      <c r="U15" s="33">
        <f t="shared" si="3"/>
        <v>12</v>
      </c>
      <c r="V15" s="30">
        <v>8</v>
      </c>
      <c r="W15" s="32">
        <f t="shared" si="4"/>
        <v>4</v>
      </c>
      <c r="X15" s="34">
        <v>1</v>
      </c>
      <c r="Y15" s="33">
        <f t="shared" si="5"/>
        <v>14</v>
      </c>
      <c r="Z15" s="30">
        <v>10</v>
      </c>
      <c r="AA15" s="32">
        <f t="shared" si="6"/>
        <v>4</v>
      </c>
      <c r="AB15" s="31"/>
      <c r="AC15" s="33">
        <f t="shared" si="7"/>
        <v>10</v>
      </c>
      <c r="AD15" s="30">
        <v>4</v>
      </c>
      <c r="AE15" s="32">
        <f t="shared" si="27"/>
        <v>6</v>
      </c>
      <c r="AF15" s="31">
        <v>1</v>
      </c>
      <c r="AG15" s="33">
        <f t="shared" si="8"/>
        <v>10</v>
      </c>
      <c r="AH15" s="30">
        <v>6</v>
      </c>
      <c r="AI15" s="32">
        <f t="shared" si="28"/>
        <v>4</v>
      </c>
      <c r="AJ15" s="31">
        <v>1</v>
      </c>
      <c r="AK15" s="33">
        <f t="shared" si="9"/>
        <v>12</v>
      </c>
      <c r="AL15" s="30">
        <v>7</v>
      </c>
      <c r="AM15" s="32">
        <f t="shared" si="10"/>
        <v>5</v>
      </c>
      <c r="AN15" s="31">
        <v>1</v>
      </c>
      <c r="AO15" s="33">
        <f t="shared" si="11"/>
        <v>13</v>
      </c>
      <c r="AP15" s="30">
        <v>12</v>
      </c>
      <c r="AQ15" s="32">
        <f t="shared" si="12"/>
        <v>1</v>
      </c>
      <c r="AR15" s="31"/>
      <c r="AS15" s="33">
        <f t="shared" si="13"/>
        <v>12</v>
      </c>
      <c r="AT15" s="30">
        <v>7</v>
      </c>
      <c r="AU15" s="32">
        <f t="shared" si="29"/>
        <v>5</v>
      </c>
      <c r="AV15" s="31">
        <v>1</v>
      </c>
      <c r="AW15" s="33">
        <f t="shared" si="14"/>
        <v>13</v>
      </c>
      <c r="AX15" s="30">
        <v>8</v>
      </c>
      <c r="AY15" s="32">
        <f t="shared" si="32"/>
        <v>5</v>
      </c>
      <c r="AZ15" s="31">
        <v>1</v>
      </c>
      <c r="BA15" s="33">
        <f t="shared" si="16"/>
        <v>14</v>
      </c>
      <c r="BB15" s="30">
        <v>12</v>
      </c>
      <c r="BC15" s="32">
        <f t="shared" si="33"/>
        <v>2</v>
      </c>
      <c r="BD15" s="31"/>
      <c r="BE15" s="33">
        <f t="shared" si="18"/>
        <v>12</v>
      </c>
      <c r="BF15" s="30">
        <v>10</v>
      </c>
      <c r="BG15" s="32">
        <f t="shared" si="34"/>
        <v>2</v>
      </c>
      <c r="BH15" s="31"/>
      <c r="BI15" s="33">
        <f t="shared" si="20"/>
        <v>10</v>
      </c>
      <c r="BJ15" s="30">
        <v>8</v>
      </c>
      <c r="BK15" s="32">
        <f t="shared" si="35"/>
        <v>2</v>
      </c>
      <c r="BL15" s="31"/>
      <c r="BM15" s="33">
        <f t="shared" si="22"/>
        <v>8</v>
      </c>
      <c r="BN15" s="30"/>
      <c r="BO15" s="32">
        <f t="shared" si="36"/>
        <v>8</v>
      </c>
      <c r="BP15" s="31"/>
      <c r="BQ15" s="33">
        <f t="shared" si="24"/>
        <v>0</v>
      </c>
      <c r="BR15" s="30"/>
      <c r="BS15" s="32">
        <f t="shared" si="37"/>
        <v>0</v>
      </c>
      <c r="BT15" s="31"/>
      <c r="BU15" s="33">
        <f>+BR15+BT15*$E15</f>
        <v>0</v>
      </c>
    </row>
  </sheetData>
  <autoFilter ref="A2:BU15" xr:uid="{F9272C79-CE25-449C-85DA-81B3047D6F2E}"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7" showButton="0"/>
    <filterColumn colId="38" showButton="0"/>
    <filterColumn colId="39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9" showButton="0"/>
    <filterColumn colId="50" showButton="0"/>
    <filterColumn colId="51" showButton="0"/>
    <filterColumn colId="53" showButton="0"/>
    <filterColumn colId="54" showButton="0"/>
    <filterColumn colId="55" showButton="0"/>
    <filterColumn colId="57" showButton="0"/>
    <filterColumn colId="58" showButton="0"/>
    <filterColumn colId="59" showButton="0"/>
    <filterColumn colId="61" showButton="0"/>
    <filterColumn colId="62" showButton="0"/>
    <filterColumn colId="63" showButton="0"/>
    <filterColumn colId="65" showButton="0"/>
    <filterColumn colId="66" showButton="0"/>
    <filterColumn colId="67" showButton="0"/>
    <filterColumn colId="69" showButton="0"/>
    <filterColumn colId="70" showButton="0"/>
    <filterColumn colId="71" showButton="0"/>
  </autoFilter>
  <mergeCells count="17">
    <mergeCell ref="R2:U2"/>
    <mergeCell ref="F2:I2"/>
    <mergeCell ref="J2:M2"/>
    <mergeCell ref="N2:Q2"/>
    <mergeCell ref="AP2:AS2"/>
    <mergeCell ref="AT2:AW2"/>
    <mergeCell ref="AX2:BA2"/>
    <mergeCell ref="V2:Y2"/>
    <mergeCell ref="Z2:AC2"/>
    <mergeCell ref="AD2:AG2"/>
    <mergeCell ref="AH2:AK2"/>
    <mergeCell ref="AL2:AO2"/>
    <mergeCell ref="BB2:BE2"/>
    <mergeCell ref="BF2:BI2"/>
    <mergeCell ref="BJ2:BM2"/>
    <mergeCell ref="BN2:BQ2"/>
    <mergeCell ref="BR2:BU2"/>
  </mergeCells>
  <pageMargins left="0.7" right="0.7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8FD1-E8AE-44AC-BE10-0602B416440A}">
  <sheetPr filterMode="1">
    <tabColor theme="9"/>
  </sheetPr>
  <dimension ref="A1:WYN63"/>
  <sheetViews>
    <sheetView zoomScale="80" zoomScaleNormal="80" workbookViewId="0">
      <pane xSplit="5" ySplit="2" topLeftCell="BD3" activePane="bottomRight" state="frozen"/>
      <selection pane="topRight" activeCell="F1" sqref="F1"/>
      <selection pane="bottomLeft" activeCell="A3" sqref="A3"/>
      <selection pane="bottomRight" activeCell="BL22" sqref="BL22"/>
    </sheetView>
  </sheetViews>
  <sheetFormatPr baseColWidth="10" defaultColWidth="11.42578125" defaultRowHeight="12" x14ac:dyDescent="0.2"/>
  <cols>
    <col min="1" max="1" width="43.140625" style="46" bestFit="1" customWidth="1"/>
    <col min="2" max="4" width="10.7109375" style="145" customWidth="1"/>
    <col min="5" max="5" width="10.7109375" style="37" customWidth="1"/>
    <col min="6" max="16384" width="11.42578125" style="37"/>
  </cols>
  <sheetData>
    <row r="1" spans="1:81 16208:16212" ht="12.75" thickBot="1" x14ac:dyDescent="0.25">
      <c r="A1" s="28" t="s">
        <v>0</v>
      </c>
    </row>
    <row r="2" spans="1:81 16208:16212" s="89" customFormat="1" ht="20.100000000000001" hidden="1" customHeight="1" thickBot="1" x14ac:dyDescent="0.3">
      <c r="A2" s="41"/>
      <c r="B2" s="6"/>
      <c r="C2" s="6"/>
      <c r="D2" s="6"/>
      <c r="E2" s="155"/>
      <c r="F2" s="221">
        <v>46181</v>
      </c>
      <c r="G2" s="222"/>
      <c r="H2" s="222"/>
      <c r="I2" s="223"/>
      <c r="J2" s="221">
        <v>46188</v>
      </c>
      <c r="K2" s="222"/>
      <c r="L2" s="222"/>
      <c r="M2" s="223"/>
      <c r="N2" s="221">
        <v>46195</v>
      </c>
      <c r="O2" s="222"/>
      <c r="P2" s="222"/>
      <c r="Q2" s="223"/>
      <c r="R2" s="221">
        <v>46202</v>
      </c>
      <c r="S2" s="222"/>
      <c r="T2" s="222"/>
      <c r="U2" s="223"/>
      <c r="V2" s="221">
        <v>46209</v>
      </c>
      <c r="W2" s="222"/>
      <c r="X2" s="222"/>
      <c r="Y2" s="223"/>
      <c r="Z2" s="218">
        <v>46216</v>
      </c>
      <c r="AA2" s="219"/>
      <c r="AB2" s="219"/>
      <c r="AC2" s="220"/>
      <c r="AD2" s="218">
        <v>46223</v>
      </c>
      <c r="AE2" s="219"/>
      <c r="AF2" s="219"/>
      <c r="AG2" s="220"/>
      <c r="AH2" s="218">
        <v>46230</v>
      </c>
      <c r="AI2" s="219"/>
      <c r="AJ2" s="219"/>
      <c r="AK2" s="220"/>
      <c r="AL2" s="218">
        <v>46237</v>
      </c>
      <c r="AM2" s="219"/>
      <c r="AN2" s="219"/>
      <c r="AO2" s="220"/>
      <c r="AP2" s="218">
        <v>46244</v>
      </c>
      <c r="AQ2" s="219"/>
      <c r="AR2" s="219"/>
      <c r="AS2" s="220"/>
      <c r="AT2" s="218">
        <v>46251</v>
      </c>
      <c r="AU2" s="219"/>
      <c r="AV2" s="219"/>
      <c r="AW2" s="220"/>
      <c r="AX2" s="221">
        <v>46258</v>
      </c>
      <c r="AY2" s="222"/>
      <c r="AZ2" s="222"/>
      <c r="BA2" s="223"/>
      <c r="BB2" s="221">
        <v>46265</v>
      </c>
      <c r="BC2" s="222"/>
      <c r="BD2" s="222"/>
      <c r="BE2" s="223"/>
      <c r="BF2" s="218">
        <v>46272</v>
      </c>
      <c r="BG2" s="219"/>
      <c r="BH2" s="219"/>
      <c r="BI2" s="220"/>
      <c r="BJ2" s="218">
        <v>46279</v>
      </c>
      <c r="BK2" s="219"/>
      <c r="BL2" s="219"/>
      <c r="BM2" s="220"/>
      <c r="BN2" s="218"/>
      <c r="BO2" s="219"/>
      <c r="BP2" s="219"/>
      <c r="BQ2" s="220"/>
      <c r="BR2" s="218"/>
      <c r="BS2" s="219"/>
      <c r="BT2" s="219"/>
      <c r="BU2" s="220"/>
      <c r="BV2" s="218"/>
      <c r="BW2" s="219"/>
      <c r="BX2" s="219"/>
      <c r="BY2" s="220"/>
      <c r="BZ2" s="218"/>
      <c r="CA2" s="219"/>
      <c r="CB2" s="219"/>
      <c r="CC2" s="220"/>
    </row>
    <row r="3" spans="1:81 16208:16212" s="176" customFormat="1" ht="33.75" x14ac:dyDescent="0.25">
      <c r="A3" s="172" t="s">
        <v>1</v>
      </c>
      <c r="B3" s="137" t="s">
        <v>345</v>
      </c>
      <c r="C3" s="137" t="s">
        <v>348</v>
      </c>
      <c r="D3" s="139" t="s">
        <v>347</v>
      </c>
      <c r="E3" s="26" t="s">
        <v>9</v>
      </c>
      <c r="F3" s="173" t="s">
        <v>3</v>
      </c>
      <c r="G3" s="175" t="s">
        <v>4</v>
      </c>
      <c r="H3" s="34" t="s">
        <v>5</v>
      </c>
      <c r="I3" s="174" t="s">
        <v>6</v>
      </c>
      <c r="J3" s="173" t="s">
        <v>3</v>
      </c>
      <c r="K3" s="175" t="s">
        <v>4</v>
      </c>
      <c r="L3" s="34" t="s">
        <v>5</v>
      </c>
      <c r="M3" s="174" t="s">
        <v>6</v>
      </c>
      <c r="N3" s="173" t="s">
        <v>3</v>
      </c>
      <c r="O3" s="175" t="s">
        <v>4</v>
      </c>
      <c r="P3" s="34" t="s">
        <v>5</v>
      </c>
      <c r="Q3" s="174" t="s">
        <v>6</v>
      </c>
      <c r="R3" s="173" t="s">
        <v>3</v>
      </c>
      <c r="S3" s="175" t="s">
        <v>4</v>
      </c>
      <c r="T3" s="34" t="s">
        <v>5</v>
      </c>
      <c r="U3" s="174" t="s">
        <v>6</v>
      </c>
      <c r="V3" s="173" t="s">
        <v>3</v>
      </c>
      <c r="W3" s="175" t="s">
        <v>4</v>
      </c>
      <c r="X3" s="34" t="s">
        <v>5</v>
      </c>
      <c r="Y3" s="174" t="s">
        <v>6</v>
      </c>
      <c r="Z3" s="173" t="s">
        <v>3</v>
      </c>
      <c r="AA3" s="175" t="s">
        <v>4</v>
      </c>
      <c r="AB3" s="34" t="s">
        <v>5</v>
      </c>
      <c r="AC3" s="174" t="s">
        <v>6</v>
      </c>
      <c r="AD3" s="173" t="s">
        <v>3</v>
      </c>
      <c r="AE3" s="175" t="s">
        <v>4</v>
      </c>
      <c r="AF3" s="34" t="s">
        <v>5</v>
      </c>
      <c r="AG3" s="174" t="s">
        <v>6</v>
      </c>
      <c r="AH3" s="173" t="s">
        <v>3</v>
      </c>
      <c r="AI3" s="175" t="s">
        <v>4</v>
      </c>
      <c r="AJ3" s="34" t="s">
        <v>5</v>
      </c>
      <c r="AK3" s="174" t="s">
        <v>6</v>
      </c>
      <c r="AL3" s="173" t="s">
        <v>3</v>
      </c>
      <c r="AM3" s="175" t="s">
        <v>4</v>
      </c>
      <c r="AN3" s="34" t="s">
        <v>5</v>
      </c>
      <c r="AO3" s="174" t="s">
        <v>6</v>
      </c>
      <c r="AP3" s="173" t="s">
        <v>3</v>
      </c>
      <c r="AQ3" s="175" t="s">
        <v>4</v>
      </c>
      <c r="AR3" s="34" t="s">
        <v>5</v>
      </c>
      <c r="AS3" s="174" t="s">
        <v>6</v>
      </c>
      <c r="AT3" s="173" t="s">
        <v>3</v>
      </c>
      <c r="AU3" s="175" t="s">
        <v>4</v>
      </c>
      <c r="AV3" s="34" t="s">
        <v>5</v>
      </c>
      <c r="AW3" s="174" t="s">
        <v>6</v>
      </c>
      <c r="AX3" s="173" t="s">
        <v>3</v>
      </c>
      <c r="AY3" s="175" t="s">
        <v>4</v>
      </c>
      <c r="AZ3" s="34" t="s">
        <v>5</v>
      </c>
      <c r="BA3" s="174" t="s">
        <v>6</v>
      </c>
      <c r="BB3" s="173" t="s">
        <v>3</v>
      </c>
      <c r="BC3" s="175" t="s">
        <v>4</v>
      </c>
      <c r="BD3" s="34" t="s">
        <v>5</v>
      </c>
      <c r="BE3" s="174" t="s">
        <v>6</v>
      </c>
      <c r="BF3" s="173" t="s">
        <v>3</v>
      </c>
      <c r="BG3" s="175" t="s">
        <v>4</v>
      </c>
      <c r="BH3" s="34" t="s">
        <v>5</v>
      </c>
      <c r="BI3" s="174" t="s">
        <v>6</v>
      </c>
      <c r="BJ3" s="173" t="s">
        <v>3</v>
      </c>
      <c r="BK3" s="175" t="s">
        <v>4</v>
      </c>
      <c r="BL3" s="34" t="s">
        <v>5</v>
      </c>
      <c r="BM3" s="174" t="s">
        <v>6</v>
      </c>
      <c r="BN3" s="173" t="s">
        <v>3</v>
      </c>
      <c r="BO3" s="175" t="s">
        <v>4</v>
      </c>
      <c r="BP3" s="34" t="s">
        <v>5</v>
      </c>
      <c r="BQ3" s="174" t="s">
        <v>6</v>
      </c>
      <c r="BR3" s="173" t="s">
        <v>3</v>
      </c>
      <c r="BS3" s="175" t="s">
        <v>4</v>
      </c>
      <c r="BT3" s="34" t="s">
        <v>5</v>
      </c>
      <c r="BU3" s="174" t="s">
        <v>6</v>
      </c>
      <c r="BV3" s="173" t="s">
        <v>3</v>
      </c>
      <c r="BW3" s="175" t="s">
        <v>4</v>
      </c>
      <c r="BX3" s="34" t="s">
        <v>5</v>
      </c>
      <c r="BY3" s="174" t="s">
        <v>6</v>
      </c>
      <c r="BZ3" s="173" t="s">
        <v>3</v>
      </c>
      <c r="CA3" s="175" t="s">
        <v>4</v>
      </c>
      <c r="CB3" s="34" t="s">
        <v>5</v>
      </c>
      <c r="CC3" s="174" t="s">
        <v>6</v>
      </c>
    </row>
    <row r="4" spans="1:81 16208:16212" ht="20.100000000000001" hidden="1" customHeight="1" x14ac:dyDescent="0.2">
      <c r="A4" s="19" t="s">
        <v>137</v>
      </c>
      <c r="B4" s="9" t="s">
        <v>7</v>
      </c>
      <c r="C4" s="10">
        <v>6</v>
      </c>
      <c r="D4" s="9" t="s">
        <v>9</v>
      </c>
      <c r="E4" s="13">
        <v>6</v>
      </c>
      <c r="F4" s="30">
        <v>6</v>
      </c>
      <c r="G4" s="32">
        <v>0</v>
      </c>
      <c r="H4" s="31"/>
      <c r="I4" s="33">
        <f t="shared" ref="I4:I29" si="0">+F4+H4*$E4</f>
        <v>6</v>
      </c>
      <c r="J4" s="30">
        <v>6</v>
      </c>
      <c r="K4" s="32">
        <f>+I4-J4</f>
        <v>0</v>
      </c>
      <c r="L4" s="31"/>
      <c r="M4" s="33">
        <f t="shared" ref="M4:M27" si="1">+J4+L4*$E4</f>
        <v>6</v>
      </c>
      <c r="N4" s="30">
        <v>6</v>
      </c>
      <c r="O4" s="32">
        <f>+M4-N4</f>
        <v>0</v>
      </c>
      <c r="P4" s="34"/>
      <c r="Q4" s="33">
        <f t="shared" ref="Q4:Q27" si="2">+N4+P4*$E4</f>
        <v>6</v>
      </c>
      <c r="R4" s="30">
        <v>6</v>
      </c>
      <c r="S4" s="32">
        <f>+Q4-R4</f>
        <v>0</v>
      </c>
      <c r="T4" s="31"/>
      <c r="U4" s="33">
        <f t="shared" ref="U4:U27" si="3">+R4+T4*$E4</f>
        <v>6</v>
      </c>
      <c r="V4" s="30">
        <v>6</v>
      </c>
      <c r="W4" s="32">
        <f>+U4-V4</f>
        <v>0</v>
      </c>
      <c r="X4" s="31"/>
      <c r="Y4" s="33">
        <f t="shared" ref="Y4:Y36" si="4">+V4+X4*$E4</f>
        <v>6</v>
      </c>
      <c r="Z4" s="30">
        <v>6</v>
      </c>
      <c r="AA4" s="32">
        <f t="shared" ref="AA4:AA60" si="5">Y4-Z4</f>
        <v>0</v>
      </c>
      <c r="AB4" s="31"/>
      <c r="AC4" s="33">
        <f t="shared" ref="AC4:AC36" si="6">+Z4+AB4*$E4</f>
        <v>6</v>
      </c>
      <c r="AD4" s="30">
        <v>6</v>
      </c>
      <c r="AE4" s="32">
        <f t="shared" ref="AE4:AE60" si="7">AC4-AD4</f>
        <v>0</v>
      </c>
      <c r="AF4" s="31"/>
      <c r="AG4" s="33">
        <f t="shared" ref="AG4:AG36" si="8">+AD4+AF4*$E4</f>
        <v>6</v>
      </c>
      <c r="AH4" s="30">
        <v>6</v>
      </c>
      <c r="AI4" s="32">
        <f>+AG4-AH4</f>
        <v>0</v>
      </c>
      <c r="AJ4" s="31"/>
      <c r="AK4" s="33">
        <f t="shared" ref="AK4:AK36" si="9">+AH4+AJ4*$E4</f>
        <v>6</v>
      </c>
      <c r="AL4" s="30">
        <v>6</v>
      </c>
      <c r="AM4" s="32">
        <f>+AK4-AL4</f>
        <v>0</v>
      </c>
      <c r="AN4" s="31"/>
      <c r="AO4" s="33">
        <f t="shared" ref="AO4:AO36" si="10">+AL4+AN4*$E4</f>
        <v>6</v>
      </c>
      <c r="AP4" s="30">
        <v>6</v>
      </c>
      <c r="AQ4" s="32">
        <f>+AO4-AP4</f>
        <v>0</v>
      </c>
      <c r="AR4" s="31"/>
      <c r="AS4" s="33">
        <f t="shared" ref="AS4:AS36" si="11">+AP4+AR4*$E4</f>
        <v>6</v>
      </c>
      <c r="AT4" s="30">
        <v>6</v>
      </c>
      <c r="AU4" s="32">
        <f>+AS4-AT4</f>
        <v>0</v>
      </c>
      <c r="AV4" s="31"/>
      <c r="AW4" s="33">
        <f t="shared" ref="AW4:AW16" si="12">+AT4+AV4*$E4</f>
        <v>6</v>
      </c>
      <c r="AX4" s="30">
        <v>6</v>
      </c>
      <c r="AY4" s="32">
        <f t="shared" ref="AY4:AY25" si="13">+AW4-AX4</f>
        <v>0</v>
      </c>
      <c r="AZ4" s="31"/>
      <c r="BA4" s="33">
        <f t="shared" ref="BA4:BA23" si="14">+AX4+AZ4*$E4</f>
        <v>6</v>
      </c>
      <c r="BB4" s="30">
        <v>6</v>
      </c>
      <c r="BC4" s="32">
        <f t="shared" ref="BC4:BC12" si="15">+BA4-BB4</f>
        <v>0</v>
      </c>
      <c r="BD4" s="31"/>
      <c r="BE4" s="33">
        <f t="shared" ref="BE4:BE23" si="16">+BB4+BD4*$E4</f>
        <v>6</v>
      </c>
      <c r="BF4" s="30">
        <v>6</v>
      </c>
      <c r="BG4" s="32">
        <f>+BE4-BF4</f>
        <v>0</v>
      </c>
      <c r="BH4" s="31"/>
      <c r="BI4" s="33">
        <f t="shared" ref="BI4:BI23" si="17">+BF4+BH4*$E4</f>
        <v>6</v>
      </c>
      <c r="BJ4" s="30">
        <v>6</v>
      </c>
      <c r="BK4" s="32">
        <f>+BI4-BJ4</f>
        <v>0</v>
      </c>
      <c r="BL4" s="31"/>
      <c r="BM4" s="33">
        <f t="shared" ref="BM4:BM23" si="18">+BJ4+BL4*$E4</f>
        <v>6</v>
      </c>
      <c r="BN4" s="30"/>
      <c r="BO4" s="32">
        <f t="shared" ref="BO4:BO12" si="19">+BM4-BN4</f>
        <v>6</v>
      </c>
      <c r="BP4" s="31"/>
      <c r="BQ4" s="33">
        <f t="shared" ref="BQ4:BQ23" si="20">+BN4+BP4*$E4</f>
        <v>0</v>
      </c>
      <c r="BR4" s="30"/>
      <c r="BS4" s="32">
        <f t="shared" ref="BS4:BS12" si="21">+BQ4-BR4</f>
        <v>0</v>
      </c>
      <c r="BT4" s="31"/>
      <c r="BU4" s="33">
        <f t="shared" ref="BU4:BU23" si="22">+BR4+BT4*$E4</f>
        <v>0</v>
      </c>
      <c r="BV4" s="30"/>
      <c r="BW4" s="32">
        <f t="shared" ref="BW4:BW12" si="23">+BQ4-BV4</f>
        <v>0</v>
      </c>
      <c r="BX4" s="31"/>
      <c r="BY4" s="33">
        <f t="shared" ref="BY4:BY23" si="24">+BV4+BX4*$E4</f>
        <v>0</v>
      </c>
      <c r="BZ4" s="30"/>
      <c r="CA4" s="32">
        <f t="shared" ref="CA4:CA23" si="25">+BQ4-BZ4</f>
        <v>0</v>
      </c>
      <c r="CB4" s="31"/>
      <c r="CC4" s="33">
        <f>+BZ4+CB4*$E4</f>
        <v>0</v>
      </c>
    </row>
    <row r="5" spans="1:81 16208:16212" ht="20.100000000000001" hidden="1" customHeight="1" x14ac:dyDescent="0.2">
      <c r="A5" s="19" t="s">
        <v>138</v>
      </c>
      <c r="B5" s="9" t="s">
        <v>7</v>
      </c>
      <c r="C5" s="10">
        <v>6</v>
      </c>
      <c r="D5" s="9" t="s">
        <v>9</v>
      </c>
      <c r="E5" s="13">
        <v>6</v>
      </c>
      <c r="F5" s="30">
        <v>5</v>
      </c>
      <c r="G5" s="32">
        <v>8</v>
      </c>
      <c r="H5" s="31">
        <v>1</v>
      </c>
      <c r="I5" s="33">
        <f t="shared" si="0"/>
        <v>11</v>
      </c>
      <c r="J5" s="30">
        <v>8</v>
      </c>
      <c r="K5" s="32">
        <f>+I5-J5</f>
        <v>3</v>
      </c>
      <c r="L5" s="31"/>
      <c r="M5" s="33">
        <f t="shared" si="1"/>
        <v>8</v>
      </c>
      <c r="N5" s="30">
        <v>1</v>
      </c>
      <c r="O5" s="32">
        <f>+M5-N5</f>
        <v>7</v>
      </c>
      <c r="P5" s="34">
        <v>2</v>
      </c>
      <c r="Q5" s="33">
        <f t="shared" si="2"/>
        <v>13</v>
      </c>
      <c r="R5" s="30">
        <v>8</v>
      </c>
      <c r="S5" s="32">
        <f>+Q5-R5</f>
        <v>5</v>
      </c>
      <c r="T5" s="31">
        <v>1</v>
      </c>
      <c r="U5" s="33">
        <f t="shared" si="3"/>
        <v>14</v>
      </c>
      <c r="V5" s="30">
        <v>10</v>
      </c>
      <c r="W5" s="32">
        <f>+U5-V5</f>
        <v>4</v>
      </c>
      <c r="X5" s="31">
        <v>1</v>
      </c>
      <c r="Y5" s="33">
        <f t="shared" si="4"/>
        <v>16</v>
      </c>
      <c r="Z5" s="30">
        <v>7</v>
      </c>
      <c r="AA5" s="32">
        <f t="shared" si="5"/>
        <v>9</v>
      </c>
      <c r="AB5" s="34">
        <v>1</v>
      </c>
      <c r="AC5" s="33">
        <f t="shared" si="6"/>
        <v>13</v>
      </c>
      <c r="AD5" s="30">
        <v>6</v>
      </c>
      <c r="AE5" s="32">
        <f t="shared" si="7"/>
        <v>7</v>
      </c>
      <c r="AF5" s="31">
        <v>1</v>
      </c>
      <c r="AG5" s="33">
        <f t="shared" si="8"/>
        <v>12</v>
      </c>
      <c r="AH5" s="30">
        <v>6</v>
      </c>
      <c r="AI5" s="32">
        <f>+AG5-AH5</f>
        <v>6</v>
      </c>
      <c r="AJ5" s="31">
        <v>1</v>
      </c>
      <c r="AK5" s="33">
        <f t="shared" si="9"/>
        <v>12</v>
      </c>
      <c r="AL5" s="30">
        <v>6</v>
      </c>
      <c r="AM5" s="32">
        <f>+AK5-AL5</f>
        <v>6</v>
      </c>
      <c r="AN5" s="31">
        <v>1</v>
      </c>
      <c r="AO5" s="33">
        <f t="shared" si="10"/>
        <v>12</v>
      </c>
      <c r="AP5" s="30">
        <v>5</v>
      </c>
      <c r="AQ5" s="32">
        <f t="shared" ref="AQ5:AQ63" si="26">+AO5-AP5</f>
        <v>7</v>
      </c>
      <c r="AR5" s="31">
        <v>2</v>
      </c>
      <c r="AS5" s="33">
        <f t="shared" si="11"/>
        <v>17</v>
      </c>
      <c r="AT5" s="30">
        <v>10</v>
      </c>
      <c r="AU5" s="32">
        <f t="shared" ref="AU5:AU63" si="27">+AS5-AT5</f>
        <v>7</v>
      </c>
      <c r="AV5" s="31">
        <v>1</v>
      </c>
      <c r="AW5" s="33">
        <f t="shared" si="12"/>
        <v>16</v>
      </c>
      <c r="AX5" s="30">
        <v>9</v>
      </c>
      <c r="AY5" s="32">
        <f t="shared" si="13"/>
        <v>7</v>
      </c>
      <c r="AZ5" s="31">
        <v>1</v>
      </c>
      <c r="BA5" s="33">
        <f t="shared" si="14"/>
        <v>15</v>
      </c>
      <c r="BB5" s="30">
        <v>8</v>
      </c>
      <c r="BC5" s="32">
        <f t="shared" si="15"/>
        <v>7</v>
      </c>
      <c r="BD5" s="31">
        <v>1</v>
      </c>
      <c r="BE5" s="33">
        <f t="shared" si="16"/>
        <v>14</v>
      </c>
      <c r="BF5" s="30">
        <v>8</v>
      </c>
      <c r="BG5" s="32">
        <f t="shared" ref="BG5:BG63" si="28">+BE5-BF5</f>
        <v>6</v>
      </c>
      <c r="BH5" s="31">
        <v>1</v>
      </c>
      <c r="BI5" s="33">
        <f t="shared" si="17"/>
        <v>14</v>
      </c>
      <c r="BJ5" s="30">
        <v>10</v>
      </c>
      <c r="BK5" s="32">
        <f t="shared" ref="BK5:BK63" si="29">+BI5-BJ5</f>
        <v>4</v>
      </c>
      <c r="BL5" s="31"/>
      <c r="BM5" s="33">
        <f t="shared" si="18"/>
        <v>10</v>
      </c>
      <c r="BN5" s="30"/>
      <c r="BO5" s="32">
        <f t="shared" si="19"/>
        <v>10</v>
      </c>
      <c r="BP5" s="31"/>
      <c r="BQ5" s="33">
        <f t="shared" si="20"/>
        <v>0</v>
      </c>
      <c r="BR5" s="30"/>
      <c r="BS5" s="32">
        <f t="shared" si="21"/>
        <v>0</v>
      </c>
      <c r="BT5" s="31"/>
      <c r="BU5" s="33">
        <f t="shared" si="22"/>
        <v>0</v>
      </c>
      <c r="BV5" s="30"/>
      <c r="BW5" s="32">
        <f t="shared" si="23"/>
        <v>0</v>
      </c>
      <c r="BX5" s="31"/>
      <c r="BY5" s="33">
        <f t="shared" si="24"/>
        <v>0</v>
      </c>
      <c r="BZ5" s="30"/>
      <c r="CA5" s="32">
        <f t="shared" si="25"/>
        <v>0</v>
      </c>
      <c r="CB5" s="31"/>
      <c r="CC5" s="33">
        <f>+BZ5+CB5*$E5</f>
        <v>0</v>
      </c>
    </row>
    <row r="6" spans="1:81 16208:16212" ht="20.100000000000001" hidden="1" customHeight="1" x14ac:dyDescent="0.2">
      <c r="A6" s="205" t="s">
        <v>139</v>
      </c>
      <c r="B6" s="9" t="s">
        <v>7</v>
      </c>
      <c r="C6" s="10">
        <v>480</v>
      </c>
      <c r="D6" s="9" t="s">
        <v>9</v>
      </c>
      <c r="E6" s="13">
        <v>480</v>
      </c>
      <c r="F6" s="30">
        <v>240</v>
      </c>
      <c r="G6" s="32">
        <v>20</v>
      </c>
      <c r="H6" s="31"/>
      <c r="I6" s="33">
        <f t="shared" si="0"/>
        <v>240</v>
      </c>
      <c r="J6" s="30">
        <f>120+50</f>
        <v>170</v>
      </c>
      <c r="K6" s="32">
        <f>+I6-J6</f>
        <v>70</v>
      </c>
      <c r="L6" s="31">
        <v>1</v>
      </c>
      <c r="M6" s="33">
        <f t="shared" si="1"/>
        <v>650</v>
      </c>
      <c r="N6" s="30">
        <v>600</v>
      </c>
      <c r="O6" s="32">
        <f>+M6-N6</f>
        <v>50</v>
      </c>
      <c r="P6" s="34"/>
      <c r="Q6" s="33">
        <f t="shared" si="2"/>
        <v>600</v>
      </c>
      <c r="R6" s="30">
        <v>450</v>
      </c>
      <c r="S6" s="32">
        <f>+Q6-R6</f>
        <v>150</v>
      </c>
      <c r="T6" s="31"/>
      <c r="U6" s="33">
        <f t="shared" si="3"/>
        <v>450</v>
      </c>
      <c r="V6" s="30">
        <f>120+120+90</f>
        <v>330</v>
      </c>
      <c r="W6" s="32">
        <f>+U6-V6</f>
        <v>120</v>
      </c>
      <c r="X6" s="34">
        <v>1</v>
      </c>
      <c r="Y6" s="33">
        <f t="shared" si="4"/>
        <v>810</v>
      </c>
      <c r="Z6" s="30">
        <f>480+240</f>
        <v>720</v>
      </c>
      <c r="AA6" s="32">
        <f t="shared" si="5"/>
        <v>90</v>
      </c>
      <c r="AB6" s="31"/>
      <c r="AC6" s="33">
        <f t="shared" si="6"/>
        <v>720</v>
      </c>
      <c r="AD6" s="30">
        <f>480+120+120</f>
        <v>720</v>
      </c>
      <c r="AE6" s="32">
        <f t="shared" si="7"/>
        <v>0</v>
      </c>
      <c r="AF6" s="31"/>
      <c r="AG6" s="33">
        <f t="shared" si="8"/>
        <v>720</v>
      </c>
      <c r="AH6" s="30">
        <v>480</v>
      </c>
      <c r="AI6" s="32">
        <f>+AG6-AH6</f>
        <v>240</v>
      </c>
      <c r="AJ6" s="31"/>
      <c r="AK6" s="33">
        <f t="shared" si="9"/>
        <v>480</v>
      </c>
      <c r="AL6" s="30">
        <f>120*4</f>
        <v>480</v>
      </c>
      <c r="AM6" s="32">
        <f>+AK6-AL6</f>
        <v>0</v>
      </c>
      <c r="AN6" s="31"/>
      <c r="AO6" s="33">
        <f t="shared" si="10"/>
        <v>480</v>
      </c>
      <c r="AP6" s="30">
        <v>480</v>
      </c>
      <c r="AQ6" s="32">
        <f t="shared" si="26"/>
        <v>0</v>
      </c>
      <c r="AR6" s="31"/>
      <c r="AS6" s="33">
        <f t="shared" si="11"/>
        <v>480</v>
      </c>
      <c r="AT6" s="30">
        <f>3*120+20</f>
        <v>380</v>
      </c>
      <c r="AU6" s="32">
        <f t="shared" si="27"/>
        <v>100</v>
      </c>
      <c r="AV6" s="31"/>
      <c r="AW6" s="33">
        <f t="shared" si="12"/>
        <v>380</v>
      </c>
      <c r="AX6" s="30">
        <v>240</v>
      </c>
      <c r="AY6" s="32">
        <f t="shared" si="13"/>
        <v>140</v>
      </c>
      <c r="AZ6" s="31">
        <v>1</v>
      </c>
      <c r="BA6" s="33">
        <f t="shared" si="14"/>
        <v>720</v>
      </c>
      <c r="BB6" s="30">
        <v>600</v>
      </c>
      <c r="BC6" s="32">
        <f t="shared" si="15"/>
        <v>120</v>
      </c>
      <c r="BD6" s="31"/>
      <c r="BE6" s="33">
        <f t="shared" si="16"/>
        <v>600</v>
      </c>
      <c r="BF6" s="30">
        <v>600</v>
      </c>
      <c r="BG6" s="32">
        <f t="shared" si="28"/>
        <v>0</v>
      </c>
      <c r="BH6" s="31"/>
      <c r="BI6" s="33">
        <f t="shared" si="17"/>
        <v>600</v>
      </c>
      <c r="BJ6" s="30">
        <v>480</v>
      </c>
      <c r="BK6" s="32">
        <f t="shared" si="29"/>
        <v>120</v>
      </c>
      <c r="BL6" s="31"/>
      <c r="BM6" s="33">
        <f t="shared" si="18"/>
        <v>480</v>
      </c>
      <c r="BN6" s="30"/>
      <c r="BO6" s="32">
        <f t="shared" si="19"/>
        <v>480</v>
      </c>
      <c r="BP6" s="31"/>
      <c r="BQ6" s="33">
        <f t="shared" si="20"/>
        <v>0</v>
      </c>
      <c r="BR6" s="30"/>
      <c r="BS6" s="32">
        <f t="shared" si="21"/>
        <v>0</v>
      </c>
      <c r="BT6" s="31"/>
      <c r="BU6" s="33">
        <f t="shared" si="22"/>
        <v>0</v>
      </c>
      <c r="BV6" s="30"/>
      <c r="BW6" s="32">
        <f t="shared" si="23"/>
        <v>0</v>
      </c>
      <c r="BX6" s="31"/>
      <c r="BY6" s="33">
        <f t="shared" si="24"/>
        <v>0</v>
      </c>
      <c r="BZ6" s="30"/>
      <c r="CA6" s="32">
        <f t="shared" si="25"/>
        <v>0</v>
      </c>
      <c r="CB6" s="31"/>
      <c r="CC6" s="33">
        <f>+BZ6+CB6*$E6</f>
        <v>0</v>
      </c>
    </row>
    <row r="7" spans="1:81 16208:16212" ht="20.100000000000001" hidden="1" customHeight="1" x14ac:dyDescent="0.2">
      <c r="A7" s="19" t="s">
        <v>13</v>
      </c>
      <c r="B7" s="9" t="s">
        <v>7</v>
      </c>
      <c r="C7" s="10">
        <v>6</v>
      </c>
      <c r="D7" s="9" t="s">
        <v>9</v>
      </c>
      <c r="E7" s="13">
        <v>6</v>
      </c>
      <c r="F7" s="30">
        <v>6</v>
      </c>
      <c r="G7" s="32">
        <v>2</v>
      </c>
      <c r="H7" s="31"/>
      <c r="I7" s="33">
        <f t="shared" si="0"/>
        <v>6</v>
      </c>
      <c r="J7" s="30">
        <v>4</v>
      </c>
      <c r="K7" s="32">
        <f>+I7-J7</f>
        <v>2</v>
      </c>
      <c r="L7" s="31">
        <v>1</v>
      </c>
      <c r="M7" s="33">
        <f t="shared" si="1"/>
        <v>10</v>
      </c>
      <c r="N7" s="30">
        <v>8</v>
      </c>
      <c r="O7" s="32">
        <f>+M7-N7</f>
        <v>2</v>
      </c>
      <c r="P7" s="34"/>
      <c r="Q7" s="33">
        <f t="shared" si="2"/>
        <v>8</v>
      </c>
      <c r="R7" s="30">
        <v>6</v>
      </c>
      <c r="S7" s="32">
        <f>+Q7-R7</f>
        <v>2</v>
      </c>
      <c r="T7" s="31"/>
      <c r="U7" s="33">
        <f t="shared" si="3"/>
        <v>6</v>
      </c>
      <c r="V7" s="30">
        <v>5</v>
      </c>
      <c r="W7" s="32">
        <f>+U7-V7</f>
        <v>1</v>
      </c>
      <c r="X7" s="31"/>
      <c r="Y7" s="33">
        <f t="shared" si="4"/>
        <v>5</v>
      </c>
      <c r="Z7" s="30">
        <v>3</v>
      </c>
      <c r="AA7" s="32">
        <f t="shared" si="5"/>
        <v>2</v>
      </c>
      <c r="AB7" s="34">
        <v>1</v>
      </c>
      <c r="AC7" s="33">
        <f t="shared" si="6"/>
        <v>9</v>
      </c>
      <c r="AD7" s="30">
        <v>7</v>
      </c>
      <c r="AE7" s="32">
        <f t="shared" si="7"/>
        <v>2</v>
      </c>
      <c r="AF7" s="31"/>
      <c r="AG7" s="33">
        <f t="shared" si="8"/>
        <v>7</v>
      </c>
      <c r="AH7" s="30">
        <v>5</v>
      </c>
      <c r="AI7" s="32">
        <f>+AG7-AH7</f>
        <v>2</v>
      </c>
      <c r="AJ7" s="31"/>
      <c r="AK7" s="33">
        <f t="shared" si="9"/>
        <v>5</v>
      </c>
      <c r="AL7" s="30">
        <v>5</v>
      </c>
      <c r="AM7" s="32">
        <f>+AK7-AL7</f>
        <v>0</v>
      </c>
      <c r="AN7" s="31">
        <v>1</v>
      </c>
      <c r="AO7" s="33">
        <f t="shared" si="10"/>
        <v>11</v>
      </c>
      <c r="AP7" s="30">
        <v>7</v>
      </c>
      <c r="AQ7" s="32">
        <f t="shared" si="26"/>
        <v>4</v>
      </c>
      <c r="AR7" s="31"/>
      <c r="AS7" s="33">
        <f t="shared" si="11"/>
        <v>7</v>
      </c>
      <c r="AT7" s="30">
        <v>5</v>
      </c>
      <c r="AU7" s="32">
        <f t="shared" si="27"/>
        <v>2</v>
      </c>
      <c r="AV7" s="31"/>
      <c r="AW7" s="33">
        <f t="shared" si="12"/>
        <v>5</v>
      </c>
      <c r="AX7" s="30">
        <v>3</v>
      </c>
      <c r="AY7" s="32">
        <f t="shared" si="13"/>
        <v>2</v>
      </c>
      <c r="AZ7" s="31">
        <v>1</v>
      </c>
      <c r="BA7" s="33">
        <f t="shared" si="14"/>
        <v>9</v>
      </c>
      <c r="BB7" s="30">
        <v>7</v>
      </c>
      <c r="BC7" s="32">
        <f t="shared" si="15"/>
        <v>2</v>
      </c>
      <c r="BD7" s="31"/>
      <c r="BE7" s="33">
        <f t="shared" si="16"/>
        <v>7</v>
      </c>
      <c r="BF7" s="30">
        <v>5</v>
      </c>
      <c r="BG7" s="32">
        <f t="shared" si="28"/>
        <v>2</v>
      </c>
      <c r="BH7" s="31">
        <v>1</v>
      </c>
      <c r="BI7" s="33">
        <f t="shared" si="17"/>
        <v>11</v>
      </c>
      <c r="BJ7" s="30">
        <v>9</v>
      </c>
      <c r="BK7" s="32">
        <f t="shared" si="29"/>
        <v>2</v>
      </c>
      <c r="BL7" s="31"/>
      <c r="BM7" s="33">
        <f t="shared" si="18"/>
        <v>9</v>
      </c>
      <c r="BN7" s="30"/>
      <c r="BO7" s="32">
        <f t="shared" si="19"/>
        <v>9</v>
      </c>
      <c r="BP7" s="31"/>
      <c r="BQ7" s="33">
        <f t="shared" si="20"/>
        <v>0</v>
      </c>
      <c r="BR7" s="30"/>
      <c r="BS7" s="32">
        <f t="shared" si="21"/>
        <v>0</v>
      </c>
      <c r="BT7" s="31"/>
      <c r="BU7" s="33">
        <f t="shared" si="22"/>
        <v>0</v>
      </c>
      <c r="BV7" s="30"/>
      <c r="BW7" s="32">
        <f t="shared" si="23"/>
        <v>0</v>
      </c>
      <c r="BX7" s="31"/>
      <c r="BY7" s="33">
        <f t="shared" si="24"/>
        <v>0</v>
      </c>
      <c r="BZ7" s="30"/>
      <c r="CA7" s="32">
        <f t="shared" si="25"/>
        <v>0</v>
      </c>
      <c r="CB7" s="31"/>
      <c r="CC7" s="33">
        <f>+BZ7+CB7*$E7</f>
        <v>0</v>
      </c>
    </row>
    <row r="8" spans="1:81 16208:16212" ht="20.100000000000001" hidden="1" customHeight="1" x14ac:dyDescent="0.2">
      <c r="A8" s="19" t="s">
        <v>14</v>
      </c>
      <c r="B8" s="9" t="s">
        <v>7</v>
      </c>
      <c r="C8" s="10">
        <v>12</v>
      </c>
      <c r="D8" s="9" t="s">
        <v>9</v>
      </c>
      <c r="E8" s="13">
        <v>12</v>
      </c>
      <c r="F8" s="30">
        <v>4</v>
      </c>
      <c r="G8" s="32">
        <v>1</v>
      </c>
      <c r="H8" s="31"/>
      <c r="I8" s="33">
        <f t="shared" si="0"/>
        <v>4</v>
      </c>
      <c r="J8" s="30">
        <v>4</v>
      </c>
      <c r="K8" s="32">
        <f t="shared" ref="K8:K36" si="30">+I8-J8</f>
        <v>0</v>
      </c>
      <c r="L8" s="31"/>
      <c r="M8" s="33">
        <f t="shared" si="1"/>
        <v>4</v>
      </c>
      <c r="N8" s="30">
        <v>4</v>
      </c>
      <c r="O8" s="32">
        <f t="shared" ref="O8:O36" si="31">+M8-N8</f>
        <v>0</v>
      </c>
      <c r="P8" s="31"/>
      <c r="Q8" s="33">
        <f t="shared" si="2"/>
        <v>4</v>
      </c>
      <c r="R8" s="30">
        <v>3</v>
      </c>
      <c r="S8" s="32">
        <f t="shared" ref="S8:S36" si="32">+Q8-R8</f>
        <v>1</v>
      </c>
      <c r="T8" s="31"/>
      <c r="U8" s="33">
        <f t="shared" si="3"/>
        <v>3</v>
      </c>
      <c r="V8" s="30">
        <v>2</v>
      </c>
      <c r="W8" s="32">
        <f t="shared" ref="W8:W25" si="33">+U8-V8</f>
        <v>1</v>
      </c>
      <c r="X8" s="31"/>
      <c r="Y8" s="33">
        <f t="shared" si="4"/>
        <v>2</v>
      </c>
      <c r="Z8" s="30">
        <v>2</v>
      </c>
      <c r="AA8" s="32">
        <f t="shared" si="5"/>
        <v>0</v>
      </c>
      <c r="AB8" s="31"/>
      <c r="AC8" s="33">
        <f t="shared" si="6"/>
        <v>2</v>
      </c>
      <c r="AD8" s="30">
        <v>1</v>
      </c>
      <c r="AE8" s="32">
        <f t="shared" si="7"/>
        <v>1</v>
      </c>
      <c r="AF8" s="31">
        <v>1</v>
      </c>
      <c r="AG8" s="33">
        <f t="shared" si="8"/>
        <v>13</v>
      </c>
      <c r="AH8" s="30">
        <v>13</v>
      </c>
      <c r="AI8" s="32">
        <f t="shared" ref="AI8:AI25" si="34">+AG8-AH8</f>
        <v>0</v>
      </c>
      <c r="AJ8" s="31"/>
      <c r="AK8" s="33">
        <f t="shared" si="9"/>
        <v>13</v>
      </c>
      <c r="AL8" s="30">
        <v>13</v>
      </c>
      <c r="AM8" s="32">
        <f t="shared" ref="AM8:AM25" si="35">+AK8-AL8</f>
        <v>0</v>
      </c>
      <c r="AN8" s="31"/>
      <c r="AO8" s="33">
        <f t="shared" si="10"/>
        <v>13</v>
      </c>
      <c r="AP8" s="30">
        <v>12</v>
      </c>
      <c r="AQ8" s="32">
        <f t="shared" si="26"/>
        <v>1</v>
      </c>
      <c r="AR8" s="31"/>
      <c r="AS8" s="33">
        <f t="shared" si="11"/>
        <v>12</v>
      </c>
      <c r="AT8" s="30">
        <v>11</v>
      </c>
      <c r="AU8" s="32">
        <f t="shared" si="27"/>
        <v>1</v>
      </c>
      <c r="AV8" s="31"/>
      <c r="AW8" s="33">
        <f t="shared" si="12"/>
        <v>11</v>
      </c>
      <c r="AX8" s="30">
        <v>11</v>
      </c>
      <c r="AY8" s="32">
        <f t="shared" si="13"/>
        <v>0</v>
      </c>
      <c r="AZ8" s="31"/>
      <c r="BA8" s="33">
        <f t="shared" si="14"/>
        <v>11</v>
      </c>
      <c r="BB8" s="30">
        <v>10</v>
      </c>
      <c r="BC8" s="32">
        <f t="shared" si="15"/>
        <v>1</v>
      </c>
      <c r="BD8" s="31"/>
      <c r="BE8" s="33">
        <f t="shared" si="16"/>
        <v>10</v>
      </c>
      <c r="BF8" s="30">
        <v>10</v>
      </c>
      <c r="BG8" s="32">
        <f t="shared" si="28"/>
        <v>0</v>
      </c>
      <c r="BH8" s="31"/>
      <c r="BI8" s="33">
        <f t="shared" si="17"/>
        <v>10</v>
      </c>
      <c r="BJ8" s="30">
        <v>9</v>
      </c>
      <c r="BK8" s="32">
        <f t="shared" si="29"/>
        <v>1</v>
      </c>
      <c r="BL8" s="31"/>
      <c r="BM8" s="33">
        <f t="shared" si="18"/>
        <v>9</v>
      </c>
      <c r="BN8" s="30"/>
      <c r="BO8" s="32">
        <f t="shared" si="19"/>
        <v>9</v>
      </c>
      <c r="BP8" s="31"/>
      <c r="BQ8" s="33">
        <f t="shared" si="20"/>
        <v>0</v>
      </c>
      <c r="BR8" s="30"/>
      <c r="BS8" s="32">
        <f t="shared" si="21"/>
        <v>0</v>
      </c>
      <c r="BT8" s="31"/>
      <c r="BU8" s="33">
        <f t="shared" si="22"/>
        <v>0</v>
      </c>
      <c r="BV8" s="30"/>
      <c r="BW8" s="32">
        <f t="shared" si="23"/>
        <v>0</v>
      </c>
      <c r="BX8" s="31"/>
      <c r="BY8" s="33">
        <f t="shared" si="24"/>
        <v>0</v>
      </c>
      <c r="BZ8" s="30"/>
      <c r="CA8" s="32">
        <f t="shared" si="25"/>
        <v>0</v>
      </c>
      <c r="CB8" s="31"/>
      <c r="CC8" s="33">
        <f>+BZ8+CB8*$E8</f>
        <v>0</v>
      </c>
    </row>
    <row r="9" spans="1:81 16208:16212" ht="20.100000000000001" hidden="1" customHeight="1" x14ac:dyDescent="0.2">
      <c r="A9" s="19" t="s">
        <v>15</v>
      </c>
      <c r="B9" s="9" t="s">
        <v>7</v>
      </c>
      <c r="C9" s="10">
        <v>10</v>
      </c>
      <c r="D9" s="9" t="s">
        <v>9</v>
      </c>
      <c r="E9" s="13">
        <v>10</v>
      </c>
      <c r="F9" s="30">
        <v>13</v>
      </c>
      <c r="G9" s="32">
        <v>0</v>
      </c>
      <c r="H9" s="31"/>
      <c r="I9" s="33">
        <f t="shared" si="0"/>
        <v>13</v>
      </c>
      <c r="J9" s="30">
        <v>13</v>
      </c>
      <c r="K9" s="32">
        <f t="shared" si="30"/>
        <v>0</v>
      </c>
      <c r="L9" s="31"/>
      <c r="M9" s="33">
        <f t="shared" si="1"/>
        <v>13</v>
      </c>
      <c r="N9" s="30">
        <v>12</v>
      </c>
      <c r="O9" s="32">
        <f t="shared" si="31"/>
        <v>1</v>
      </c>
      <c r="P9" s="34"/>
      <c r="Q9" s="33">
        <f t="shared" si="2"/>
        <v>12</v>
      </c>
      <c r="R9" s="30">
        <v>12</v>
      </c>
      <c r="S9" s="32">
        <f t="shared" si="32"/>
        <v>0</v>
      </c>
      <c r="T9" s="31"/>
      <c r="U9" s="33">
        <f t="shared" si="3"/>
        <v>12</v>
      </c>
      <c r="V9" s="30">
        <v>11</v>
      </c>
      <c r="W9" s="32">
        <f t="shared" si="33"/>
        <v>1</v>
      </c>
      <c r="X9" s="31"/>
      <c r="Y9" s="33">
        <f t="shared" si="4"/>
        <v>11</v>
      </c>
      <c r="Z9" s="30">
        <v>11</v>
      </c>
      <c r="AA9" s="32">
        <f t="shared" si="5"/>
        <v>0</v>
      </c>
      <c r="AB9" s="31"/>
      <c r="AC9" s="33">
        <f t="shared" si="6"/>
        <v>11</v>
      </c>
      <c r="AD9" s="30">
        <v>10</v>
      </c>
      <c r="AE9" s="32">
        <f t="shared" si="7"/>
        <v>1</v>
      </c>
      <c r="AF9" s="31"/>
      <c r="AG9" s="33">
        <f t="shared" si="8"/>
        <v>10</v>
      </c>
      <c r="AH9" s="30">
        <v>9</v>
      </c>
      <c r="AI9" s="32">
        <f t="shared" si="34"/>
        <v>1</v>
      </c>
      <c r="AJ9" s="31"/>
      <c r="AK9" s="33">
        <f t="shared" si="9"/>
        <v>9</v>
      </c>
      <c r="AL9" s="30">
        <v>9</v>
      </c>
      <c r="AM9" s="32">
        <f t="shared" si="35"/>
        <v>0</v>
      </c>
      <c r="AN9" s="31"/>
      <c r="AO9" s="33">
        <f t="shared" si="10"/>
        <v>9</v>
      </c>
      <c r="AP9" s="30">
        <v>8</v>
      </c>
      <c r="AQ9" s="32">
        <f t="shared" si="26"/>
        <v>1</v>
      </c>
      <c r="AR9" s="31"/>
      <c r="AS9" s="33">
        <f t="shared" si="11"/>
        <v>8</v>
      </c>
      <c r="AT9" s="30">
        <v>8</v>
      </c>
      <c r="AU9" s="32">
        <f t="shared" si="27"/>
        <v>0</v>
      </c>
      <c r="AV9" s="31"/>
      <c r="AW9" s="33">
        <f t="shared" si="12"/>
        <v>8</v>
      </c>
      <c r="AX9" s="30">
        <v>7</v>
      </c>
      <c r="AY9" s="32">
        <f t="shared" si="13"/>
        <v>1</v>
      </c>
      <c r="AZ9" s="31"/>
      <c r="BA9" s="33">
        <f t="shared" si="14"/>
        <v>7</v>
      </c>
      <c r="BB9" s="30">
        <v>7</v>
      </c>
      <c r="BC9" s="32">
        <f t="shared" si="15"/>
        <v>0</v>
      </c>
      <c r="BD9" s="31"/>
      <c r="BE9" s="33">
        <f t="shared" si="16"/>
        <v>7</v>
      </c>
      <c r="BF9" s="30">
        <v>6</v>
      </c>
      <c r="BG9" s="32">
        <f t="shared" si="28"/>
        <v>1</v>
      </c>
      <c r="BH9" s="31"/>
      <c r="BI9" s="33">
        <f t="shared" si="17"/>
        <v>6</v>
      </c>
      <c r="BJ9" s="30">
        <v>6</v>
      </c>
      <c r="BK9" s="32">
        <f t="shared" si="29"/>
        <v>0</v>
      </c>
      <c r="BL9" s="31"/>
      <c r="BM9" s="33">
        <f t="shared" si="18"/>
        <v>6</v>
      </c>
      <c r="BN9" s="30"/>
      <c r="BO9" s="32">
        <f t="shared" si="19"/>
        <v>6</v>
      </c>
      <c r="BP9" s="31"/>
      <c r="BQ9" s="33">
        <f t="shared" si="20"/>
        <v>0</v>
      </c>
      <c r="BR9" s="30"/>
      <c r="BS9" s="32">
        <f t="shared" si="21"/>
        <v>0</v>
      </c>
      <c r="BT9" s="31"/>
      <c r="BU9" s="33">
        <f t="shared" si="22"/>
        <v>0</v>
      </c>
      <c r="BV9" s="30"/>
      <c r="BW9" s="32">
        <f t="shared" si="23"/>
        <v>0</v>
      </c>
      <c r="BX9" s="31"/>
      <c r="BY9" s="33">
        <f t="shared" si="24"/>
        <v>0</v>
      </c>
      <c r="BZ9" s="30"/>
      <c r="CA9" s="32">
        <f t="shared" si="25"/>
        <v>0</v>
      </c>
      <c r="CB9" s="31"/>
      <c r="CC9" s="33">
        <f>+BZ9+CB9*$E9</f>
        <v>0</v>
      </c>
    </row>
    <row r="10" spans="1:81 16208:16212" ht="20.100000000000001" hidden="1" customHeight="1" x14ac:dyDescent="0.2">
      <c r="A10" s="19" t="s">
        <v>140</v>
      </c>
      <c r="B10" s="9" t="s">
        <v>7</v>
      </c>
      <c r="C10" s="14">
        <v>2500</v>
      </c>
      <c r="D10" s="9" t="s">
        <v>9</v>
      </c>
      <c r="E10" s="13">
        <v>2500</v>
      </c>
      <c r="F10" s="30">
        <v>2040</v>
      </c>
      <c r="G10" s="32">
        <v>60</v>
      </c>
      <c r="H10" s="31"/>
      <c r="I10" s="33">
        <f t="shared" si="0"/>
        <v>2040</v>
      </c>
      <c r="J10" s="30">
        <v>1990</v>
      </c>
      <c r="K10" s="32">
        <f>+I10-J10</f>
        <v>50</v>
      </c>
      <c r="L10" s="31"/>
      <c r="M10" s="33">
        <f t="shared" si="1"/>
        <v>1990</v>
      </c>
      <c r="N10" s="30">
        <v>1950</v>
      </c>
      <c r="O10" s="32">
        <f>+M10-N10</f>
        <v>40</v>
      </c>
      <c r="P10" s="34"/>
      <c r="Q10" s="33">
        <f t="shared" si="2"/>
        <v>1950</v>
      </c>
      <c r="R10" s="30">
        <v>1900</v>
      </c>
      <c r="S10" s="32">
        <f>+Q10-R10</f>
        <v>50</v>
      </c>
      <c r="T10" s="31"/>
      <c r="U10" s="33">
        <f t="shared" si="3"/>
        <v>1900</v>
      </c>
      <c r="V10" s="30">
        <v>1800</v>
      </c>
      <c r="W10" s="32">
        <f>+U10-V10</f>
        <v>100</v>
      </c>
      <c r="X10" s="31"/>
      <c r="Y10" s="33">
        <f t="shared" si="4"/>
        <v>1800</v>
      </c>
      <c r="Z10" s="30">
        <v>1700</v>
      </c>
      <c r="AA10" s="32">
        <f t="shared" si="5"/>
        <v>100</v>
      </c>
      <c r="AB10" s="31"/>
      <c r="AC10" s="33">
        <f t="shared" si="6"/>
        <v>1700</v>
      </c>
      <c r="AD10" s="30">
        <v>1600</v>
      </c>
      <c r="AE10" s="32">
        <f t="shared" si="7"/>
        <v>100</v>
      </c>
      <c r="AF10" s="31"/>
      <c r="AG10" s="33">
        <f t="shared" si="8"/>
        <v>1600</v>
      </c>
      <c r="AH10" s="30">
        <v>1600</v>
      </c>
      <c r="AI10" s="32">
        <f>+AG10-AH10</f>
        <v>0</v>
      </c>
      <c r="AJ10" s="31"/>
      <c r="AK10" s="33">
        <f t="shared" si="9"/>
        <v>1600</v>
      </c>
      <c r="AL10" s="30">
        <v>1550</v>
      </c>
      <c r="AM10" s="32">
        <f>+AK10-AL10</f>
        <v>50</v>
      </c>
      <c r="AN10" s="31"/>
      <c r="AO10" s="33">
        <f t="shared" si="10"/>
        <v>1550</v>
      </c>
      <c r="AP10" s="30">
        <v>1550</v>
      </c>
      <c r="AQ10" s="32">
        <f t="shared" si="26"/>
        <v>0</v>
      </c>
      <c r="AR10" s="31"/>
      <c r="AS10" s="33">
        <f t="shared" si="11"/>
        <v>1550</v>
      </c>
      <c r="AT10" s="30">
        <v>1500</v>
      </c>
      <c r="AU10" s="32">
        <f t="shared" si="27"/>
        <v>50</v>
      </c>
      <c r="AV10" s="31"/>
      <c r="AW10" s="33">
        <f t="shared" si="12"/>
        <v>1500</v>
      </c>
      <c r="AX10" s="30">
        <v>2000</v>
      </c>
      <c r="AY10" s="32">
        <f t="shared" si="13"/>
        <v>-500</v>
      </c>
      <c r="AZ10" s="31"/>
      <c r="BA10" s="33">
        <f t="shared" si="14"/>
        <v>2000</v>
      </c>
      <c r="BB10" s="30">
        <v>1950</v>
      </c>
      <c r="BC10" s="32">
        <f t="shared" si="15"/>
        <v>50</v>
      </c>
      <c r="BD10" s="31"/>
      <c r="BE10" s="33">
        <f t="shared" si="16"/>
        <v>1950</v>
      </c>
      <c r="BF10" s="30">
        <v>1950</v>
      </c>
      <c r="BG10" s="32">
        <f t="shared" si="28"/>
        <v>0</v>
      </c>
      <c r="BH10" s="31"/>
      <c r="BI10" s="33">
        <f t="shared" si="17"/>
        <v>1950</v>
      </c>
      <c r="BJ10" s="30">
        <v>1820</v>
      </c>
      <c r="BK10" s="32">
        <f t="shared" si="29"/>
        <v>130</v>
      </c>
      <c r="BL10" s="31"/>
      <c r="BM10" s="33">
        <f t="shared" si="18"/>
        <v>1820</v>
      </c>
      <c r="BN10" s="30"/>
      <c r="BO10" s="32">
        <f t="shared" si="19"/>
        <v>1820</v>
      </c>
      <c r="BP10" s="31"/>
      <c r="BQ10" s="33">
        <f t="shared" si="20"/>
        <v>0</v>
      </c>
      <c r="BR10" s="30"/>
      <c r="BS10" s="32">
        <f t="shared" si="21"/>
        <v>0</v>
      </c>
      <c r="BT10" s="31"/>
      <c r="BU10" s="33">
        <f t="shared" si="22"/>
        <v>0</v>
      </c>
      <c r="BV10" s="30"/>
      <c r="BW10" s="32">
        <f t="shared" si="23"/>
        <v>0</v>
      </c>
      <c r="BX10" s="31"/>
      <c r="BY10" s="33">
        <f t="shared" si="24"/>
        <v>0</v>
      </c>
      <c r="BZ10" s="30"/>
      <c r="CA10" s="32">
        <f t="shared" si="25"/>
        <v>0</v>
      </c>
      <c r="CB10" s="31"/>
      <c r="CC10" s="33">
        <f>+BZ10+CB10*$E10</f>
        <v>0</v>
      </c>
    </row>
    <row r="11" spans="1:81 16208:16212" ht="20.100000000000001" hidden="1" customHeight="1" x14ac:dyDescent="0.2">
      <c r="A11" s="205" t="s">
        <v>141</v>
      </c>
      <c r="B11" s="9" t="s">
        <v>7</v>
      </c>
      <c r="C11" s="10">
        <v>1200</v>
      </c>
      <c r="D11" s="9" t="s">
        <v>9</v>
      </c>
      <c r="E11" s="13">
        <v>1200</v>
      </c>
      <c r="F11" s="30">
        <f>12*20</f>
        <v>240</v>
      </c>
      <c r="G11" s="32">
        <v>60</v>
      </c>
      <c r="H11" s="31"/>
      <c r="I11" s="33">
        <f t="shared" si="0"/>
        <v>240</v>
      </c>
      <c r="J11" s="30">
        <f>8*20</f>
        <v>160</v>
      </c>
      <c r="K11" s="32">
        <f t="shared" si="30"/>
        <v>80</v>
      </c>
      <c r="L11" s="31">
        <v>1</v>
      </c>
      <c r="M11" s="33">
        <f t="shared" si="1"/>
        <v>1360</v>
      </c>
      <c r="N11" s="30">
        <v>950</v>
      </c>
      <c r="O11" s="32">
        <f t="shared" si="31"/>
        <v>410</v>
      </c>
      <c r="P11" s="31"/>
      <c r="Q11" s="33">
        <f t="shared" si="2"/>
        <v>950</v>
      </c>
      <c r="R11" s="30">
        <v>900</v>
      </c>
      <c r="S11" s="32">
        <f t="shared" si="32"/>
        <v>50</v>
      </c>
      <c r="T11" s="31"/>
      <c r="U11" s="33">
        <f t="shared" si="3"/>
        <v>900</v>
      </c>
      <c r="V11" s="30">
        <f>19*20</f>
        <v>380</v>
      </c>
      <c r="W11" s="32">
        <f t="shared" si="33"/>
        <v>520</v>
      </c>
      <c r="X11" s="34">
        <v>1</v>
      </c>
      <c r="Y11" s="33">
        <f t="shared" si="4"/>
        <v>1580</v>
      </c>
      <c r="Z11" s="30">
        <v>900</v>
      </c>
      <c r="AA11" s="32">
        <f t="shared" si="5"/>
        <v>680</v>
      </c>
      <c r="AB11" s="34">
        <v>1</v>
      </c>
      <c r="AC11" s="33">
        <f t="shared" si="6"/>
        <v>2100</v>
      </c>
      <c r="AD11" s="30">
        <f>860+1200</f>
        <v>2060</v>
      </c>
      <c r="AE11" s="32">
        <f t="shared" si="7"/>
        <v>40</v>
      </c>
      <c r="AF11" s="31"/>
      <c r="AG11" s="33">
        <f t="shared" si="8"/>
        <v>2060</v>
      </c>
      <c r="AH11" s="30">
        <v>2000</v>
      </c>
      <c r="AI11" s="32">
        <f t="shared" si="34"/>
        <v>60</v>
      </c>
      <c r="AJ11" s="31"/>
      <c r="AK11" s="33">
        <f t="shared" si="9"/>
        <v>2000</v>
      </c>
      <c r="AL11" s="30">
        <f>540+1200</f>
        <v>1740</v>
      </c>
      <c r="AM11" s="32">
        <f t="shared" si="35"/>
        <v>260</v>
      </c>
      <c r="AN11" s="31"/>
      <c r="AO11" s="33">
        <f t="shared" si="10"/>
        <v>1740</v>
      </c>
      <c r="AP11" s="30">
        <v>1740</v>
      </c>
      <c r="AQ11" s="32">
        <f t="shared" si="26"/>
        <v>0</v>
      </c>
      <c r="AR11" s="31"/>
      <c r="AS11" s="33">
        <f t="shared" si="11"/>
        <v>1740</v>
      </c>
      <c r="AT11" s="30">
        <f>1200+18*20</f>
        <v>1560</v>
      </c>
      <c r="AU11" s="32">
        <f t="shared" si="27"/>
        <v>180</v>
      </c>
      <c r="AV11" s="31"/>
      <c r="AW11" s="33">
        <f t="shared" si="12"/>
        <v>1560</v>
      </c>
      <c r="AX11" s="30">
        <f>36*20</f>
        <v>720</v>
      </c>
      <c r="AY11" s="32">
        <f t="shared" si="13"/>
        <v>840</v>
      </c>
      <c r="AZ11" s="31"/>
      <c r="BA11" s="33">
        <f t="shared" si="14"/>
        <v>720</v>
      </c>
      <c r="BB11" s="30">
        <v>620</v>
      </c>
      <c r="BC11" s="32">
        <f t="shared" si="15"/>
        <v>100</v>
      </c>
      <c r="BD11" s="31"/>
      <c r="BE11" s="33">
        <f t="shared" si="16"/>
        <v>620</v>
      </c>
      <c r="BF11" s="30">
        <v>600</v>
      </c>
      <c r="BG11" s="32">
        <f t="shared" si="28"/>
        <v>20</v>
      </c>
      <c r="BH11" s="31"/>
      <c r="BI11" s="33">
        <f t="shared" si="17"/>
        <v>600</v>
      </c>
      <c r="BJ11" s="30"/>
      <c r="BK11" s="32">
        <f t="shared" si="29"/>
        <v>600</v>
      </c>
      <c r="BL11" s="31"/>
      <c r="BM11" s="33">
        <f t="shared" si="18"/>
        <v>0</v>
      </c>
      <c r="BN11" s="30"/>
      <c r="BO11" s="32">
        <f t="shared" si="19"/>
        <v>0</v>
      </c>
      <c r="BP11" s="31"/>
      <c r="BQ11" s="33">
        <f t="shared" si="20"/>
        <v>0</v>
      </c>
      <c r="BR11" s="30"/>
      <c r="BS11" s="32">
        <f t="shared" si="21"/>
        <v>0</v>
      </c>
      <c r="BT11" s="31"/>
      <c r="BU11" s="33">
        <f t="shared" si="22"/>
        <v>0</v>
      </c>
      <c r="BV11" s="30"/>
      <c r="BW11" s="32">
        <f t="shared" si="23"/>
        <v>0</v>
      </c>
      <c r="BX11" s="31"/>
      <c r="BY11" s="33">
        <f t="shared" si="24"/>
        <v>0</v>
      </c>
      <c r="BZ11" s="30"/>
      <c r="CA11" s="32">
        <f t="shared" si="25"/>
        <v>0</v>
      </c>
      <c r="CB11" s="31"/>
      <c r="CC11" s="33">
        <f>+BZ11+CB11*$E11</f>
        <v>0</v>
      </c>
    </row>
    <row r="12" spans="1:81 16208:16212" ht="20.100000000000001" customHeight="1" x14ac:dyDescent="0.2">
      <c r="A12" s="19" t="s">
        <v>142</v>
      </c>
      <c r="B12" s="9" t="s">
        <v>7</v>
      </c>
      <c r="C12" s="14">
        <v>1600</v>
      </c>
      <c r="D12" s="9" t="s">
        <v>9</v>
      </c>
      <c r="E12" s="13">
        <v>1600</v>
      </c>
      <c r="F12" s="30">
        <f>12*50</f>
        <v>600</v>
      </c>
      <c r="G12" s="32">
        <v>0</v>
      </c>
      <c r="H12" s="31"/>
      <c r="I12" s="33">
        <f t="shared" si="0"/>
        <v>600</v>
      </c>
      <c r="J12" s="30">
        <v>550</v>
      </c>
      <c r="K12" s="32">
        <f>+I12-J12</f>
        <v>50</v>
      </c>
      <c r="L12" s="31"/>
      <c r="M12" s="33">
        <f t="shared" si="1"/>
        <v>550</v>
      </c>
      <c r="N12" s="30">
        <v>500</v>
      </c>
      <c r="O12" s="32">
        <f>+M12-N12</f>
        <v>50</v>
      </c>
      <c r="P12" s="34"/>
      <c r="Q12" s="33">
        <f t="shared" si="2"/>
        <v>500</v>
      </c>
      <c r="R12" s="30">
        <v>500</v>
      </c>
      <c r="S12" s="32">
        <f>+Q12-R12</f>
        <v>0</v>
      </c>
      <c r="T12" s="31"/>
      <c r="U12" s="33">
        <f t="shared" si="3"/>
        <v>500</v>
      </c>
      <c r="V12" s="30">
        <f>9*50</f>
        <v>450</v>
      </c>
      <c r="W12" s="32">
        <f>+U12-V12</f>
        <v>50</v>
      </c>
      <c r="X12" s="31"/>
      <c r="Y12" s="33">
        <f t="shared" si="4"/>
        <v>450</v>
      </c>
      <c r="Z12" s="30">
        <f>8*50</f>
        <v>400</v>
      </c>
      <c r="AA12" s="32">
        <f t="shared" si="5"/>
        <v>50</v>
      </c>
      <c r="AB12" s="31"/>
      <c r="AC12" s="33">
        <f t="shared" si="6"/>
        <v>400</v>
      </c>
      <c r="AD12" s="30">
        <f>7*50</f>
        <v>350</v>
      </c>
      <c r="AE12" s="32">
        <f t="shared" si="7"/>
        <v>50</v>
      </c>
      <c r="AF12" s="31"/>
      <c r="AG12" s="33">
        <f t="shared" si="8"/>
        <v>350</v>
      </c>
      <c r="AH12" s="30">
        <v>350</v>
      </c>
      <c r="AI12" s="32">
        <f>+AG12-AH12</f>
        <v>0</v>
      </c>
      <c r="AJ12" s="31"/>
      <c r="AK12" s="33">
        <f t="shared" si="9"/>
        <v>350</v>
      </c>
      <c r="AL12" s="30">
        <f>50*6</f>
        <v>300</v>
      </c>
      <c r="AM12" s="32">
        <f>+AK12-AL12</f>
        <v>50</v>
      </c>
      <c r="AN12" s="31"/>
      <c r="AO12" s="33">
        <f t="shared" si="10"/>
        <v>300</v>
      </c>
      <c r="AP12" s="30">
        <v>300</v>
      </c>
      <c r="AQ12" s="32">
        <f t="shared" si="26"/>
        <v>0</v>
      </c>
      <c r="AR12" s="31"/>
      <c r="AS12" s="33">
        <f t="shared" si="11"/>
        <v>300</v>
      </c>
      <c r="AT12" s="30">
        <v>200</v>
      </c>
      <c r="AU12" s="32">
        <f t="shared" si="27"/>
        <v>100</v>
      </c>
      <c r="AV12" s="31"/>
      <c r="AW12" s="33">
        <f t="shared" si="12"/>
        <v>200</v>
      </c>
      <c r="AX12" s="30">
        <v>200</v>
      </c>
      <c r="AY12" s="32">
        <f t="shared" si="13"/>
        <v>0</v>
      </c>
      <c r="AZ12" s="31"/>
      <c r="BA12" s="33">
        <f t="shared" si="14"/>
        <v>200</v>
      </c>
      <c r="BB12" s="30">
        <v>200</v>
      </c>
      <c r="BC12" s="32">
        <f t="shared" si="15"/>
        <v>0</v>
      </c>
      <c r="BD12" s="31"/>
      <c r="BE12" s="33">
        <f t="shared" si="16"/>
        <v>200</v>
      </c>
      <c r="BF12" s="30">
        <v>200</v>
      </c>
      <c r="BG12" s="32">
        <f t="shared" si="28"/>
        <v>0</v>
      </c>
      <c r="BH12" s="31"/>
      <c r="BI12" s="33">
        <f t="shared" si="17"/>
        <v>200</v>
      </c>
      <c r="BJ12" s="30">
        <v>200</v>
      </c>
      <c r="BK12" s="32">
        <f t="shared" si="29"/>
        <v>0</v>
      </c>
      <c r="BL12" s="31">
        <v>1</v>
      </c>
      <c r="BM12" s="33">
        <f t="shared" si="18"/>
        <v>1800</v>
      </c>
      <c r="BN12" s="30"/>
      <c r="BO12" s="32">
        <f t="shared" si="19"/>
        <v>1800</v>
      </c>
      <c r="BP12" s="31"/>
      <c r="BQ12" s="33">
        <f t="shared" si="20"/>
        <v>0</v>
      </c>
      <c r="BR12" s="30"/>
      <c r="BS12" s="32">
        <f t="shared" si="21"/>
        <v>0</v>
      </c>
      <c r="BT12" s="31"/>
      <c r="BU12" s="33">
        <f t="shared" si="22"/>
        <v>0</v>
      </c>
      <c r="BV12" s="30"/>
      <c r="BW12" s="32">
        <f t="shared" si="23"/>
        <v>0</v>
      </c>
      <c r="BX12" s="31"/>
      <c r="BY12" s="33">
        <f t="shared" si="24"/>
        <v>0</v>
      </c>
      <c r="BZ12" s="30"/>
      <c r="CA12" s="32">
        <f t="shared" si="25"/>
        <v>0</v>
      </c>
      <c r="CB12" s="31"/>
      <c r="CC12" s="33">
        <f>+BZ12+CB12*$E12</f>
        <v>0</v>
      </c>
      <c r="WYJ12" s="8"/>
      <c r="WYK12" s="8"/>
      <c r="WYL12" s="35"/>
      <c r="WYM12" s="8"/>
      <c r="WYN12" s="36"/>
    </row>
    <row r="13" spans="1:81 16208:16212" ht="20.100000000000001" hidden="1" customHeight="1" x14ac:dyDescent="0.2">
      <c r="A13" s="19" t="s">
        <v>143</v>
      </c>
      <c r="B13" s="9" t="s">
        <v>7</v>
      </c>
      <c r="C13" s="14">
        <v>2500</v>
      </c>
      <c r="D13" s="9" t="s">
        <v>9</v>
      </c>
      <c r="E13" s="13">
        <v>2500</v>
      </c>
      <c r="F13" s="30">
        <v>180</v>
      </c>
      <c r="G13" s="32">
        <v>24</v>
      </c>
      <c r="H13" s="31"/>
      <c r="I13" s="33">
        <f t="shared" si="0"/>
        <v>180</v>
      </c>
      <c r="J13" s="30">
        <v>180</v>
      </c>
      <c r="K13" s="32">
        <f t="shared" si="30"/>
        <v>0</v>
      </c>
      <c r="L13" s="31"/>
      <c r="M13" s="33">
        <f t="shared" si="1"/>
        <v>180</v>
      </c>
      <c r="N13" s="30">
        <v>120</v>
      </c>
      <c r="O13" s="32">
        <f t="shared" si="31"/>
        <v>60</v>
      </c>
      <c r="P13" s="31"/>
      <c r="Q13" s="33">
        <f t="shared" si="2"/>
        <v>120</v>
      </c>
      <c r="R13" s="30">
        <v>95</v>
      </c>
      <c r="S13" s="32">
        <f t="shared" si="32"/>
        <v>25</v>
      </c>
      <c r="T13" s="31"/>
      <c r="U13" s="33">
        <f t="shared" si="3"/>
        <v>95</v>
      </c>
      <c r="V13" s="30"/>
      <c r="W13" s="32">
        <f t="shared" si="33"/>
        <v>95</v>
      </c>
      <c r="X13" s="34">
        <v>1</v>
      </c>
      <c r="Y13" s="33">
        <f t="shared" si="4"/>
        <v>2500</v>
      </c>
      <c r="Z13" s="30">
        <f>2500-125</f>
        <v>2375</v>
      </c>
      <c r="AA13" s="32">
        <f t="shared" si="5"/>
        <v>125</v>
      </c>
      <c r="AB13" s="31"/>
      <c r="AC13" s="33">
        <f t="shared" si="6"/>
        <v>2375</v>
      </c>
      <c r="AD13" s="30">
        <f>2500-125-250</f>
        <v>2125</v>
      </c>
      <c r="AE13" s="32">
        <f t="shared" si="7"/>
        <v>250</v>
      </c>
      <c r="AF13" s="31"/>
      <c r="AG13" s="33">
        <f t="shared" si="8"/>
        <v>2125</v>
      </c>
      <c r="AH13" s="30">
        <v>2125</v>
      </c>
      <c r="AI13" s="32">
        <f t="shared" si="34"/>
        <v>0</v>
      </c>
      <c r="AJ13" s="31"/>
      <c r="AK13" s="33">
        <f t="shared" si="9"/>
        <v>2125</v>
      </c>
      <c r="AL13" s="30">
        <f>2500-250-125</f>
        <v>2125</v>
      </c>
      <c r="AM13" s="32">
        <f t="shared" si="35"/>
        <v>0</v>
      </c>
      <c r="AN13" s="31"/>
      <c r="AO13" s="33">
        <f t="shared" si="10"/>
        <v>2125</v>
      </c>
      <c r="AP13" s="30">
        <v>2125</v>
      </c>
      <c r="AQ13" s="32">
        <f t="shared" si="26"/>
        <v>0</v>
      </c>
      <c r="AR13" s="31"/>
      <c r="AS13" s="33">
        <f t="shared" si="11"/>
        <v>2125</v>
      </c>
      <c r="AT13" s="30">
        <f>2500-250-125</f>
        <v>2125</v>
      </c>
      <c r="AU13" s="32">
        <f t="shared" si="27"/>
        <v>0</v>
      </c>
      <c r="AV13" s="31"/>
      <c r="AW13" s="33">
        <f t="shared" si="12"/>
        <v>2125</v>
      </c>
      <c r="AX13" s="30">
        <f>7*250</f>
        <v>1750</v>
      </c>
      <c r="AY13" s="32">
        <f t="shared" si="13"/>
        <v>375</v>
      </c>
      <c r="AZ13" s="31"/>
      <c r="BA13" s="33">
        <f t="shared" si="14"/>
        <v>1750</v>
      </c>
      <c r="BB13" s="30">
        <v>1750</v>
      </c>
      <c r="BC13" s="32">
        <f t="shared" ref="BC13:BC23" si="36">+BA13-BB13</f>
        <v>0</v>
      </c>
      <c r="BD13" s="31"/>
      <c r="BE13" s="33">
        <f t="shared" si="16"/>
        <v>1750</v>
      </c>
      <c r="BF13" s="30">
        <v>1700</v>
      </c>
      <c r="BG13" s="32">
        <f t="shared" si="28"/>
        <v>50</v>
      </c>
      <c r="BH13" s="31"/>
      <c r="BI13" s="33">
        <f t="shared" si="17"/>
        <v>1700</v>
      </c>
      <c r="BJ13" s="30">
        <v>1700</v>
      </c>
      <c r="BK13" s="32">
        <f t="shared" si="29"/>
        <v>0</v>
      </c>
      <c r="BL13" s="31"/>
      <c r="BM13" s="33">
        <f t="shared" si="18"/>
        <v>1700</v>
      </c>
      <c r="BN13" s="30"/>
      <c r="BO13" s="32">
        <f t="shared" ref="BO13:BO23" si="37">+BM13-BN13</f>
        <v>1700</v>
      </c>
      <c r="BP13" s="31"/>
      <c r="BQ13" s="33">
        <f t="shared" si="20"/>
        <v>0</v>
      </c>
      <c r="BR13" s="30"/>
      <c r="BS13" s="32">
        <f t="shared" ref="BS13:BS23" si="38">+BQ13-BR13</f>
        <v>0</v>
      </c>
      <c r="BT13" s="31"/>
      <c r="BU13" s="33">
        <f t="shared" si="22"/>
        <v>0</v>
      </c>
      <c r="BV13" s="30"/>
      <c r="BW13" s="32">
        <f t="shared" ref="BW13:BW23" si="39">+BQ13-BV13</f>
        <v>0</v>
      </c>
      <c r="BX13" s="31"/>
      <c r="BY13" s="33">
        <f t="shared" si="24"/>
        <v>0</v>
      </c>
      <c r="BZ13" s="30"/>
      <c r="CA13" s="32">
        <f t="shared" si="25"/>
        <v>0</v>
      </c>
      <c r="CB13" s="31"/>
      <c r="CC13" s="33">
        <f>+BZ13+CB13*$E13</f>
        <v>0</v>
      </c>
    </row>
    <row r="14" spans="1:81 16208:16212" ht="20.100000000000001" hidden="1" customHeight="1" x14ac:dyDescent="0.2">
      <c r="A14" s="19" t="s">
        <v>18</v>
      </c>
      <c r="B14" s="9" t="s">
        <v>7</v>
      </c>
      <c r="C14" s="14">
        <v>1000</v>
      </c>
      <c r="D14" s="9" t="s">
        <v>9</v>
      </c>
      <c r="E14" s="13">
        <v>1000</v>
      </c>
      <c r="F14" s="30">
        <v>200</v>
      </c>
      <c r="G14" s="32">
        <v>285</v>
      </c>
      <c r="H14" s="31"/>
      <c r="I14" s="33">
        <f t="shared" si="0"/>
        <v>200</v>
      </c>
      <c r="J14" s="30">
        <v>0</v>
      </c>
      <c r="K14" s="32">
        <f t="shared" si="30"/>
        <v>200</v>
      </c>
      <c r="L14" s="31">
        <v>1</v>
      </c>
      <c r="M14" s="33">
        <f t="shared" si="1"/>
        <v>1000</v>
      </c>
      <c r="N14" s="30">
        <v>900</v>
      </c>
      <c r="O14" s="32">
        <f t="shared" si="31"/>
        <v>100</v>
      </c>
      <c r="P14" s="34"/>
      <c r="Q14" s="33">
        <f t="shared" si="2"/>
        <v>900</v>
      </c>
      <c r="R14" s="30">
        <v>700</v>
      </c>
      <c r="S14" s="32">
        <f t="shared" si="32"/>
        <v>200</v>
      </c>
      <c r="T14" s="31"/>
      <c r="U14" s="33">
        <f t="shared" si="3"/>
        <v>700</v>
      </c>
      <c r="V14" s="30">
        <v>400</v>
      </c>
      <c r="W14" s="32">
        <f t="shared" si="33"/>
        <v>300</v>
      </c>
      <c r="X14" s="34">
        <v>1</v>
      </c>
      <c r="Y14" s="33">
        <f t="shared" si="4"/>
        <v>1400</v>
      </c>
      <c r="Z14" s="30">
        <v>1000</v>
      </c>
      <c r="AA14" s="32">
        <f t="shared" si="5"/>
        <v>400</v>
      </c>
      <c r="AB14" s="31"/>
      <c r="AC14" s="33">
        <f t="shared" si="6"/>
        <v>1000</v>
      </c>
      <c r="AD14" s="30">
        <v>950</v>
      </c>
      <c r="AE14" s="32">
        <f t="shared" si="7"/>
        <v>50</v>
      </c>
      <c r="AF14" s="31"/>
      <c r="AG14" s="33">
        <f t="shared" si="8"/>
        <v>950</v>
      </c>
      <c r="AH14" s="30">
        <v>900</v>
      </c>
      <c r="AI14" s="32">
        <f t="shared" si="34"/>
        <v>50</v>
      </c>
      <c r="AJ14" s="31"/>
      <c r="AK14" s="33">
        <f t="shared" si="9"/>
        <v>900</v>
      </c>
      <c r="AL14" s="30">
        <v>450</v>
      </c>
      <c r="AM14" s="32">
        <f t="shared" si="35"/>
        <v>450</v>
      </c>
      <c r="AN14" s="31">
        <v>1</v>
      </c>
      <c r="AO14" s="33">
        <f t="shared" si="10"/>
        <v>1450</v>
      </c>
      <c r="AP14" s="30">
        <v>1200</v>
      </c>
      <c r="AQ14" s="32">
        <f t="shared" si="26"/>
        <v>250</v>
      </c>
      <c r="AR14" s="31"/>
      <c r="AS14" s="33">
        <f t="shared" si="11"/>
        <v>1200</v>
      </c>
      <c r="AT14" s="30">
        <v>1040</v>
      </c>
      <c r="AU14" s="32">
        <f t="shared" si="27"/>
        <v>160</v>
      </c>
      <c r="AV14" s="31"/>
      <c r="AW14" s="33">
        <f t="shared" si="12"/>
        <v>1040</v>
      </c>
      <c r="AX14" s="30">
        <v>1000</v>
      </c>
      <c r="AY14" s="32">
        <f t="shared" si="13"/>
        <v>40</v>
      </c>
      <c r="AZ14" s="31"/>
      <c r="BA14" s="33">
        <f t="shared" si="14"/>
        <v>1000</v>
      </c>
      <c r="BB14" s="30">
        <v>986</v>
      </c>
      <c r="BC14" s="32">
        <f t="shared" si="36"/>
        <v>14</v>
      </c>
      <c r="BD14" s="31"/>
      <c r="BE14" s="33">
        <f t="shared" si="16"/>
        <v>986</v>
      </c>
      <c r="BF14" s="30">
        <v>756</v>
      </c>
      <c r="BG14" s="32">
        <f t="shared" si="28"/>
        <v>230</v>
      </c>
      <c r="BH14" s="31"/>
      <c r="BI14" s="33">
        <f t="shared" si="17"/>
        <v>756</v>
      </c>
      <c r="BJ14" s="30">
        <v>335</v>
      </c>
      <c r="BK14" s="32">
        <f t="shared" si="29"/>
        <v>421</v>
      </c>
      <c r="BL14" s="31"/>
      <c r="BM14" s="33">
        <f t="shared" si="18"/>
        <v>335</v>
      </c>
      <c r="BN14" s="30"/>
      <c r="BO14" s="32">
        <f t="shared" si="37"/>
        <v>335</v>
      </c>
      <c r="BP14" s="31"/>
      <c r="BQ14" s="33">
        <f t="shared" si="20"/>
        <v>0</v>
      </c>
      <c r="BR14" s="30"/>
      <c r="BS14" s="32">
        <f t="shared" si="38"/>
        <v>0</v>
      </c>
      <c r="BT14" s="31"/>
      <c r="BU14" s="33">
        <f t="shared" si="22"/>
        <v>0</v>
      </c>
      <c r="BV14" s="30"/>
      <c r="BW14" s="32">
        <f t="shared" si="39"/>
        <v>0</v>
      </c>
      <c r="BX14" s="31"/>
      <c r="BY14" s="33">
        <f t="shared" si="24"/>
        <v>0</v>
      </c>
      <c r="BZ14" s="30"/>
      <c r="CA14" s="32">
        <f t="shared" si="25"/>
        <v>0</v>
      </c>
      <c r="CB14" s="31"/>
      <c r="CC14" s="33">
        <f>+BZ14+CB14*$E14</f>
        <v>0</v>
      </c>
    </row>
    <row r="15" spans="1:81 16208:16212" ht="20.100000000000001" hidden="1" customHeight="1" x14ac:dyDescent="0.2">
      <c r="A15" s="19" t="s">
        <v>144</v>
      </c>
      <c r="B15" s="9" t="s">
        <v>7</v>
      </c>
      <c r="C15" s="14">
        <v>2500</v>
      </c>
      <c r="D15" s="9" t="s">
        <v>9</v>
      </c>
      <c r="E15" s="13">
        <v>2500</v>
      </c>
      <c r="F15" s="30">
        <v>790</v>
      </c>
      <c r="G15" s="32">
        <v>60</v>
      </c>
      <c r="H15" s="31"/>
      <c r="I15" s="33">
        <f t="shared" si="0"/>
        <v>790</v>
      </c>
      <c r="J15" s="30">
        <v>740</v>
      </c>
      <c r="K15" s="32">
        <f t="shared" si="30"/>
        <v>50</v>
      </c>
      <c r="L15" s="31"/>
      <c r="M15" s="33">
        <f t="shared" si="1"/>
        <v>740</v>
      </c>
      <c r="N15" s="30">
        <v>700</v>
      </c>
      <c r="O15" s="32">
        <f t="shared" si="31"/>
        <v>40</v>
      </c>
      <c r="P15" s="31"/>
      <c r="Q15" s="33">
        <f t="shared" si="2"/>
        <v>700</v>
      </c>
      <c r="R15" s="30">
        <v>650</v>
      </c>
      <c r="S15" s="32">
        <f t="shared" si="32"/>
        <v>50</v>
      </c>
      <c r="T15" s="31"/>
      <c r="U15" s="33">
        <f t="shared" si="3"/>
        <v>650</v>
      </c>
      <c r="V15" s="30">
        <v>560</v>
      </c>
      <c r="W15" s="32">
        <f t="shared" si="33"/>
        <v>90</v>
      </c>
      <c r="X15" s="31"/>
      <c r="Y15" s="33">
        <f t="shared" si="4"/>
        <v>560</v>
      </c>
      <c r="Z15" s="30">
        <v>450</v>
      </c>
      <c r="AA15" s="32">
        <f t="shared" si="5"/>
        <v>110</v>
      </c>
      <c r="AB15" s="31"/>
      <c r="AC15" s="33">
        <f t="shared" si="6"/>
        <v>450</v>
      </c>
      <c r="AD15" s="30">
        <v>400</v>
      </c>
      <c r="AE15" s="32">
        <f t="shared" si="7"/>
        <v>50</v>
      </c>
      <c r="AF15" s="31"/>
      <c r="AG15" s="33">
        <f t="shared" si="8"/>
        <v>400</v>
      </c>
      <c r="AH15" s="30">
        <v>350</v>
      </c>
      <c r="AI15" s="32">
        <f t="shared" si="34"/>
        <v>50</v>
      </c>
      <c r="AJ15" s="31"/>
      <c r="AK15" s="33">
        <f t="shared" si="9"/>
        <v>350</v>
      </c>
      <c r="AL15" s="30">
        <v>300</v>
      </c>
      <c r="AM15" s="32">
        <f t="shared" si="35"/>
        <v>50</v>
      </c>
      <c r="AN15" s="31"/>
      <c r="AO15" s="33">
        <f t="shared" si="10"/>
        <v>300</v>
      </c>
      <c r="AP15" s="30">
        <v>300</v>
      </c>
      <c r="AQ15" s="32">
        <f t="shared" si="26"/>
        <v>0</v>
      </c>
      <c r="AR15" s="31"/>
      <c r="AS15" s="33">
        <f t="shared" si="11"/>
        <v>300</v>
      </c>
      <c r="AT15" s="30">
        <v>270</v>
      </c>
      <c r="AU15" s="32">
        <f t="shared" si="27"/>
        <v>30</v>
      </c>
      <c r="AV15" s="31"/>
      <c r="AW15" s="33">
        <f t="shared" si="12"/>
        <v>270</v>
      </c>
      <c r="AX15" s="30">
        <v>720</v>
      </c>
      <c r="AY15" s="32">
        <f t="shared" si="13"/>
        <v>-450</v>
      </c>
      <c r="AZ15" s="31"/>
      <c r="BA15" s="33">
        <f t="shared" si="14"/>
        <v>720</v>
      </c>
      <c r="BB15" s="30">
        <v>700</v>
      </c>
      <c r="BC15" s="32">
        <f t="shared" si="36"/>
        <v>20</v>
      </c>
      <c r="BD15" s="31"/>
      <c r="BE15" s="33">
        <f t="shared" si="16"/>
        <v>700</v>
      </c>
      <c r="BF15" s="30">
        <v>650</v>
      </c>
      <c r="BG15" s="32">
        <f t="shared" si="28"/>
        <v>50</v>
      </c>
      <c r="BH15" s="31"/>
      <c r="BI15" s="33">
        <f t="shared" si="17"/>
        <v>650</v>
      </c>
      <c r="BJ15" s="30">
        <v>650</v>
      </c>
      <c r="BK15" s="32">
        <f t="shared" si="29"/>
        <v>0</v>
      </c>
      <c r="BL15" s="31"/>
      <c r="BM15" s="33">
        <f t="shared" si="18"/>
        <v>650</v>
      </c>
      <c r="BN15" s="30"/>
      <c r="BO15" s="32">
        <f t="shared" si="37"/>
        <v>650</v>
      </c>
      <c r="BP15" s="31"/>
      <c r="BQ15" s="33">
        <f t="shared" si="20"/>
        <v>0</v>
      </c>
      <c r="BR15" s="30"/>
      <c r="BS15" s="32">
        <f t="shared" si="38"/>
        <v>0</v>
      </c>
      <c r="BT15" s="31"/>
      <c r="BU15" s="33">
        <f t="shared" si="22"/>
        <v>0</v>
      </c>
      <c r="BV15" s="30"/>
      <c r="BW15" s="32">
        <f t="shared" si="39"/>
        <v>0</v>
      </c>
      <c r="BX15" s="31"/>
      <c r="BY15" s="33">
        <f t="shared" si="24"/>
        <v>0</v>
      </c>
      <c r="BZ15" s="30"/>
      <c r="CA15" s="32">
        <f t="shared" si="25"/>
        <v>0</v>
      </c>
      <c r="CB15" s="31"/>
      <c r="CC15" s="33">
        <f>+BZ15+CB15*$E15</f>
        <v>0</v>
      </c>
    </row>
    <row r="16" spans="1:81 16208:16212" ht="20.100000000000001" hidden="1" customHeight="1" x14ac:dyDescent="0.2">
      <c r="A16" s="27" t="s">
        <v>19</v>
      </c>
      <c r="B16" s="15" t="s">
        <v>9</v>
      </c>
      <c r="C16" s="16">
        <v>1</v>
      </c>
      <c r="D16" s="15" t="s">
        <v>9</v>
      </c>
      <c r="E16" s="18">
        <v>1</v>
      </c>
      <c r="F16" s="30">
        <v>8</v>
      </c>
      <c r="G16" s="32">
        <v>3</v>
      </c>
      <c r="H16" s="31">
        <v>2</v>
      </c>
      <c r="I16" s="33">
        <f t="shared" si="0"/>
        <v>10</v>
      </c>
      <c r="J16" s="30">
        <v>7</v>
      </c>
      <c r="K16" s="32">
        <f t="shared" si="30"/>
        <v>3</v>
      </c>
      <c r="L16" s="31"/>
      <c r="M16" s="33">
        <f t="shared" si="1"/>
        <v>7</v>
      </c>
      <c r="N16" s="30">
        <v>3</v>
      </c>
      <c r="O16" s="32">
        <f t="shared" si="31"/>
        <v>4</v>
      </c>
      <c r="P16" s="34">
        <v>6</v>
      </c>
      <c r="Q16" s="33">
        <f t="shared" si="2"/>
        <v>9</v>
      </c>
      <c r="R16" s="30">
        <v>6</v>
      </c>
      <c r="S16" s="32">
        <f t="shared" si="32"/>
        <v>3</v>
      </c>
      <c r="T16" s="31">
        <v>3</v>
      </c>
      <c r="U16" s="33">
        <f t="shared" si="3"/>
        <v>9</v>
      </c>
      <c r="V16" s="30">
        <v>6</v>
      </c>
      <c r="W16" s="32">
        <f t="shared" si="33"/>
        <v>3</v>
      </c>
      <c r="X16" s="31">
        <v>2</v>
      </c>
      <c r="Y16" s="33">
        <f t="shared" si="4"/>
        <v>8</v>
      </c>
      <c r="Z16" s="30">
        <v>5</v>
      </c>
      <c r="AA16" s="32">
        <f t="shared" si="5"/>
        <v>3</v>
      </c>
      <c r="AB16" s="34">
        <v>2</v>
      </c>
      <c r="AC16" s="33">
        <f t="shared" si="6"/>
        <v>7</v>
      </c>
      <c r="AD16" s="30">
        <v>3</v>
      </c>
      <c r="AE16" s="32">
        <f t="shared" si="7"/>
        <v>4</v>
      </c>
      <c r="AF16" s="34">
        <v>4</v>
      </c>
      <c r="AG16" s="33">
        <f t="shared" si="8"/>
        <v>7</v>
      </c>
      <c r="AH16" s="30">
        <v>2</v>
      </c>
      <c r="AI16" s="32">
        <f t="shared" si="34"/>
        <v>5</v>
      </c>
      <c r="AJ16" s="31">
        <v>6</v>
      </c>
      <c r="AK16" s="33">
        <f t="shared" si="9"/>
        <v>8</v>
      </c>
      <c r="AL16" s="30">
        <v>1</v>
      </c>
      <c r="AM16" s="32">
        <f t="shared" si="35"/>
        <v>7</v>
      </c>
      <c r="AN16" s="31">
        <v>7</v>
      </c>
      <c r="AO16" s="33">
        <f t="shared" si="10"/>
        <v>8</v>
      </c>
      <c r="AP16" s="30">
        <v>4</v>
      </c>
      <c r="AQ16" s="32">
        <f t="shared" si="26"/>
        <v>4</v>
      </c>
      <c r="AR16" s="31">
        <v>4</v>
      </c>
      <c r="AS16" s="33">
        <f t="shared" si="11"/>
        <v>8</v>
      </c>
      <c r="AT16" s="30">
        <v>5</v>
      </c>
      <c r="AU16" s="32">
        <f t="shared" si="27"/>
        <v>3</v>
      </c>
      <c r="AV16" s="31">
        <v>5</v>
      </c>
      <c r="AW16" s="33">
        <f t="shared" si="12"/>
        <v>10</v>
      </c>
      <c r="AX16" s="30">
        <v>5</v>
      </c>
      <c r="AY16" s="32">
        <f t="shared" si="13"/>
        <v>5</v>
      </c>
      <c r="AZ16" s="31">
        <v>3</v>
      </c>
      <c r="BA16" s="33">
        <f t="shared" si="14"/>
        <v>8</v>
      </c>
      <c r="BB16" s="30">
        <v>2</v>
      </c>
      <c r="BC16" s="32">
        <f t="shared" si="36"/>
        <v>6</v>
      </c>
      <c r="BD16" s="31">
        <v>12</v>
      </c>
      <c r="BE16" s="33">
        <f t="shared" si="16"/>
        <v>14</v>
      </c>
      <c r="BF16" s="30">
        <v>9</v>
      </c>
      <c r="BG16" s="32">
        <f t="shared" si="28"/>
        <v>5</v>
      </c>
      <c r="BH16" s="31"/>
      <c r="BI16" s="33">
        <f t="shared" si="17"/>
        <v>9</v>
      </c>
      <c r="BJ16" s="30"/>
      <c r="BK16" s="32">
        <f t="shared" si="29"/>
        <v>9</v>
      </c>
      <c r="BL16" s="31"/>
      <c r="BM16" s="33">
        <f t="shared" si="18"/>
        <v>0</v>
      </c>
      <c r="BN16" s="30"/>
      <c r="BO16" s="32">
        <f t="shared" si="37"/>
        <v>0</v>
      </c>
      <c r="BP16" s="31"/>
      <c r="BQ16" s="33">
        <f t="shared" si="20"/>
        <v>0</v>
      </c>
      <c r="BR16" s="30"/>
      <c r="BS16" s="32">
        <f t="shared" si="38"/>
        <v>0</v>
      </c>
      <c r="BT16" s="31"/>
      <c r="BU16" s="33">
        <f t="shared" si="22"/>
        <v>0</v>
      </c>
      <c r="BV16" s="30"/>
      <c r="BW16" s="32">
        <f t="shared" si="39"/>
        <v>0</v>
      </c>
      <c r="BX16" s="31"/>
      <c r="BY16" s="33">
        <f t="shared" si="24"/>
        <v>0</v>
      </c>
      <c r="BZ16" s="30"/>
      <c r="CA16" s="32">
        <f t="shared" si="25"/>
        <v>0</v>
      </c>
      <c r="CB16" s="31"/>
      <c r="CC16" s="33">
        <f>+BZ16+CB16*$E16</f>
        <v>0</v>
      </c>
    </row>
    <row r="17" spans="1:81" ht="20.100000000000001" hidden="1" customHeight="1" x14ac:dyDescent="0.2">
      <c r="A17" s="19" t="s">
        <v>145</v>
      </c>
      <c r="B17" s="9" t="s">
        <v>7</v>
      </c>
      <c r="C17" s="10">
        <v>100</v>
      </c>
      <c r="D17" s="9" t="s">
        <v>9</v>
      </c>
      <c r="E17" s="13">
        <v>100</v>
      </c>
      <c r="F17" s="30">
        <v>300</v>
      </c>
      <c r="G17" s="32">
        <v>33</v>
      </c>
      <c r="H17" s="31"/>
      <c r="I17" s="33">
        <f t="shared" si="0"/>
        <v>300</v>
      </c>
      <c r="J17" s="30">
        <v>210</v>
      </c>
      <c r="K17" s="32">
        <f t="shared" si="30"/>
        <v>90</v>
      </c>
      <c r="L17" s="31"/>
      <c r="M17" s="33">
        <f t="shared" si="1"/>
        <v>210</v>
      </c>
      <c r="N17" s="30">
        <v>160</v>
      </c>
      <c r="O17" s="32">
        <f t="shared" si="31"/>
        <v>50</v>
      </c>
      <c r="P17" s="34">
        <v>1</v>
      </c>
      <c r="Q17" s="33">
        <f t="shared" si="2"/>
        <v>260</v>
      </c>
      <c r="R17" s="30">
        <v>225</v>
      </c>
      <c r="S17" s="32">
        <f t="shared" si="32"/>
        <v>35</v>
      </c>
      <c r="T17" s="31"/>
      <c r="U17" s="33">
        <f t="shared" si="3"/>
        <v>225</v>
      </c>
      <c r="V17" s="30">
        <v>200</v>
      </c>
      <c r="W17" s="32">
        <f t="shared" si="33"/>
        <v>25</v>
      </c>
      <c r="X17" s="31"/>
      <c r="Y17" s="33">
        <f t="shared" si="4"/>
        <v>200</v>
      </c>
      <c r="Z17" s="30">
        <v>150</v>
      </c>
      <c r="AA17" s="32">
        <f t="shared" si="5"/>
        <v>50</v>
      </c>
      <c r="AB17" s="34">
        <v>1</v>
      </c>
      <c r="AC17" s="33">
        <f t="shared" si="6"/>
        <v>250</v>
      </c>
      <c r="AD17" s="30">
        <v>150</v>
      </c>
      <c r="AE17" s="32">
        <f t="shared" si="7"/>
        <v>100</v>
      </c>
      <c r="AF17" s="31">
        <v>1</v>
      </c>
      <c r="AG17" s="33">
        <f t="shared" si="8"/>
        <v>250</v>
      </c>
      <c r="AH17" s="30">
        <v>183</v>
      </c>
      <c r="AI17" s="32">
        <f t="shared" si="34"/>
        <v>67</v>
      </c>
      <c r="AJ17" s="31"/>
      <c r="AK17" s="33">
        <f t="shared" si="9"/>
        <v>183</v>
      </c>
      <c r="AL17" s="30">
        <v>120</v>
      </c>
      <c r="AM17" s="32">
        <f t="shared" si="35"/>
        <v>63</v>
      </c>
      <c r="AN17" s="31">
        <v>1</v>
      </c>
      <c r="AO17" s="33">
        <f t="shared" si="10"/>
        <v>220</v>
      </c>
      <c r="AP17" s="30">
        <v>175</v>
      </c>
      <c r="AQ17" s="32">
        <f t="shared" si="26"/>
        <v>45</v>
      </c>
      <c r="AR17" s="31"/>
      <c r="AS17" s="33">
        <f t="shared" si="11"/>
        <v>175</v>
      </c>
      <c r="AT17" s="30">
        <v>150</v>
      </c>
      <c r="AU17" s="32">
        <f t="shared" si="27"/>
        <v>25</v>
      </c>
      <c r="AV17" s="31">
        <v>1</v>
      </c>
      <c r="AW17" s="33">
        <f t="shared" ref="AW17:AW36" si="40">+AT17+AV17*$E17</f>
        <v>250</v>
      </c>
      <c r="AX17" s="30">
        <v>200</v>
      </c>
      <c r="AY17" s="32">
        <f t="shared" si="13"/>
        <v>50</v>
      </c>
      <c r="AZ17" s="31">
        <v>1</v>
      </c>
      <c r="BA17" s="33">
        <f t="shared" si="14"/>
        <v>300</v>
      </c>
      <c r="BB17" s="30">
        <v>290</v>
      </c>
      <c r="BC17" s="32">
        <f t="shared" si="36"/>
        <v>10</v>
      </c>
      <c r="BD17" s="31"/>
      <c r="BE17" s="33">
        <f t="shared" si="16"/>
        <v>290</v>
      </c>
      <c r="BF17" s="30">
        <v>235</v>
      </c>
      <c r="BG17" s="32">
        <f t="shared" si="28"/>
        <v>55</v>
      </c>
      <c r="BH17" s="31">
        <v>2</v>
      </c>
      <c r="BI17" s="33">
        <f t="shared" si="17"/>
        <v>435</v>
      </c>
      <c r="BJ17" s="30">
        <v>370</v>
      </c>
      <c r="BK17" s="32">
        <f t="shared" si="29"/>
        <v>65</v>
      </c>
      <c r="BL17" s="31"/>
      <c r="BM17" s="33">
        <f t="shared" si="18"/>
        <v>370</v>
      </c>
      <c r="BN17" s="30"/>
      <c r="BO17" s="32">
        <f t="shared" si="37"/>
        <v>370</v>
      </c>
      <c r="BP17" s="31"/>
      <c r="BQ17" s="33">
        <f t="shared" si="20"/>
        <v>0</v>
      </c>
      <c r="BR17" s="30"/>
      <c r="BS17" s="32">
        <f t="shared" si="38"/>
        <v>0</v>
      </c>
      <c r="BT17" s="31"/>
      <c r="BU17" s="33">
        <f t="shared" si="22"/>
        <v>0</v>
      </c>
      <c r="BV17" s="30"/>
      <c r="BW17" s="32">
        <f t="shared" si="39"/>
        <v>0</v>
      </c>
      <c r="BX17" s="31"/>
      <c r="BY17" s="33">
        <f t="shared" si="24"/>
        <v>0</v>
      </c>
      <c r="BZ17" s="30"/>
      <c r="CA17" s="32">
        <f t="shared" si="25"/>
        <v>0</v>
      </c>
      <c r="CB17" s="31"/>
      <c r="CC17" s="33">
        <f t="shared" ref="CC17:CC23" si="41">+BZ17+CB17*$E17</f>
        <v>0</v>
      </c>
    </row>
    <row r="18" spans="1:81" ht="20.100000000000001" hidden="1" customHeight="1" x14ac:dyDescent="0.2">
      <c r="A18" s="19" t="s">
        <v>146</v>
      </c>
      <c r="B18" s="9" t="s">
        <v>7</v>
      </c>
      <c r="C18" s="10">
        <v>100</v>
      </c>
      <c r="D18" s="9" t="s">
        <v>9</v>
      </c>
      <c r="E18" s="13">
        <v>100</v>
      </c>
      <c r="F18" s="30">
        <v>118</v>
      </c>
      <c r="G18" s="32">
        <v>333</v>
      </c>
      <c r="H18" s="34">
        <v>3</v>
      </c>
      <c r="I18" s="33">
        <f t="shared" si="0"/>
        <v>418</v>
      </c>
      <c r="J18" s="30">
        <v>80</v>
      </c>
      <c r="K18" s="32">
        <f t="shared" si="30"/>
        <v>338</v>
      </c>
      <c r="L18" s="31">
        <v>11</v>
      </c>
      <c r="M18" s="33">
        <f t="shared" si="1"/>
        <v>1180</v>
      </c>
      <c r="N18" s="30">
        <v>175</v>
      </c>
      <c r="O18" s="32">
        <f t="shared" si="31"/>
        <v>1005</v>
      </c>
      <c r="P18" s="31">
        <v>4</v>
      </c>
      <c r="Q18" s="33">
        <f t="shared" si="2"/>
        <v>575</v>
      </c>
      <c r="R18" s="30">
        <v>100</v>
      </c>
      <c r="S18" s="32">
        <f t="shared" si="32"/>
        <v>475</v>
      </c>
      <c r="T18" s="31">
        <v>5</v>
      </c>
      <c r="U18" s="33">
        <f t="shared" si="3"/>
        <v>600</v>
      </c>
      <c r="V18" s="30">
        <v>250</v>
      </c>
      <c r="W18" s="32">
        <f t="shared" si="33"/>
        <v>350</v>
      </c>
      <c r="X18" s="34">
        <v>3</v>
      </c>
      <c r="Y18" s="33">
        <f t="shared" si="4"/>
        <v>550</v>
      </c>
      <c r="Z18" s="30">
        <v>250</v>
      </c>
      <c r="AA18" s="32">
        <f t="shared" si="5"/>
        <v>300</v>
      </c>
      <c r="AB18" s="34">
        <v>3</v>
      </c>
      <c r="AC18" s="33">
        <f t="shared" si="6"/>
        <v>550</v>
      </c>
      <c r="AD18" s="30">
        <v>90</v>
      </c>
      <c r="AE18" s="32">
        <f t="shared" si="7"/>
        <v>460</v>
      </c>
      <c r="AF18" s="31">
        <v>4</v>
      </c>
      <c r="AG18" s="33">
        <f t="shared" si="8"/>
        <v>490</v>
      </c>
      <c r="AH18" s="30">
        <v>128</v>
      </c>
      <c r="AI18" s="32">
        <f t="shared" si="34"/>
        <v>362</v>
      </c>
      <c r="AJ18" s="31">
        <v>3</v>
      </c>
      <c r="AK18" s="33">
        <f t="shared" si="9"/>
        <v>428</v>
      </c>
      <c r="AL18" s="30">
        <v>100</v>
      </c>
      <c r="AM18" s="32">
        <f t="shared" si="35"/>
        <v>328</v>
      </c>
      <c r="AN18" s="31">
        <v>4</v>
      </c>
      <c r="AO18" s="33">
        <f t="shared" si="10"/>
        <v>500</v>
      </c>
      <c r="AP18" s="30">
        <v>100</v>
      </c>
      <c r="AQ18" s="32">
        <f t="shared" si="26"/>
        <v>400</v>
      </c>
      <c r="AR18" s="31">
        <v>5</v>
      </c>
      <c r="AS18" s="33">
        <f t="shared" si="11"/>
        <v>600</v>
      </c>
      <c r="AT18" s="30">
        <v>230</v>
      </c>
      <c r="AU18" s="32">
        <f t="shared" si="27"/>
        <v>370</v>
      </c>
      <c r="AV18" s="31">
        <v>3</v>
      </c>
      <c r="AW18" s="33">
        <f t="shared" si="40"/>
        <v>530</v>
      </c>
      <c r="AX18" s="30">
        <v>150</v>
      </c>
      <c r="AY18" s="32">
        <f t="shared" si="13"/>
        <v>380</v>
      </c>
      <c r="AZ18" s="31">
        <v>4</v>
      </c>
      <c r="BA18" s="33">
        <f t="shared" si="14"/>
        <v>550</v>
      </c>
      <c r="BB18" s="30">
        <v>200</v>
      </c>
      <c r="BC18" s="32">
        <f t="shared" si="36"/>
        <v>350</v>
      </c>
      <c r="BD18" s="31">
        <v>3</v>
      </c>
      <c r="BE18" s="33">
        <f t="shared" si="16"/>
        <v>500</v>
      </c>
      <c r="BF18" s="30">
        <v>250</v>
      </c>
      <c r="BG18" s="32">
        <f t="shared" si="28"/>
        <v>250</v>
      </c>
      <c r="BH18" s="31">
        <v>3</v>
      </c>
      <c r="BI18" s="33">
        <f t="shared" si="17"/>
        <v>550</v>
      </c>
      <c r="BJ18" s="30">
        <v>300</v>
      </c>
      <c r="BK18" s="32">
        <f t="shared" si="29"/>
        <v>250</v>
      </c>
      <c r="BL18" s="31"/>
      <c r="BM18" s="33">
        <f t="shared" si="18"/>
        <v>300</v>
      </c>
      <c r="BN18" s="30"/>
      <c r="BO18" s="32">
        <f t="shared" si="37"/>
        <v>300</v>
      </c>
      <c r="BP18" s="31"/>
      <c r="BQ18" s="33">
        <f t="shared" si="20"/>
        <v>0</v>
      </c>
      <c r="BR18" s="30"/>
      <c r="BS18" s="32">
        <f t="shared" si="38"/>
        <v>0</v>
      </c>
      <c r="BT18" s="31"/>
      <c r="BU18" s="33">
        <f t="shared" si="22"/>
        <v>0</v>
      </c>
      <c r="BV18" s="30"/>
      <c r="BW18" s="32">
        <f t="shared" si="39"/>
        <v>0</v>
      </c>
      <c r="BX18" s="31"/>
      <c r="BY18" s="33">
        <f t="shared" si="24"/>
        <v>0</v>
      </c>
      <c r="BZ18" s="30"/>
      <c r="CA18" s="32">
        <f t="shared" si="25"/>
        <v>0</v>
      </c>
      <c r="CB18" s="31"/>
      <c r="CC18" s="33">
        <f t="shared" si="41"/>
        <v>0</v>
      </c>
    </row>
    <row r="19" spans="1:81" ht="20.100000000000001" hidden="1" customHeight="1" x14ac:dyDescent="0.2">
      <c r="A19" s="19" t="s">
        <v>147</v>
      </c>
      <c r="B19" s="9" t="s">
        <v>7</v>
      </c>
      <c r="C19" s="10">
        <v>500</v>
      </c>
      <c r="D19" s="9" t="s">
        <v>9</v>
      </c>
      <c r="E19" s="13">
        <v>500</v>
      </c>
      <c r="F19" s="30">
        <v>600</v>
      </c>
      <c r="G19" s="32">
        <v>35</v>
      </c>
      <c r="H19" s="31"/>
      <c r="I19" s="33">
        <f t="shared" si="0"/>
        <v>600</v>
      </c>
      <c r="J19" s="30">
        <v>600</v>
      </c>
      <c r="K19" s="32">
        <f t="shared" si="30"/>
        <v>0</v>
      </c>
      <c r="L19" s="31"/>
      <c r="M19" s="33">
        <f t="shared" si="1"/>
        <v>600</v>
      </c>
      <c r="N19" s="30">
        <v>500</v>
      </c>
      <c r="O19" s="32">
        <f t="shared" si="31"/>
        <v>100</v>
      </c>
      <c r="P19" s="34"/>
      <c r="Q19" s="33">
        <f t="shared" si="2"/>
        <v>500</v>
      </c>
      <c r="R19" s="30">
        <v>500</v>
      </c>
      <c r="S19" s="32">
        <f t="shared" si="32"/>
        <v>0</v>
      </c>
      <c r="T19" s="31"/>
      <c r="U19" s="33">
        <f t="shared" si="3"/>
        <v>500</v>
      </c>
      <c r="V19" s="30">
        <v>500</v>
      </c>
      <c r="W19" s="32">
        <f t="shared" si="33"/>
        <v>0</v>
      </c>
      <c r="X19" s="31"/>
      <c r="Y19" s="33">
        <f t="shared" si="4"/>
        <v>500</v>
      </c>
      <c r="Z19" s="30">
        <v>500</v>
      </c>
      <c r="AA19" s="32">
        <f t="shared" si="5"/>
        <v>0</v>
      </c>
      <c r="AB19" s="31"/>
      <c r="AC19" s="33">
        <f t="shared" si="6"/>
        <v>500</v>
      </c>
      <c r="AD19" s="30">
        <v>450</v>
      </c>
      <c r="AE19" s="32">
        <f t="shared" si="7"/>
        <v>50</v>
      </c>
      <c r="AF19" s="31"/>
      <c r="AG19" s="33">
        <f t="shared" si="8"/>
        <v>450</v>
      </c>
      <c r="AH19" s="30">
        <v>450</v>
      </c>
      <c r="AI19" s="32">
        <f t="shared" si="34"/>
        <v>0</v>
      </c>
      <c r="AJ19" s="31"/>
      <c r="AK19" s="33">
        <f t="shared" si="9"/>
        <v>450</v>
      </c>
      <c r="AL19" s="30">
        <v>400</v>
      </c>
      <c r="AM19" s="32">
        <f t="shared" si="35"/>
        <v>50</v>
      </c>
      <c r="AN19" s="31"/>
      <c r="AO19" s="33">
        <f t="shared" si="10"/>
        <v>400</v>
      </c>
      <c r="AP19" s="30">
        <v>400</v>
      </c>
      <c r="AQ19" s="32">
        <f t="shared" si="26"/>
        <v>0</v>
      </c>
      <c r="AR19" s="31"/>
      <c r="AS19" s="33">
        <f t="shared" si="11"/>
        <v>400</v>
      </c>
      <c r="AT19" s="30">
        <v>350</v>
      </c>
      <c r="AU19" s="32">
        <f t="shared" si="27"/>
        <v>50</v>
      </c>
      <c r="AV19" s="31"/>
      <c r="AW19" s="33">
        <f t="shared" si="40"/>
        <v>350</v>
      </c>
      <c r="AX19" s="30">
        <f>7*50</f>
        <v>350</v>
      </c>
      <c r="AY19" s="32">
        <f t="shared" si="13"/>
        <v>0</v>
      </c>
      <c r="AZ19" s="31"/>
      <c r="BA19" s="33">
        <f t="shared" si="14"/>
        <v>350</v>
      </c>
      <c r="BB19" s="30">
        <v>350</v>
      </c>
      <c r="BC19" s="32">
        <f t="shared" si="36"/>
        <v>0</v>
      </c>
      <c r="BD19" s="31"/>
      <c r="BE19" s="33">
        <f t="shared" si="16"/>
        <v>350</v>
      </c>
      <c r="BF19" s="30">
        <v>300</v>
      </c>
      <c r="BG19" s="32">
        <f t="shared" si="28"/>
        <v>50</v>
      </c>
      <c r="BH19" s="31"/>
      <c r="BI19" s="33">
        <f t="shared" si="17"/>
        <v>300</v>
      </c>
      <c r="BJ19" s="30">
        <v>300</v>
      </c>
      <c r="BK19" s="32">
        <f t="shared" si="29"/>
        <v>0</v>
      </c>
      <c r="BL19" s="31"/>
      <c r="BM19" s="33">
        <f t="shared" si="18"/>
        <v>300</v>
      </c>
      <c r="BN19" s="30"/>
      <c r="BO19" s="32">
        <f t="shared" si="37"/>
        <v>300</v>
      </c>
      <c r="BP19" s="31"/>
      <c r="BQ19" s="33">
        <f t="shared" si="20"/>
        <v>0</v>
      </c>
      <c r="BR19" s="30"/>
      <c r="BS19" s="32">
        <f t="shared" si="38"/>
        <v>0</v>
      </c>
      <c r="BT19" s="31"/>
      <c r="BU19" s="33">
        <f t="shared" si="22"/>
        <v>0</v>
      </c>
      <c r="BV19" s="30"/>
      <c r="BW19" s="32">
        <f t="shared" si="39"/>
        <v>0</v>
      </c>
      <c r="BX19" s="31"/>
      <c r="BY19" s="33">
        <f t="shared" si="24"/>
        <v>0</v>
      </c>
      <c r="BZ19" s="30"/>
      <c r="CA19" s="32">
        <f t="shared" si="25"/>
        <v>0</v>
      </c>
      <c r="CB19" s="31"/>
      <c r="CC19" s="33">
        <f t="shared" si="41"/>
        <v>0</v>
      </c>
    </row>
    <row r="20" spans="1:81" ht="20.100000000000001" hidden="1" customHeight="1" x14ac:dyDescent="0.2">
      <c r="A20" s="19" t="s">
        <v>148</v>
      </c>
      <c r="B20" s="9" t="s">
        <v>7</v>
      </c>
      <c r="C20" s="10">
        <v>250</v>
      </c>
      <c r="D20" s="9" t="s">
        <v>9</v>
      </c>
      <c r="E20" s="13">
        <v>250</v>
      </c>
      <c r="F20" s="30">
        <v>500</v>
      </c>
      <c r="G20" s="32">
        <v>125</v>
      </c>
      <c r="H20" s="31"/>
      <c r="I20" s="33">
        <f t="shared" si="0"/>
        <v>500</v>
      </c>
      <c r="J20" s="30">
        <v>500</v>
      </c>
      <c r="K20" s="32">
        <f t="shared" si="30"/>
        <v>0</v>
      </c>
      <c r="L20" s="31"/>
      <c r="M20" s="33">
        <f t="shared" si="1"/>
        <v>500</v>
      </c>
      <c r="N20" s="30">
        <v>500</v>
      </c>
      <c r="O20" s="32">
        <f t="shared" si="31"/>
        <v>0</v>
      </c>
      <c r="P20" s="31"/>
      <c r="Q20" s="33">
        <f t="shared" si="2"/>
        <v>500</v>
      </c>
      <c r="R20" s="30">
        <v>500</v>
      </c>
      <c r="S20" s="32">
        <f t="shared" si="32"/>
        <v>0</v>
      </c>
      <c r="T20" s="31"/>
      <c r="U20" s="33">
        <f t="shared" si="3"/>
        <v>500</v>
      </c>
      <c r="V20" s="30">
        <v>400</v>
      </c>
      <c r="W20" s="32">
        <f t="shared" si="33"/>
        <v>100</v>
      </c>
      <c r="X20" s="31"/>
      <c r="Y20" s="33">
        <f t="shared" si="4"/>
        <v>400</v>
      </c>
      <c r="Z20" s="30">
        <v>300</v>
      </c>
      <c r="AA20" s="32">
        <f t="shared" si="5"/>
        <v>100</v>
      </c>
      <c r="AB20" s="31"/>
      <c r="AC20" s="33">
        <f t="shared" si="6"/>
        <v>300</v>
      </c>
      <c r="AD20" s="30">
        <v>150</v>
      </c>
      <c r="AE20" s="32">
        <f t="shared" si="7"/>
        <v>150</v>
      </c>
      <c r="AF20" s="31">
        <v>1</v>
      </c>
      <c r="AG20" s="33">
        <f t="shared" si="8"/>
        <v>400</v>
      </c>
      <c r="AH20" s="30">
        <v>620</v>
      </c>
      <c r="AI20" s="32">
        <f t="shared" si="34"/>
        <v>-220</v>
      </c>
      <c r="AJ20" s="31"/>
      <c r="AK20" s="33">
        <f t="shared" si="9"/>
        <v>620</v>
      </c>
      <c r="AL20" s="30">
        <v>550</v>
      </c>
      <c r="AM20" s="32">
        <f t="shared" si="35"/>
        <v>70</v>
      </c>
      <c r="AN20" s="31"/>
      <c r="AO20" s="33">
        <f t="shared" si="10"/>
        <v>550</v>
      </c>
      <c r="AP20" s="30">
        <v>500</v>
      </c>
      <c r="AQ20" s="32">
        <f t="shared" si="26"/>
        <v>50</v>
      </c>
      <c r="AR20" s="31"/>
      <c r="AS20" s="33">
        <f t="shared" si="11"/>
        <v>500</v>
      </c>
      <c r="AT20" s="30">
        <v>470</v>
      </c>
      <c r="AU20" s="32">
        <f t="shared" si="27"/>
        <v>30</v>
      </c>
      <c r="AV20" s="31"/>
      <c r="AW20" s="33">
        <f t="shared" si="40"/>
        <v>470</v>
      </c>
      <c r="AX20" s="30">
        <v>470</v>
      </c>
      <c r="AY20" s="32">
        <f t="shared" si="13"/>
        <v>0</v>
      </c>
      <c r="AZ20" s="31"/>
      <c r="BA20" s="33">
        <f t="shared" si="14"/>
        <v>470</v>
      </c>
      <c r="BB20" s="30">
        <v>400</v>
      </c>
      <c r="BC20" s="32">
        <f t="shared" si="36"/>
        <v>70</v>
      </c>
      <c r="BD20" s="31"/>
      <c r="BE20" s="33">
        <f t="shared" si="16"/>
        <v>400</v>
      </c>
      <c r="BF20" s="30">
        <v>300</v>
      </c>
      <c r="BG20" s="32">
        <f t="shared" si="28"/>
        <v>100</v>
      </c>
      <c r="BH20" s="31">
        <v>1</v>
      </c>
      <c r="BI20" s="33">
        <f t="shared" si="17"/>
        <v>550</v>
      </c>
      <c r="BJ20" s="30">
        <v>500</v>
      </c>
      <c r="BK20" s="32">
        <f t="shared" si="29"/>
        <v>50</v>
      </c>
      <c r="BL20" s="31"/>
      <c r="BM20" s="33">
        <f t="shared" si="18"/>
        <v>500</v>
      </c>
      <c r="BN20" s="30"/>
      <c r="BO20" s="32">
        <f t="shared" si="37"/>
        <v>500</v>
      </c>
      <c r="BP20" s="31"/>
      <c r="BQ20" s="33">
        <f t="shared" si="20"/>
        <v>0</v>
      </c>
      <c r="BR20" s="30"/>
      <c r="BS20" s="32">
        <f t="shared" si="38"/>
        <v>0</v>
      </c>
      <c r="BT20" s="31"/>
      <c r="BU20" s="33">
        <f t="shared" si="22"/>
        <v>0</v>
      </c>
      <c r="BV20" s="30"/>
      <c r="BW20" s="32">
        <f t="shared" si="39"/>
        <v>0</v>
      </c>
      <c r="BX20" s="31"/>
      <c r="BY20" s="33">
        <f t="shared" si="24"/>
        <v>0</v>
      </c>
      <c r="BZ20" s="30"/>
      <c r="CA20" s="32">
        <f t="shared" si="25"/>
        <v>0</v>
      </c>
      <c r="CB20" s="31"/>
      <c r="CC20" s="33">
        <f t="shared" si="41"/>
        <v>0</v>
      </c>
    </row>
    <row r="21" spans="1:81" ht="20.100000000000001" customHeight="1" x14ac:dyDescent="0.2">
      <c r="A21" s="19" t="s">
        <v>149</v>
      </c>
      <c r="B21" s="9" t="s">
        <v>7</v>
      </c>
      <c r="C21" s="14">
        <v>1680</v>
      </c>
      <c r="D21" s="9" t="s">
        <v>9</v>
      </c>
      <c r="E21" s="13">
        <v>1680</v>
      </c>
      <c r="F21" s="30">
        <f>1680+22*30</f>
        <v>2340</v>
      </c>
      <c r="G21" s="32">
        <v>840</v>
      </c>
      <c r="H21" s="31"/>
      <c r="I21" s="33">
        <f t="shared" si="0"/>
        <v>2340</v>
      </c>
      <c r="J21" s="30">
        <v>30</v>
      </c>
      <c r="K21" s="32">
        <f t="shared" si="30"/>
        <v>2310</v>
      </c>
      <c r="L21" s="31">
        <v>1</v>
      </c>
      <c r="M21" s="33">
        <f t="shared" si="1"/>
        <v>1710</v>
      </c>
      <c r="N21" s="30">
        <v>1200</v>
      </c>
      <c r="O21" s="32">
        <f t="shared" si="31"/>
        <v>510</v>
      </c>
      <c r="P21" s="34">
        <v>1</v>
      </c>
      <c r="Q21" s="33">
        <f t="shared" si="2"/>
        <v>2880</v>
      </c>
      <c r="R21" s="30">
        <v>2780</v>
      </c>
      <c r="S21" s="32">
        <f t="shared" si="32"/>
        <v>100</v>
      </c>
      <c r="T21" s="31">
        <v>1</v>
      </c>
      <c r="U21" s="33">
        <f t="shared" si="3"/>
        <v>4460</v>
      </c>
      <c r="V21" s="30">
        <f>1680+24*50</f>
        <v>2880</v>
      </c>
      <c r="W21" s="32">
        <f t="shared" si="33"/>
        <v>1580</v>
      </c>
      <c r="X21" s="31"/>
      <c r="Y21" s="33">
        <f t="shared" si="4"/>
        <v>2880</v>
      </c>
      <c r="Z21" s="30">
        <f>6*50</f>
        <v>300</v>
      </c>
      <c r="AA21" s="32">
        <f t="shared" si="5"/>
        <v>2580</v>
      </c>
      <c r="AB21" s="34">
        <v>1</v>
      </c>
      <c r="AC21" s="33">
        <f t="shared" si="6"/>
        <v>1980</v>
      </c>
      <c r="AD21" s="30">
        <f>18*30</f>
        <v>540</v>
      </c>
      <c r="AE21" s="32">
        <f t="shared" si="7"/>
        <v>1440</v>
      </c>
      <c r="AF21" s="31">
        <v>1</v>
      </c>
      <c r="AG21" s="33">
        <f t="shared" si="8"/>
        <v>2220</v>
      </c>
      <c r="AH21" s="30">
        <v>900</v>
      </c>
      <c r="AI21" s="32">
        <f t="shared" si="34"/>
        <v>1320</v>
      </c>
      <c r="AJ21" s="31">
        <v>1</v>
      </c>
      <c r="AK21" s="33">
        <f t="shared" si="9"/>
        <v>2580</v>
      </c>
      <c r="AL21" s="30">
        <f>40*50</f>
        <v>2000</v>
      </c>
      <c r="AM21" s="32">
        <f t="shared" si="35"/>
        <v>580</v>
      </c>
      <c r="AN21" s="31"/>
      <c r="AO21" s="33">
        <f t="shared" si="10"/>
        <v>2000</v>
      </c>
      <c r="AP21" s="30">
        <v>900</v>
      </c>
      <c r="AQ21" s="32">
        <f t="shared" si="26"/>
        <v>1100</v>
      </c>
      <c r="AR21" s="31">
        <v>1</v>
      </c>
      <c r="AS21" s="33">
        <f t="shared" si="11"/>
        <v>2580</v>
      </c>
      <c r="AT21" s="30">
        <f>1680+12*50</f>
        <v>2280</v>
      </c>
      <c r="AU21" s="32">
        <f t="shared" si="27"/>
        <v>300</v>
      </c>
      <c r="AV21" s="31"/>
      <c r="AW21" s="33">
        <f t="shared" si="40"/>
        <v>2280</v>
      </c>
      <c r="AX21" s="30">
        <f>6*50</f>
        <v>300</v>
      </c>
      <c r="AY21" s="32">
        <f t="shared" si="13"/>
        <v>1980</v>
      </c>
      <c r="AZ21" s="31">
        <v>1</v>
      </c>
      <c r="BA21" s="33">
        <f t="shared" si="14"/>
        <v>1980</v>
      </c>
      <c r="BB21" s="30">
        <v>300</v>
      </c>
      <c r="BC21" s="32">
        <f t="shared" si="36"/>
        <v>1680</v>
      </c>
      <c r="BD21" s="31">
        <v>2</v>
      </c>
      <c r="BE21" s="33">
        <f t="shared" si="16"/>
        <v>3660</v>
      </c>
      <c r="BF21" s="30">
        <v>1480</v>
      </c>
      <c r="BG21" s="32">
        <f t="shared" si="28"/>
        <v>2180</v>
      </c>
      <c r="BH21" s="31">
        <v>1</v>
      </c>
      <c r="BI21" s="33">
        <f t="shared" si="17"/>
        <v>3160</v>
      </c>
      <c r="BJ21" s="30">
        <v>1680</v>
      </c>
      <c r="BK21" s="32">
        <f t="shared" si="29"/>
        <v>1480</v>
      </c>
      <c r="BL21" s="31">
        <v>1</v>
      </c>
      <c r="BM21" s="33">
        <f t="shared" si="18"/>
        <v>3360</v>
      </c>
      <c r="BN21" s="30"/>
      <c r="BO21" s="32">
        <f t="shared" si="37"/>
        <v>3360</v>
      </c>
      <c r="BP21" s="31"/>
      <c r="BQ21" s="33">
        <f t="shared" si="20"/>
        <v>0</v>
      </c>
      <c r="BR21" s="30"/>
      <c r="BS21" s="32">
        <f t="shared" si="38"/>
        <v>0</v>
      </c>
      <c r="BT21" s="31"/>
      <c r="BU21" s="33">
        <f t="shared" si="22"/>
        <v>0</v>
      </c>
      <c r="BV21" s="30"/>
      <c r="BW21" s="32">
        <f t="shared" si="39"/>
        <v>0</v>
      </c>
      <c r="BX21" s="31"/>
      <c r="BY21" s="33">
        <f t="shared" si="24"/>
        <v>0</v>
      </c>
      <c r="BZ21" s="30"/>
      <c r="CA21" s="32">
        <f t="shared" si="25"/>
        <v>0</v>
      </c>
      <c r="CB21" s="31"/>
      <c r="CC21" s="33">
        <f t="shared" si="41"/>
        <v>0</v>
      </c>
    </row>
    <row r="22" spans="1:81" ht="20.100000000000001" hidden="1" customHeight="1" x14ac:dyDescent="0.2">
      <c r="A22" s="19" t="s">
        <v>244</v>
      </c>
      <c r="B22" s="9" t="s">
        <v>9</v>
      </c>
      <c r="C22" s="10">
        <v>1</v>
      </c>
      <c r="D22" s="9" t="s">
        <v>9</v>
      </c>
      <c r="E22" s="13">
        <v>1</v>
      </c>
      <c r="F22" s="30">
        <v>2</v>
      </c>
      <c r="G22" s="32">
        <v>0</v>
      </c>
      <c r="H22" s="31"/>
      <c r="I22" s="33">
        <f t="shared" si="0"/>
        <v>2</v>
      </c>
      <c r="J22" s="30">
        <v>2</v>
      </c>
      <c r="K22" s="32">
        <f t="shared" si="30"/>
        <v>0</v>
      </c>
      <c r="L22" s="31"/>
      <c r="M22" s="33">
        <f t="shared" si="1"/>
        <v>2</v>
      </c>
      <c r="N22" s="30">
        <v>2</v>
      </c>
      <c r="O22" s="32">
        <f t="shared" si="31"/>
        <v>0</v>
      </c>
      <c r="P22" s="34"/>
      <c r="Q22" s="33">
        <f t="shared" si="2"/>
        <v>2</v>
      </c>
      <c r="R22" s="30">
        <v>1</v>
      </c>
      <c r="S22" s="32">
        <f t="shared" si="32"/>
        <v>1</v>
      </c>
      <c r="T22" s="31">
        <v>1</v>
      </c>
      <c r="U22" s="33">
        <f t="shared" si="3"/>
        <v>2</v>
      </c>
      <c r="V22" s="30">
        <v>2</v>
      </c>
      <c r="W22" s="32">
        <f t="shared" si="33"/>
        <v>0</v>
      </c>
      <c r="X22" s="31"/>
      <c r="Y22" s="33">
        <f t="shared" si="4"/>
        <v>2</v>
      </c>
      <c r="Z22" s="30">
        <v>2</v>
      </c>
      <c r="AA22" s="32">
        <f t="shared" si="5"/>
        <v>0</v>
      </c>
      <c r="AB22" s="31"/>
      <c r="AC22" s="33">
        <f t="shared" si="6"/>
        <v>2</v>
      </c>
      <c r="AD22" s="30">
        <v>2</v>
      </c>
      <c r="AE22" s="32">
        <f t="shared" si="7"/>
        <v>0</v>
      </c>
      <c r="AF22" s="31"/>
      <c r="AG22" s="33">
        <f t="shared" si="8"/>
        <v>2</v>
      </c>
      <c r="AH22" s="30">
        <v>2</v>
      </c>
      <c r="AI22" s="32">
        <f t="shared" si="34"/>
        <v>0</v>
      </c>
      <c r="AJ22" s="31"/>
      <c r="AK22" s="33">
        <f t="shared" si="9"/>
        <v>2</v>
      </c>
      <c r="AL22" s="30">
        <v>2</v>
      </c>
      <c r="AM22" s="32">
        <f t="shared" si="35"/>
        <v>0</v>
      </c>
      <c r="AN22" s="31"/>
      <c r="AO22" s="33">
        <f t="shared" si="10"/>
        <v>2</v>
      </c>
      <c r="AP22" s="30">
        <v>2</v>
      </c>
      <c r="AQ22" s="32">
        <f t="shared" si="26"/>
        <v>0</v>
      </c>
      <c r="AR22" s="31"/>
      <c r="AS22" s="33">
        <f t="shared" si="11"/>
        <v>2</v>
      </c>
      <c r="AT22" s="30">
        <v>2</v>
      </c>
      <c r="AU22" s="32">
        <f t="shared" si="27"/>
        <v>0</v>
      </c>
      <c r="AV22" s="31"/>
      <c r="AW22" s="33">
        <f t="shared" si="40"/>
        <v>2</v>
      </c>
      <c r="AX22" s="30">
        <v>2</v>
      </c>
      <c r="AY22" s="32">
        <f t="shared" si="13"/>
        <v>0</v>
      </c>
      <c r="AZ22" s="31"/>
      <c r="BA22" s="33">
        <f t="shared" si="14"/>
        <v>2</v>
      </c>
      <c r="BB22" s="30">
        <v>1</v>
      </c>
      <c r="BC22" s="32">
        <f t="shared" si="36"/>
        <v>1</v>
      </c>
      <c r="BD22" s="31">
        <v>1</v>
      </c>
      <c r="BE22" s="33">
        <f t="shared" si="16"/>
        <v>2</v>
      </c>
      <c r="BF22" s="30">
        <v>1</v>
      </c>
      <c r="BG22" s="32">
        <f t="shared" si="28"/>
        <v>1</v>
      </c>
      <c r="BH22" s="31">
        <v>1</v>
      </c>
      <c r="BI22" s="33">
        <f t="shared" si="17"/>
        <v>2</v>
      </c>
      <c r="BJ22" s="30">
        <v>1</v>
      </c>
      <c r="BK22" s="32">
        <f t="shared" si="29"/>
        <v>1</v>
      </c>
      <c r="BL22" s="31"/>
      <c r="BM22" s="33">
        <f t="shared" si="18"/>
        <v>1</v>
      </c>
      <c r="BN22" s="30"/>
      <c r="BO22" s="32">
        <f t="shared" si="37"/>
        <v>1</v>
      </c>
      <c r="BP22" s="31"/>
      <c r="BQ22" s="33">
        <f t="shared" si="20"/>
        <v>0</v>
      </c>
      <c r="BR22" s="30"/>
      <c r="BS22" s="32">
        <f t="shared" si="38"/>
        <v>0</v>
      </c>
      <c r="BT22" s="31"/>
      <c r="BU22" s="33">
        <f t="shared" si="22"/>
        <v>0</v>
      </c>
      <c r="BV22" s="30"/>
      <c r="BW22" s="32">
        <f t="shared" si="39"/>
        <v>0</v>
      </c>
      <c r="BX22" s="31"/>
      <c r="BY22" s="33">
        <f t="shared" si="24"/>
        <v>0</v>
      </c>
      <c r="BZ22" s="30"/>
      <c r="CA22" s="32">
        <f t="shared" si="25"/>
        <v>0</v>
      </c>
      <c r="CB22" s="31"/>
      <c r="CC22" s="33">
        <f t="shared" si="41"/>
        <v>0</v>
      </c>
    </row>
    <row r="23" spans="1:81" ht="20.100000000000001" hidden="1" customHeight="1" x14ac:dyDescent="0.2">
      <c r="A23" s="19" t="s">
        <v>150</v>
      </c>
      <c r="B23" s="9" t="s">
        <v>7</v>
      </c>
      <c r="C23" s="10">
        <v>6</v>
      </c>
      <c r="D23" s="9" t="s">
        <v>9</v>
      </c>
      <c r="E23" s="13">
        <v>6</v>
      </c>
      <c r="F23" s="30">
        <v>8</v>
      </c>
      <c r="G23" s="32">
        <v>0</v>
      </c>
      <c r="H23" s="31"/>
      <c r="I23" s="33">
        <f t="shared" si="0"/>
        <v>8</v>
      </c>
      <c r="J23" s="30">
        <v>5</v>
      </c>
      <c r="K23" s="32">
        <f t="shared" si="30"/>
        <v>3</v>
      </c>
      <c r="L23" s="31"/>
      <c r="M23" s="33">
        <f t="shared" si="1"/>
        <v>5</v>
      </c>
      <c r="N23" s="30">
        <v>4</v>
      </c>
      <c r="O23" s="32">
        <f t="shared" si="31"/>
        <v>1</v>
      </c>
      <c r="P23" s="34"/>
      <c r="Q23" s="33">
        <f t="shared" si="2"/>
        <v>4</v>
      </c>
      <c r="R23" s="30">
        <v>3</v>
      </c>
      <c r="S23" s="32">
        <f t="shared" si="32"/>
        <v>1</v>
      </c>
      <c r="T23" s="31"/>
      <c r="U23" s="33">
        <f t="shared" si="3"/>
        <v>3</v>
      </c>
      <c r="V23" s="30">
        <v>1</v>
      </c>
      <c r="W23" s="32">
        <f t="shared" si="33"/>
        <v>2</v>
      </c>
      <c r="X23" s="34">
        <v>1</v>
      </c>
      <c r="Y23" s="33">
        <f t="shared" si="4"/>
        <v>7</v>
      </c>
      <c r="Z23" s="30">
        <v>5</v>
      </c>
      <c r="AA23" s="32">
        <f t="shared" si="5"/>
        <v>2</v>
      </c>
      <c r="AB23" s="31"/>
      <c r="AC23" s="33">
        <f t="shared" si="6"/>
        <v>5</v>
      </c>
      <c r="AD23" s="30">
        <v>4</v>
      </c>
      <c r="AE23" s="32">
        <f t="shared" si="7"/>
        <v>1</v>
      </c>
      <c r="AF23" s="31"/>
      <c r="AG23" s="33">
        <f t="shared" si="8"/>
        <v>4</v>
      </c>
      <c r="AH23" s="30">
        <v>2</v>
      </c>
      <c r="AI23" s="32">
        <f t="shared" si="34"/>
        <v>2</v>
      </c>
      <c r="AJ23" s="31"/>
      <c r="AK23" s="33">
        <f t="shared" si="9"/>
        <v>2</v>
      </c>
      <c r="AL23" s="30">
        <v>1</v>
      </c>
      <c r="AM23" s="32">
        <f t="shared" si="35"/>
        <v>1</v>
      </c>
      <c r="AN23" s="31">
        <v>1</v>
      </c>
      <c r="AO23" s="33">
        <f t="shared" si="10"/>
        <v>7</v>
      </c>
      <c r="AP23" s="30">
        <v>4</v>
      </c>
      <c r="AQ23" s="32">
        <f t="shared" si="26"/>
        <v>3</v>
      </c>
      <c r="AR23" s="31"/>
      <c r="AS23" s="33">
        <f t="shared" si="11"/>
        <v>4</v>
      </c>
      <c r="AT23" s="30">
        <v>3</v>
      </c>
      <c r="AU23" s="32">
        <f t="shared" si="27"/>
        <v>1</v>
      </c>
      <c r="AV23" s="31">
        <v>1</v>
      </c>
      <c r="AW23" s="33">
        <f t="shared" si="40"/>
        <v>9</v>
      </c>
      <c r="AX23" s="30">
        <v>6</v>
      </c>
      <c r="AY23" s="32">
        <f t="shared" si="13"/>
        <v>3</v>
      </c>
      <c r="AZ23" s="31"/>
      <c r="BA23" s="33">
        <f t="shared" si="14"/>
        <v>6</v>
      </c>
      <c r="BB23" s="30">
        <v>6</v>
      </c>
      <c r="BC23" s="32">
        <f t="shared" si="36"/>
        <v>0</v>
      </c>
      <c r="BD23" s="31"/>
      <c r="BE23" s="33">
        <f t="shared" si="16"/>
        <v>6</v>
      </c>
      <c r="BF23" s="30">
        <v>3</v>
      </c>
      <c r="BG23" s="32">
        <f t="shared" si="28"/>
        <v>3</v>
      </c>
      <c r="BH23" s="31">
        <v>1</v>
      </c>
      <c r="BI23" s="33">
        <f t="shared" si="17"/>
        <v>9</v>
      </c>
      <c r="BJ23" s="30">
        <v>9</v>
      </c>
      <c r="BK23" s="32">
        <f t="shared" si="29"/>
        <v>0</v>
      </c>
      <c r="BL23" s="31"/>
      <c r="BM23" s="33">
        <f t="shared" si="18"/>
        <v>9</v>
      </c>
      <c r="BN23" s="30"/>
      <c r="BO23" s="32">
        <f t="shared" si="37"/>
        <v>9</v>
      </c>
      <c r="BP23" s="31"/>
      <c r="BQ23" s="33">
        <f t="shared" si="20"/>
        <v>0</v>
      </c>
      <c r="BR23" s="30"/>
      <c r="BS23" s="32">
        <f t="shared" si="38"/>
        <v>0</v>
      </c>
      <c r="BT23" s="31"/>
      <c r="BU23" s="33">
        <f t="shared" si="22"/>
        <v>0</v>
      </c>
      <c r="BV23" s="30"/>
      <c r="BW23" s="32">
        <f t="shared" si="39"/>
        <v>0</v>
      </c>
      <c r="BX23" s="31"/>
      <c r="BY23" s="33">
        <f t="shared" si="24"/>
        <v>0</v>
      </c>
      <c r="BZ23" s="30"/>
      <c r="CA23" s="32">
        <f t="shared" si="25"/>
        <v>0</v>
      </c>
      <c r="CB23" s="31"/>
      <c r="CC23" s="33">
        <f t="shared" si="41"/>
        <v>0</v>
      </c>
    </row>
    <row r="24" spans="1:81" ht="20.100000000000001" hidden="1" customHeight="1" x14ac:dyDescent="0.2">
      <c r="A24" s="19" t="s">
        <v>236</v>
      </c>
      <c r="B24" s="9" t="s">
        <v>9</v>
      </c>
      <c r="C24" s="10">
        <v>1</v>
      </c>
      <c r="D24" s="9" t="s">
        <v>9</v>
      </c>
      <c r="E24" s="13">
        <v>1</v>
      </c>
      <c r="F24" s="30">
        <v>3</v>
      </c>
      <c r="G24" s="32">
        <v>1</v>
      </c>
      <c r="H24" s="31"/>
      <c r="I24" s="33">
        <f>+F24+H24*$E24</f>
        <v>3</v>
      </c>
      <c r="J24" s="30">
        <v>2</v>
      </c>
      <c r="K24" s="32">
        <f>+I24-J24</f>
        <v>1</v>
      </c>
      <c r="L24" s="31">
        <v>2</v>
      </c>
      <c r="M24" s="33">
        <f>+J24+L24*$E24</f>
        <v>4</v>
      </c>
      <c r="N24" s="30">
        <v>2</v>
      </c>
      <c r="O24" s="32">
        <f>+M24-N24</f>
        <v>2</v>
      </c>
      <c r="P24" s="31"/>
      <c r="Q24" s="33">
        <f>+N24+P24*$E24</f>
        <v>2</v>
      </c>
      <c r="R24" s="30">
        <v>1</v>
      </c>
      <c r="S24" s="32">
        <f>+Q24-R24</f>
        <v>1</v>
      </c>
      <c r="T24" s="31">
        <v>8</v>
      </c>
      <c r="U24" s="33">
        <f>+R24+T24*$E24</f>
        <v>9</v>
      </c>
      <c r="V24" s="30">
        <v>8</v>
      </c>
      <c r="W24" s="32">
        <f>+U24-V24</f>
        <v>1</v>
      </c>
      <c r="X24" s="31"/>
      <c r="Y24" s="33">
        <f>+V24+X24*$E24</f>
        <v>8</v>
      </c>
      <c r="Z24" s="30">
        <v>7</v>
      </c>
      <c r="AA24" s="32">
        <f t="shared" si="5"/>
        <v>1</v>
      </c>
      <c r="AB24" s="31"/>
      <c r="AC24" s="33">
        <f>+Z24+AB24*$E24</f>
        <v>7</v>
      </c>
      <c r="AD24" s="30">
        <v>6</v>
      </c>
      <c r="AE24" s="32">
        <f t="shared" si="7"/>
        <v>1</v>
      </c>
      <c r="AF24" s="31"/>
      <c r="AG24" s="33">
        <f>+AD24+AF24*$E24</f>
        <v>6</v>
      </c>
      <c r="AH24" s="30">
        <v>5</v>
      </c>
      <c r="AI24" s="32">
        <f>+AG24-AH24</f>
        <v>1</v>
      </c>
      <c r="AJ24" s="31"/>
      <c r="AK24" s="33">
        <f>+AH24+AJ24*$E24</f>
        <v>5</v>
      </c>
      <c r="AL24" s="30">
        <v>4</v>
      </c>
      <c r="AM24" s="32">
        <f>+AK24-AL24</f>
        <v>1</v>
      </c>
      <c r="AN24" s="31">
        <v>2</v>
      </c>
      <c r="AO24" s="33">
        <f>+AL24+AN24*$E24</f>
        <v>6</v>
      </c>
      <c r="AP24" s="30">
        <v>4</v>
      </c>
      <c r="AQ24" s="32">
        <f t="shared" si="26"/>
        <v>2</v>
      </c>
      <c r="AR24" s="31"/>
      <c r="AS24" s="33">
        <f>+AP24+AR24*$E24</f>
        <v>4</v>
      </c>
      <c r="AT24" s="30">
        <v>2</v>
      </c>
      <c r="AU24" s="32">
        <f t="shared" si="27"/>
        <v>2</v>
      </c>
      <c r="AV24" s="31">
        <v>4</v>
      </c>
      <c r="AW24" s="33">
        <f>+AT24+AV24*$E24</f>
        <v>6</v>
      </c>
      <c r="AX24" s="30">
        <v>5</v>
      </c>
      <c r="AY24" s="32">
        <f t="shared" si="13"/>
        <v>1</v>
      </c>
      <c r="AZ24" s="31"/>
      <c r="BA24" s="33">
        <f t="shared" ref="BA24:BA29" si="42">+AX24+AZ24*$E24</f>
        <v>5</v>
      </c>
      <c r="BB24" s="30">
        <v>4</v>
      </c>
      <c r="BC24" s="32">
        <f t="shared" ref="BC24:BC29" si="43">+BA24-BB24</f>
        <v>1</v>
      </c>
      <c r="BD24" s="31"/>
      <c r="BE24" s="33">
        <f t="shared" ref="BE24:BE29" si="44">+BB24+BD24*$E24</f>
        <v>4</v>
      </c>
      <c r="BF24" s="30">
        <v>3</v>
      </c>
      <c r="BG24" s="32">
        <f t="shared" si="28"/>
        <v>1</v>
      </c>
      <c r="BH24" s="31">
        <v>2</v>
      </c>
      <c r="BI24" s="33">
        <f t="shared" ref="BI24:BI29" si="45">+BF24+BH24*$E24</f>
        <v>5</v>
      </c>
      <c r="BJ24" s="30">
        <v>4</v>
      </c>
      <c r="BK24" s="32">
        <f t="shared" si="29"/>
        <v>1</v>
      </c>
      <c r="BL24" s="31"/>
      <c r="BM24" s="33">
        <f t="shared" ref="BM24:BM29" si="46">+BJ24+BL24*$E24</f>
        <v>4</v>
      </c>
      <c r="BN24" s="30"/>
      <c r="BO24" s="32">
        <f t="shared" ref="BO24:BO29" si="47">+BM24-BN24</f>
        <v>4</v>
      </c>
      <c r="BP24" s="31"/>
      <c r="BQ24" s="33">
        <f t="shared" ref="BQ24:BQ29" si="48">+BN24+BP24*$E24</f>
        <v>0</v>
      </c>
      <c r="BR24" s="30"/>
      <c r="BS24" s="32">
        <f t="shared" ref="BS24:BS29" si="49">+BQ24-BR24</f>
        <v>0</v>
      </c>
      <c r="BT24" s="31"/>
      <c r="BU24" s="33">
        <f t="shared" ref="BU24:BU29" si="50">+BR24+BT24*$E24</f>
        <v>0</v>
      </c>
      <c r="BV24" s="30"/>
      <c r="BW24" s="32">
        <f t="shared" ref="BW24:BW29" si="51">+BQ24-BV24</f>
        <v>0</v>
      </c>
      <c r="BX24" s="31"/>
      <c r="BY24" s="33">
        <f t="shared" ref="BY24:BY29" si="52">+BV24+BX24*$E24</f>
        <v>0</v>
      </c>
      <c r="BZ24" s="30"/>
      <c r="CA24" s="32">
        <f t="shared" ref="CA24:CA29" si="53">+BQ24-BZ24</f>
        <v>0</v>
      </c>
      <c r="CB24" s="31"/>
      <c r="CC24" s="33">
        <f t="shared" ref="CC24:CC29" si="54">+BZ24+CB24*$E24</f>
        <v>0</v>
      </c>
    </row>
    <row r="25" spans="1:81" ht="20.100000000000001" hidden="1" customHeight="1" x14ac:dyDescent="0.2">
      <c r="A25" s="19" t="s">
        <v>151</v>
      </c>
      <c r="B25" s="9" t="s">
        <v>7</v>
      </c>
      <c r="C25" s="14">
        <v>2500</v>
      </c>
      <c r="D25" s="9" t="s">
        <v>9</v>
      </c>
      <c r="E25" s="13">
        <v>2500</v>
      </c>
      <c r="F25" s="30">
        <v>590</v>
      </c>
      <c r="G25" s="32">
        <v>60</v>
      </c>
      <c r="H25" s="31"/>
      <c r="I25" s="33">
        <f t="shared" si="0"/>
        <v>590</v>
      </c>
      <c r="J25" s="30">
        <v>520</v>
      </c>
      <c r="K25" s="32">
        <f t="shared" si="30"/>
        <v>70</v>
      </c>
      <c r="L25" s="31"/>
      <c r="M25" s="33">
        <f t="shared" si="1"/>
        <v>520</v>
      </c>
      <c r="N25" s="30">
        <v>450</v>
      </c>
      <c r="O25" s="32">
        <f t="shared" si="31"/>
        <v>70</v>
      </c>
      <c r="P25" s="34"/>
      <c r="Q25" s="33">
        <f t="shared" si="2"/>
        <v>450</v>
      </c>
      <c r="R25" s="30">
        <v>400</v>
      </c>
      <c r="S25" s="32">
        <f t="shared" si="32"/>
        <v>50</v>
      </c>
      <c r="T25" s="31"/>
      <c r="U25" s="33">
        <f t="shared" si="3"/>
        <v>400</v>
      </c>
      <c r="V25" s="30">
        <v>310</v>
      </c>
      <c r="W25" s="32">
        <f t="shared" si="33"/>
        <v>90</v>
      </c>
      <c r="X25" s="31"/>
      <c r="Y25" s="33">
        <f t="shared" si="4"/>
        <v>310</v>
      </c>
      <c r="Z25" s="30">
        <v>200</v>
      </c>
      <c r="AA25" s="32">
        <f t="shared" si="5"/>
        <v>110</v>
      </c>
      <c r="AB25" s="31"/>
      <c r="AC25" s="33">
        <f t="shared" si="6"/>
        <v>200</v>
      </c>
      <c r="AD25" s="30">
        <v>150</v>
      </c>
      <c r="AE25" s="32">
        <f t="shared" si="7"/>
        <v>50</v>
      </c>
      <c r="AF25" s="31"/>
      <c r="AG25" s="33">
        <f t="shared" si="8"/>
        <v>150</v>
      </c>
      <c r="AH25" s="30">
        <v>450</v>
      </c>
      <c r="AI25" s="32">
        <f t="shared" si="34"/>
        <v>-300</v>
      </c>
      <c r="AJ25" s="31"/>
      <c r="AK25" s="33">
        <f t="shared" si="9"/>
        <v>450</v>
      </c>
      <c r="AL25" s="30">
        <v>400</v>
      </c>
      <c r="AM25" s="32">
        <f t="shared" si="35"/>
        <v>50</v>
      </c>
      <c r="AN25" s="31"/>
      <c r="AO25" s="33">
        <f t="shared" si="10"/>
        <v>400</v>
      </c>
      <c r="AP25" s="30">
        <v>350</v>
      </c>
      <c r="AQ25" s="32">
        <f t="shared" si="26"/>
        <v>50</v>
      </c>
      <c r="AR25" s="31"/>
      <c r="AS25" s="33">
        <f t="shared" si="11"/>
        <v>350</v>
      </c>
      <c r="AT25" s="30">
        <v>320</v>
      </c>
      <c r="AU25" s="32">
        <f t="shared" si="27"/>
        <v>30</v>
      </c>
      <c r="AV25" s="31"/>
      <c r="AW25" s="33">
        <f t="shared" si="40"/>
        <v>320</v>
      </c>
      <c r="AX25" s="30">
        <v>380</v>
      </c>
      <c r="AY25" s="32">
        <f t="shared" si="13"/>
        <v>-60</v>
      </c>
      <c r="AZ25" s="31"/>
      <c r="BA25" s="33">
        <f t="shared" si="42"/>
        <v>380</v>
      </c>
      <c r="BB25" s="30">
        <v>350</v>
      </c>
      <c r="BC25" s="32">
        <f t="shared" si="43"/>
        <v>30</v>
      </c>
      <c r="BD25" s="31"/>
      <c r="BE25" s="33">
        <f t="shared" si="44"/>
        <v>350</v>
      </c>
      <c r="BF25" s="30">
        <v>300</v>
      </c>
      <c r="BG25" s="32">
        <f t="shared" si="28"/>
        <v>50</v>
      </c>
      <c r="BH25" s="31"/>
      <c r="BI25" s="33">
        <f t="shared" si="45"/>
        <v>300</v>
      </c>
      <c r="BJ25" s="30">
        <v>250</v>
      </c>
      <c r="BK25" s="32">
        <f t="shared" si="29"/>
        <v>50</v>
      </c>
      <c r="BL25" s="31"/>
      <c r="BM25" s="33">
        <f t="shared" si="46"/>
        <v>250</v>
      </c>
      <c r="BN25" s="30"/>
      <c r="BO25" s="32">
        <f t="shared" si="47"/>
        <v>250</v>
      </c>
      <c r="BP25" s="31"/>
      <c r="BQ25" s="33">
        <f t="shared" si="48"/>
        <v>0</v>
      </c>
      <c r="BR25" s="30"/>
      <c r="BS25" s="32">
        <f t="shared" si="49"/>
        <v>0</v>
      </c>
      <c r="BT25" s="31"/>
      <c r="BU25" s="33">
        <f t="shared" si="50"/>
        <v>0</v>
      </c>
      <c r="BV25" s="30"/>
      <c r="BW25" s="32">
        <f t="shared" si="51"/>
        <v>0</v>
      </c>
      <c r="BX25" s="31"/>
      <c r="BY25" s="33">
        <f t="shared" si="52"/>
        <v>0</v>
      </c>
      <c r="BZ25" s="30"/>
      <c r="CA25" s="32">
        <f t="shared" si="53"/>
        <v>0</v>
      </c>
      <c r="CB25" s="31"/>
      <c r="CC25" s="33">
        <f t="shared" si="54"/>
        <v>0</v>
      </c>
    </row>
    <row r="26" spans="1:81" ht="20.100000000000001" hidden="1" customHeight="1" x14ac:dyDescent="0.2">
      <c r="A26" s="27" t="s">
        <v>21</v>
      </c>
      <c r="B26" s="15" t="s">
        <v>7</v>
      </c>
      <c r="C26" s="16">
        <v>1</v>
      </c>
      <c r="D26" s="15" t="s">
        <v>9</v>
      </c>
      <c r="E26" s="18">
        <v>1</v>
      </c>
      <c r="F26" s="30">
        <v>15</v>
      </c>
      <c r="G26" s="32">
        <v>0</v>
      </c>
      <c r="H26" s="31"/>
      <c r="I26" s="33">
        <f t="shared" si="0"/>
        <v>15</v>
      </c>
      <c r="J26" s="30">
        <v>10</v>
      </c>
      <c r="K26" s="32">
        <f>+I26-J26</f>
        <v>5</v>
      </c>
      <c r="L26" s="31">
        <v>5</v>
      </c>
      <c r="M26" s="33">
        <f t="shared" si="1"/>
        <v>15</v>
      </c>
      <c r="N26" s="30">
        <v>5</v>
      </c>
      <c r="O26" s="32">
        <f>+M26-N26</f>
        <v>10</v>
      </c>
      <c r="P26" s="34">
        <v>5</v>
      </c>
      <c r="Q26" s="33">
        <f t="shared" si="2"/>
        <v>10</v>
      </c>
      <c r="R26" s="30">
        <v>10</v>
      </c>
      <c r="S26" s="32">
        <f>+Q26-R26</f>
        <v>0</v>
      </c>
      <c r="T26" s="31"/>
      <c r="U26" s="33">
        <f t="shared" si="3"/>
        <v>10</v>
      </c>
      <c r="V26" s="30"/>
      <c r="W26" s="32">
        <f>+U26-V26</f>
        <v>10</v>
      </c>
      <c r="X26" s="31">
        <v>15</v>
      </c>
      <c r="Y26" s="33">
        <f t="shared" si="4"/>
        <v>15</v>
      </c>
      <c r="Z26" s="30">
        <v>10</v>
      </c>
      <c r="AA26" s="32">
        <f t="shared" si="5"/>
        <v>5</v>
      </c>
      <c r="AB26" s="34">
        <v>10</v>
      </c>
      <c r="AC26" s="33">
        <f t="shared" si="6"/>
        <v>20</v>
      </c>
      <c r="AD26" s="30">
        <v>15</v>
      </c>
      <c r="AE26" s="32">
        <f t="shared" si="7"/>
        <v>5</v>
      </c>
      <c r="AF26" s="31"/>
      <c r="AG26" s="33">
        <f t="shared" si="8"/>
        <v>15</v>
      </c>
      <c r="AH26" s="30">
        <v>10</v>
      </c>
      <c r="AI26" s="32">
        <f>+AG26-AH26</f>
        <v>5</v>
      </c>
      <c r="AJ26" s="31">
        <v>5</v>
      </c>
      <c r="AK26" s="33">
        <f t="shared" si="9"/>
        <v>15</v>
      </c>
      <c r="AL26" s="30">
        <v>10</v>
      </c>
      <c r="AM26" s="32">
        <f>+AK26-AL26</f>
        <v>5</v>
      </c>
      <c r="AN26" s="31">
        <v>5</v>
      </c>
      <c r="AO26" s="33">
        <f t="shared" si="10"/>
        <v>15</v>
      </c>
      <c r="AP26" s="30">
        <v>15</v>
      </c>
      <c r="AQ26" s="32">
        <f t="shared" si="26"/>
        <v>0</v>
      </c>
      <c r="AR26" s="31"/>
      <c r="AS26" s="33">
        <f t="shared" si="11"/>
        <v>15</v>
      </c>
      <c r="AT26" s="30">
        <v>10</v>
      </c>
      <c r="AU26" s="32">
        <f t="shared" si="27"/>
        <v>5</v>
      </c>
      <c r="AV26" s="31">
        <v>5</v>
      </c>
      <c r="AW26" s="33">
        <f t="shared" si="40"/>
        <v>15</v>
      </c>
      <c r="AX26" s="30">
        <v>10</v>
      </c>
      <c r="AY26" s="32">
        <f>+AW26-AX26</f>
        <v>5</v>
      </c>
      <c r="AZ26" s="31">
        <v>5</v>
      </c>
      <c r="BA26" s="33">
        <f t="shared" si="42"/>
        <v>15</v>
      </c>
      <c r="BB26" s="30">
        <v>10</v>
      </c>
      <c r="BC26" s="32">
        <f t="shared" si="43"/>
        <v>5</v>
      </c>
      <c r="BD26" s="31">
        <v>5</v>
      </c>
      <c r="BE26" s="33">
        <f t="shared" si="44"/>
        <v>15</v>
      </c>
      <c r="BF26" s="30">
        <v>10</v>
      </c>
      <c r="BG26" s="32">
        <f t="shared" si="28"/>
        <v>5</v>
      </c>
      <c r="BH26" s="31"/>
      <c r="BI26" s="33">
        <f t="shared" si="45"/>
        <v>10</v>
      </c>
      <c r="BJ26" s="30"/>
      <c r="BK26" s="32">
        <f t="shared" si="29"/>
        <v>10</v>
      </c>
      <c r="BL26" s="31"/>
      <c r="BM26" s="33">
        <f t="shared" si="46"/>
        <v>0</v>
      </c>
      <c r="BN26" s="30"/>
      <c r="BO26" s="32">
        <f t="shared" si="47"/>
        <v>0</v>
      </c>
      <c r="BP26" s="31"/>
      <c r="BQ26" s="33">
        <f t="shared" si="48"/>
        <v>0</v>
      </c>
      <c r="BR26" s="30"/>
      <c r="BS26" s="32">
        <f t="shared" si="49"/>
        <v>0</v>
      </c>
      <c r="BT26" s="31"/>
      <c r="BU26" s="33">
        <f t="shared" si="50"/>
        <v>0</v>
      </c>
      <c r="BV26" s="30"/>
      <c r="BW26" s="32">
        <f t="shared" si="51"/>
        <v>0</v>
      </c>
      <c r="BX26" s="31"/>
      <c r="BY26" s="33">
        <f t="shared" si="52"/>
        <v>0</v>
      </c>
      <c r="BZ26" s="30"/>
      <c r="CA26" s="32">
        <f t="shared" si="53"/>
        <v>0</v>
      </c>
      <c r="CB26" s="31"/>
      <c r="CC26" s="33">
        <f t="shared" si="54"/>
        <v>0</v>
      </c>
    </row>
    <row r="27" spans="1:81" ht="20.100000000000001" hidden="1" customHeight="1" x14ac:dyDescent="0.2">
      <c r="A27" s="19" t="s">
        <v>217</v>
      </c>
      <c r="B27" s="9" t="s">
        <v>7</v>
      </c>
      <c r="C27" s="10">
        <v>1</v>
      </c>
      <c r="D27" s="9" t="s">
        <v>349</v>
      </c>
      <c r="E27" s="13">
        <v>1</v>
      </c>
      <c r="F27" s="30">
        <v>2</v>
      </c>
      <c r="G27" s="32">
        <v>0</v>
      </c>
      <c r="H27" s="31"/>
      <c r="I27" s="33">
        <f t="shared" si="0"/>
        <v>2</v>
      </c>
      <c r="J27" s="30">
        <v>1.5</v>
      </c>
      <c r="K27" s="32">
        <f>+I27-J27</f>
        <v>0.5</v>
      </c>
      <c r="L27" s="31">
        <v>1</v>
      </c>
      <c r="M27" s="33">
        <f t="shared" si="1"/>
        <v>2.5</v>
      </c>
      <c r="N27" s="30">
        <v>3</v>
      </c>
      <c r="O27" s="32">
        <v>20</v>
      </c>
      <c r="P27" s="34"/>
      <c r="Q27" s="33">
        <f t="shared" si="2"/>
        <v>3</v>
      </c>
      <c r="R27" s="30">
        <v>3</v>
      </c>
      <c r="S27" s="32">
        <f>+Q27-R27</f>
        <v>0</v>
      </c>
      <c r="T27" s="31"/>
      <c r="U27" s="33">
        <f t="shared" si="3"/>
        <v>3</v>
      </c>
      <c r="V27" s="30">
        <v>3</v>
      </c>
      <c r="W27" s="32">
        <f>+U27-V27</f>
        <v>0</v>
      </c>
      <c r="X27" s="31"/>
      <c r="Y27" s="33">
        <f t="shared" si="4"/>
        <v>3</v>
      </c>
      <c r="Z27" s="30">
        <v>3</v>
      </c>
      <c r="AA27" s="32">
        <f t="shared" si="5"/>
        <v>0</v>
      </c>
      <c r="AB27" s="31"/>
      <c r="AC27" s="33">
        <f t="shared" si="6"/>
        <v>3</v>
      </c>
      <c r="AD27" s="30">
        <v>2.5</v>
      </c>
      <c r="AE27" s="32">
        <f t="shared" si="7"/>
        <v>0.5</v>
      </c>
      <c r="AF27" s="31"/>
      <c r="AG27" s="33">
        <f t="shared" si="8"/>
        <v>2.5</v>
      </c>
      <c r="AH27" s="30">
        <v>2</v>
      </c>
      <c r="AI27" s="32">
        <f>+AG27-AH27</f>
        <v>0.5</v>
      </c>
      <c r="AJ27" s="31"/>
      <c r="AK27" s="33">
        <f t="shared" si="9"/>
        <v>2</v>
      </c>
      <c r="AL27" s="30">
        <v>2</v>
      </c>
      <c r="AM27" s="32">
        <f>+AK27-AL27</f>
        <v>0</v>
      </c>
      <c r="AN27" s="31"/>
      <c r="AO27" s="33">
        <f t="shared" si="10"/>
        <v>2</v>
      </c>
      <c r="AP27" s="30">
        <v>2</v>
      </c>
      <c r="AQ27" s="32">
        <f t="shared" si="26"/>
        <v>0</v>
      </c>
      <c r="AR27" s="31"/>
      <c r="AS27" s="33">
        <f t="shared" si="11"/>
        <v>2</v>
      </c>
      <c r="AT27" s="30">
        <v>1.5</v>
      </c>
      <c r="AU27" s="32">
        <f t="shared" si="27"/>
        <v>0.5</v>
      </c>
      <c r="AV27" s="31">
        <v>2</v>
      </c>
      <c r="AW27" s="33">
        <f t="shared" si="40"/>
        <v>3.5</v>
      </c>
      <c r="AX27" s="30">
        <v>3.2</v>
      </c>
      <c r="AY27" s="32">
        <f t="shared" ref="AY27:AY62" si="55">+AW27-AX27</f>
        <v>0.29999999999999982</v>
      </c>
      <c r="AZ27" s="31"/>
      <c r="BA27" s="33">
        <f t="shared" si="42"/>
        <v>3.2</v>
      </c>
      <c r="BB27" s="30">
        <v>3.1</v>
      </c>
      <c r="BC27" s="32">
        <f t="shared" si="43"/>
        <v>0.10000000000000009</v>
      </c>
      <c r="BD27" s="31"/>
      <c r="BE27" s="33">
        <f t="shared" si="44"/>
        <v>3.1</v>
      </c>
      <c r="BF27" s="30">
        <v>3.1</v>
      </c>
      <c r="BG27" s="32">
        <f t="shared" si="28"/>
        <v>0</v>
      </c>
      <c r="BH27" s="31"/>
      <c r="BI27" s="33">
        <f t="shared" si="45"/>
        <v>3.1</v>
      </c>
      <c r="BJ27" s="30">
        <v>3</v>
      </c>
      <c r="BK27" s="32">
        <f t="shared" si="29"/>
        <v>0.10000000000000009</v>
      </c>
      <c r="BL27" s="31"/>
      <c r="BM27" s="33">
        <f t="shared" si="46"/>
        <v>3</v>
      </c>
      <c r="BN27" s="30"/>
      <c r="BO27" s="32">
        <f t="shared" si="47"/>
        <v>3</v>
      </c>
      <c r="BP27" s="31"/>
      <c r="BQ27" s="33">
        <f t="shared" si="48"/>
        <v>0</v>
      </c>
      <c r="BR27" s="30"/>
      <c r="BS27" s="32">
        <f t="shared" si="49"/>
        <v>0</v>
      </c>
      <c r="BT27" s="31"/>
      <c r="BU27" s="33">
        <f t="shared" si="50"/>
        <v>0</v>
      </c>
      <c r="BV27" s="30"/>
      <c r="BW27" s="32">
        <f t="shared" si="51"/>
        <v>0</v>
      </c>
      <c r="BX27" s="31"/>
      <c r="BY27" s="33">
        <f t="shared" si="52"/>
        <v>0</v>
      </c>
      <c r="BZ27" s="30"/>
      <c r="CA27" s="32">
        <f t="shared" si="53"/>
        <v>0</v>
      </c>
      <c r="CB27" s="31"/>
      <c r="CC27" s="33">
        <f t="shared" si="54"/>
        <v>0</v>
      </c>
    </row>
    <row r="28" spans="1:81" ht="20.100000000000001" hidden="1" customHeight="1" x14ac:dyDescent="0.2">
      <c r="A28" s="19" t="s">
        <v>22</v>
      </c>
      <c r="B28" s="9" t="s">
        <v>7</v>
      </c>
      <c r="C28" s="14">
        <v>1000</v>
      </c>
      <c r="D28" s="9" t="s">
        <v>9</v>
      </c>
      <c r="E28" s="13">
        <v>1000</v>
      </c>
      <c r="F28" s="30">
        <v>400</v>
      </c>
      <c r="G28" s="32">
        <v>142</v>
      </c>
      <c r="H28" s="31"/>
      <c r="I28" s="33">
        <f t="shared" si="0"/>
        <v>400</v>
      </c>
      <c r="J28" s="30">
        <v>200</v>
      </c>
      <c r="K28" s="32">
        <f>+I28-J28</f>
        <v>200</v>
      </c>
      <c r="L28" s="31">
        <v>1</v>
      </c>
      <c r="M28" s="33">
        <f t="shared" ref="M28:M36" si="56">+J28+L28*$E28</f>
        <v>1200</v>
      </c>
      <c r="N28" s="30">
        <v>950</v>
      </c>
      <c r="O28" s="32">
        <f t="shared" si="31"/>
        <v>250</v>
      </c>
      <c r="P28" s="34"/>
      <c r="Q28" s="33">
        <f t="shared" ref="Q28:Q36" si="57">+N28+P28*$E28</f>
        <v>950</v>
      </c>
      <c r="R28" s="30">
        <v>850</v>
      </c>
      <c r="S28" s="32">
        <f>+Q28-R28</f>
        <v>100</v>
      </c>
      <c r="T28" s="31"/>
      <c r="U28" s="33">
        <f t="shared" ref="U28:U36" si="58">+R28+T28*$E28</f>
        <v>850</v>
      </c>
      <c r="V28" s="30">
        <v>550</v>
      </c>
      <c r="W28" s="32">
        <f t="shared" ref="W28:W36" si="59">+U28-V28</f>
        <v>300</v>
      </c>
      <c r="X28" s="34">
        <v>1</v>
      </c>
      <c r="Y28" s="33">
        <f t="shared" si="4"/>
        <v>1550</v>
      </c>
      <c r="Z28" s="30">
        <v>1300</v>
      </c>
      <c r="AA28" s="32">
        <f t="shared" si="5"/>
        <v>250</v>
      </c>
      <c r="AB28" s="31"/>
      <c r="AC28" s="33">
        <f t="shared" si="6"/>
        <v>1300</v>
      </c>
      <c r="AD28" s="30">
        <v>1000</v>
      </c>
      <c r="AE28" s="32">
        <f t="shared" si="7"/>
        <v>300</v>
      </c>
      <c r="AF28" s="31"/>
      <c r="AG28" s="33">
        <f t="shared" si="8"/>
        <v>1000</v>
      </c>
      <c r="AH28" s="30">
        <v>850</v>
      </c>
      <c r="AI28" s="32">
        <f t="shared" ref="AI28:AI36" si="60">+AG28-AH28</f>
        <v>150</v>
      </c>
      <c r="AJ28" s="31"/>
      <c r="AK28" s="33">
        <f t="shared" si="9"/>
        <v>850</v>
      </c>
      <c r="AL28" s="30">
        <v>500</v>
      </c>
      <c r="AM28" s="32">
        <f t="shared" ref="AM28:AM36" si="61">+AK28-AL28</f>
        <v>350</v>
      </c>
      <c r="AN28" s="31">
        <v>1</v>
      </c>
      <c r="AO28" s="33">
        <f t="shared" si="10"/>
        <v>1500</v>
      </c>
      <c r="AP28" s="30">
        <v>1200</v>
      </c>
      <c r="AQ28" s="32">
        <f t="shared" si="26"/>
        <v>300</v>
      </c>
      <c r="AR28" s="31"/>
      <c r="AS28" s="33">
        <f t="shared" si="11"/>
        <v>1200</v>
      </c>
      <c r="AT28" s="30">
        <v>920</v>
      </c>
      <c r="AU28" s="32">
        <f t="shared" si="27"/>
        <v>280</v>
      </c>
      <c r="AV28" s="31"/>
      <c r="AW28" s="33">
        <f t="shared" si="40"/>
        <v>920</v>
      </c>
      <c r="AX28" s="30">
        <v>490</v>
      </c>
      <c r="AY28" s="32">
        <f t="shared" si="55"/>
        <v>430</v>
      </c>
      <c r="AZ28" s="31">
        <v>1</v>
      </c>
      <c r="BA28" s="33">
        <f t="shared" si="42"/>
        <v>1490</v>
      </c>
      <c r="BB28" s="30">
        <v>1394</v>
      </c>
      <c r="BC28" s="32">
        <f t="shared" si="43"/>
        <v>96</v>
      </c>
      <c r="BD28" s="31"/>
      <c r="BE28" s="33">
        <f t="shared" si="44"/>
        <v>1394</v>
      </c>
      <c r="BF28" s="30">
        <v>1340</v>
      </c>
      <c r="BG28" s="32">
        <f t="shared" si="28"/>
        <v>54</v>
      </c>
      <c r="BH28" s="31"/>
      <c r="BI28" s="33">
        <f t="shared" si="45"/>
        <v>1340</v>
      </c>
      <c r="BJ28" s="30">
        <v>1050</v>
      </c>
      <c r="BK28" s="32">
        <f t="shared" si="29"/>
        <v>290</v>
      </c>
      <c r="BL28" s="31"/>
      <c r="BM28" s="33">
        <f t="shared" si="46"/>
        <v>1050</v>
      </c>
      <c r="BN28" s="30"/>
      <c r="BO28" s="32">
        <f t="shared" si="47"/>
        <v>1050</v>
      </c>
      <c r="BP28" s="31"/>
      <c r="BQ28" s="33">
        <f t="shared" si="48"/>
        <v>0</v>
      </c>
      <c r="BR28" s="30"/>
      <c r="BS28" s="32">
        <f t="shared" si="49"/>
        <v>0</v>
      </c>
      <c r="BT28" s="31"/>
      <c r="BU28" s="33">
        <f t="shared" si="50"/>
        <v>0</v>
      </c>
      <c r="BV28" s="30"/>
      <c r="BW28" s="32">
        <f t="shared" si="51"/>
        <v>0</v>
      </c>
      <c r="BX28" s="31"/>
      <c r="BY28" s="33">
        <f t="shared" si="52"/>
        <v>0</v>
      </c>
      <c r="BZ28" s="30"/>
      <c r="CA28" s="32">
        <f t="shared" si="53"/>
        <v>0</v>
      </c>
      <c r="CB28" s="31"/>
      <c r="CC28" s="33">
        <f t="shared" si="54"/>
        <v>0</v>
      </c>
    </row>
    <row r="29" spans="1:81" ht="20.100000000000001" hidden="1" customHeight="1" x14ac:dyDescent="0.2">
      <c r="A29" s="19" t="s">
        <v>266</v>
      </c>
      <c r="B29" s="9" t="s">
        <v>7</v>
      </c>
      <c r="C29" s="10">
        <v>30</v>
      </c>
      <c r="D29" s="9" t="s">
        <v>9</v>
      </c>
      <c r="E29" s="13">
        <v>30</v>
      </c>
      <c r="F29" s="30">
        <v>40</v>
      </c>
      <c r="G29" s="32">
        <v>14</v>
      </c>
      <c r="H29" s="31"/>
      <c r="I29" s="33">
        <f t="shared" si="0"/>
        <v>40</v>
      </c>
      <c r="J29" s="30">
        <v>31</v>
      </c>
      <c r="K29" s="32">
        <f>+I29-J29</f>
        <v>9</v>
      </c>
      <c r="L29" s="31"/>
      <c r="M29" s="33">
        <f>+J29+L29*$E29</f>
        <v>31</v>
      </c>
      <c r="N29" s="30">
        <v>23</v>
      </c>
      <c r="O29" s="32">
        <f>+M29-N29</f>
        <v>8</v>
      </c>
      <c r="P29" s="34"/>
      <c r="Q29" s="33">
        <f>+N29+P29*$E29</f>
        <v>23</v>
      </c>
      <c r="R29" s="30">
        <v>8</v>
      </c>
      <c r="S29" s="32">
        <f>+Q29-R29</f>
        <v>15</v>
      </c>
      <c r="T29" s="31">
        <v>1</v>
      </c>
      <c r="U29" s="33">
        <f>+R29+T29*$E29</f>
        <v>38</v>
      </c>
      <c r="V29" s="30">
        <v>28</v>
      </c>
      <c r="W29" s="32">
        <f>+U29-V29</f>
        <v>10</v>
      </c>
      <c r="X29" s="31"/>
      <c r="Y29" s="33">
        <f>+V29+X29*$E29</f>
        <v>28</v>
      </c>
      <c r="Z29" s="30">
        <v>21</v>
      </c>
      <c r="AA29" s="32">
        <f t="shared" si="5"/>
        <v>7</v>
      </c>
      <c r="AB29" s="31">
        <v>1</v>
      </c>
      <c r="AC29" s="33">
        <f>+Z29+AB29*$E29</f>
        <v>51</v>
      </c>
      <c r="AD29" s="30">
        <v>40</v>
      </c>
      <c r="AE29" s="32">
        <f t="shared" si="7"/>
        <v>11</v>
      </c>
      <c r="AF29" s="31"/>
      <c r="AG29" s="33">
        <f>+AD29+AF29*$E29</f>
        <v>40</v>
      </c>
      <c r="AH29" s="30">
        <v>34</v>
      </c>
      <c r="AI29" s="32">
        <f>+AG29-AH29</f>
        <v>6</v>
      </c>
      <c r="AJ29" s="31"/>
      <c r="AK29" s="33">
        <f>+AH29+AJ29*$E29</f>
        <v>34</v>
      </c>
      <c r="AL29" s="30">
        <v>30</v>
      </c>
      <c r="AM29" s="32">
        <f>+AK29-AL29</f>
        <v>4</v>
      </c>
      <c r="AN29" s="31"/>
      <c r="AO29" s="33">
        <f>+AL29+AN29*$E29</f>
        <v>30</v>
      </c>
      <c r="AP29" s="30">
        <v>28</v>
      </c>
      <c r="AQ29" s="32">
        <f t="shared" si="26"/>
        <v>2</v>
      </c>
      <c r="AR29" s="31"/>
      <c r="AS29" s="33">
        <f>+AP29+AR29*$E29</f>
        <v>28</v>
      </c>
      <c r="AT29" s="30">
        <v>15</v>
      </c>
      <c r="AU29" s="32">
        <f t="shared" si="27"/>
        <v>13</v>
      </c>
      <c r="AV29" s="31">
        <v>1</v>
      </c>
      <c r="AW29" s="33">
        <f>+AT29+AV29*$E29</f>
        <v>45</v>
      </c>
      <c r="AX29" s="30">
        <v>41</v>
      </c>
      <c r="AY29" s="32">
        <f t="shared" si="55"/>
        <v>4</v>
      </c>
      <c r="AZ29" s="31"/>
      <c r="BA29" s="33">
        <f t="shared" si="42"/>
        <v>41</v>
      </c>
      <c r="BB29" s="30">
        <v>36</v>
      </c>
      <c r="BC29" s="32">
        <f t="shared" si="43"/>
        <v>5</v>
      </c>
      <c r="BD29" s="31"/>
      <c r="BE29" s="33">
        <f t="shared" si="44"/>
        <v>36</v>
      </c>
      <c r="BF29" s="30">
        <v>30</v>
      </c>
      <c r="BG29" s="32">
        <f t="shared" si="28"/>
        <v>6</v>
      </c>
      <c r="BH29" s="31">
        <v>1</v>
      </c>
      <c r="BI29" s="33">
        <f t="shared" si="45"/>
        <v>60</v>
      </c>
      <c r="BJ29" s="30">
        <v>56</v>
      </c>
      <c r="BK29" s="32">
        <f t="shared" si="29"/>
        <v>4</v>
      </c>
      <c r="BL29" s="31"/>
      <c r="BM29" s="33">
        <f t="shared" si="46"/>
        <v>56</v>
      </c>
      <c r="BN29" s="30"/>
      <c r="BO29" s="32">
        <f t="shared" si="47"/>
        <v>56</v>
      </c>
      <c r="BP29" s="31"/>
      <c r="BQ29" s="33">
        <f t="shared" si="48"/>
        <v>0</v>
      </c>
      <c r="BR29" s="30"/>
      <c r="BS29" s="32">
        <f t="shared" si="49"/>
        <v>0</v>
      </c>
      <c r="BT29" s="31"/>
      <c r="BU29" s="33">
        <f t="shared" si="50"/>
        <v>0</v>
      </c>
      <c r="BV29" s="30"/>
      <c r="BW29" s="32">
        <f t="shared" si="51"/>
        <v>0</v>
      </c>
      <c r="BX29" s="31"/>
      <c r="BY29" s="33">
        <f t="shared" si="52"/>
        <v>0</v>
      </c>
      <c r="BZ29" s="30"/>
      <c r="CA29" s="32">
        <f t="shared" si="53"/>
        <v>0</v>
      </c>
      <c r="CB29" s="31"/>
      <c r="CC29" s="33">
        <f t="shared" si="54"/>
        <v>0</v>
      </c>
    </row>
    <row r="30" spans="1:81" ht="20.100000000000001" hidden="1" customHeight="1" x14ac:dyDescent="0.2">
      <c r="A30" s="19" t="s">
        <v>26</v>
      </c>
      <c r="B30" s="9" t="s">
        <v>7</v>
      </c>
      <c r="C30" s="10">
        <v>20</v>
      </c>
      <c r="D30" s="9" t="s">
        <v>9</v>
      </c>
      <c r="E30" s="13">
        <v>20</v>
      </c>
      <c r="F30" s="30">
        <v>25</v>
      </c>
      <c r="G30" s="32">
        <v>26</v>
      </c>
      <c r="H30" s="34">
        <v>1</v>
      </c>
      <c r="I30" s="33">
        <f t="shared" ref="I30:I36" si="62">+F30+H30*$E30</f>
        <v>45</v>
      </c>
      <c r="J30" s="30">
        <v>18</v>
      </c>
      <c r="K30" s="32">
        <f t="shared" si="30"/>
        <v>27</v>
      </c>
      <c r="L30" s="31">
        <v>1</v>
      </c>
      <c r="M30" s="33">
        <f t="shared" si="56"/>
        <v>38</v>
      </c>
      <c r="N30" s="30">
        <v>12</v>
      </c>
      <c r="O30" s="32">
        <f t="shared" si="31"/>
        <v>26</v>
      </c>
      <c r="P30" s="34">
        <v>2</v>
      </c>
      <c r="Q30" s="33">
        <f t="shared" si="57"/>
        <v>52</v>
      </c>
      <c r="R30" s="30">
        <v>27</v>
      </c>
      <c r="S30" s="32">
        <f t="shared" si="32"/>
        <v>25</v>
      </c>
      <c r="T30" s="31">
        <v>1</v>
      </c>
      <c r="U30" s="33">
        <f t="shared" si="58"/>
        <v>47</v>
      </c>
      <c r="V30" s="30">
        <v>11</v>
      </c>
      <c r="W30" s="32">
        <f t="shared" si="59"/>
        <v>36</v>
      </c>
      <c r="X30" s="34">
        <f>1+0.5</f>
        <v>1.5</v>
      </c>
      <c r="Y30" s="33">
        <f t="shared" si="4"/>
        <v>41</v>
      </c>
      <c r="Z30" s="30">
        <v>12</v>
      </c>
      <c r="AA30" s="32">
        <f t="shared" si="5"/>
        <v>29</v>
      </c>
      <c r="AB30" s="34">
        <v>2</v>
      </c>
      <c r="AC30" s="33">
        <f t="shared" si="6"/>
        <v>52</v>
      </c>
      <c r="AD30" s="30">
        <v>20</v>
      </c>
      <c r="AE30" s="32">
        <f t="shared" si="7"/>
        <v>32</v>
      </c>
      <c r="AF30" s="31">
        <v>2</v>
      </c>
      <c r="AG30" s="33">
        <f t="shared" si="8"/>
        <v>60</v>
      </c>
      <c r="AH30" s="30">
        <v>41</v>
      </c>
      <c r="AI30" s="32">
        <f t="shared" si="60"/>
        <v>19</v>
      </c>
      <c r="AJ30" s="31"/>
      <c r="AK30" s="33">
        <f t="shared" si="9"/>
        <v>41</v>
      </c>
      <c r="AL30" s="30">
        <v>8</v>
      </c>
      <c r="AM30" s="32">
        <f t="shared" si="61"/>
        <v>33</v>
      </c>
      <c r="AN30" s="31">
        <v>2</v>
      </c>
      <c r="AO30" s="33">
        <f t="shared" si="10"/>
        <v>48</v>
      </c>
      <c r="AP30" s="30">
        <v>5</v>
      </c>
      <c r="AQ30" s="32">
        <f t="shared" si="26"/>
        <v>43</v>
      </c>
      <c r="AR30" s="31">
        <v>3</v>
      </c>
      <c r="AS30" s="33">
        <f t="shared" si="11"/>
        <v>65</v>
      </c>
      <c r="AT30" s="30">
        <v>42</v>
      </c>
      <c r="AU30" s="32">
        <f t="shared" si="27"/>
        <v>23</v>
      </c>
      <c r="AV30" s="31">
        <v>1</v>
      </c>
      <c r="AW30" s="33">
        <f t="shared" si="40"/>
        <v>62</v>
      </c>
      <c r="AX30" s="30">
        <v>32</v>
      </c>
      <c r="AY30" s="32">
        <f t="shared" si="55"/>
        <v>30</v>
      </c>
      <c r="AZ30" s="31">
        <v>1</v>
      </c>
      <c r="BA30" s="33">
        <f t="shared" ref="BA30:BA36" si="63">+AX30+AZ30*$E30</f>
        <v>52</v>
      </c>
      <c r="BB30" s="30">
        <v>20</v>
      </c>
      <c r="BC30" s="32">
        <f t="shared" ref="BC30:BC36" si="64">+BA30-BB30</f>
        <v>32</v>
      </c>
      <c r="BD30" s="31">
        <v>4</v>
      </c>
      <c r="BE30" s="33">
        <f t="shared" ref="BE30:BE36" si="65">+BB30+BD30*$E30</f>
        <v>100</v>
      </c>
      <c r="BF30" s="30">
        <v>80</v>
      </c>
      <c r="BG30" s="32">
        <f t="shared" si="28"/>
        <v>20</v>
      </c>
      <c r="BH30" s="31"/>
      <c r="BI30" s="33">
        <f t="shared" ref="BI30:BI36" si="66">+BF30+BH30*$E30</f>
        <v>80</v>
      </c>
      <c r="BJ30" s="30">
        <v>57</v>
      </c>
      <c r="BK30" s="32">
        <f t="shared" si="29"/>
        <v>23</v>
      </c>
      <c r="BL30" s="31"/>
      <c r="BM30" s="33">
        <f t="shared" ref="BM30:BM36" si="67">+BJ30+BL30*$E30</f>
        <v>57</v>
      </c>
      <c r="BN30" s="30"/>
      <c r="BO30" s="32">
        <f t="shared" ref="BO30:BO36" si="68">+BM30-BN30</f>
        <v>57</v>
      </c>
      <c r="BP30" s="31"/>
      <c r="BQ30" s="33">
        <f t="shared" ref="BQ30:BQ36" si="69">+BN30+BP30*$E30</f>
        <v>0</v>
      </c>
      <c r="BR30" s="30"/>
      <c r="BS30" s="32">
        <f t="shared" ref="BS30:BS36" si="70">+BQ30-BR30</f>
        <v>0</v>
      </c>
      <c r="BT30" s="31"/>
      <c r="BU30" s="33">
        <f t="shared" ref="BU30:BU36" si="71">+BR30+BT30*$E30</f>
        <v>0</v>
      </c>
      <c r="BV30" s="30"/>
      <c r="BW30" s="32">
        <f t="shared" ref="BW30:BW36" si="72">+BQ30-BV30</f>
        <v>0</v>
      </c>
      <c r="BX30" s="31"/>
      <c r="BY30" s="33">
        <f t="shared" ref="BY30:BY36" si="73">+BV30+BX30*$E30</f>
        <v>0</v>
      </c>
      <c r="BZ30" s="30"/>
      <c r="CA30" s="32">
        <f t="shared" ref="CA30:CA36" si="74">+BQ30-BZ30</f>
        <v>0</v>
      </c>
      <c r="CB30" s="31"/>
      <c r="CC30" s="33">
        <f t="shared" ref="CC30:CC36" si="75">+BZ30+CB30*$E30</f>
        <v>0</v>
      </c>
    </row>
    <row r="31" spans="1:81" ht="20.100000000000001" hidden="1" customHeight="1" x14ac:dyDescent="0.2">
      <c r="A31" s="19" t="s">
        <v>27</v>
      </c>
      <c r="B31" s="9" t="s">
        <v>7</v>
      </c>
      <c r="C31" s="136">
        <v>6</v>
      </c>
      <c r="D31" s="9" t="s">
        <v>9</v>
      </c>
      <c r="E31" s="13">
        <v>6</v>
      </c>
      <c r="F31" s="30">
        <v>3</v>
      </c>
      <c r="G31" s="32">
        <v>0</v>
      </c>
      <c r="H31" s="31"/>
      <c r="I31" s="33">
        <f t="shared" si="62"/>
        <v>3</v>
      </c>
      <c r="J31" s="30">
        <v>2</v>
      </c>
      <c r="K31" s="32">
        <f t="shared" si="30"/>
        <v>1</v>
      </c>
      <c r="L31" s="31"/>
      <c r="M31" s="33">
        <f t="shared" si="56"/>
        <v>2</v>
      </c>
      <c r="N31" s="30">
        <v>1</v>
      </c>
      <c r="O31" s="32">
        <f t="shared" si="31"/>
        <v>1</v>
      </c>
      <c r="P31" s="34"/>
      <c r="Q31" s="33">
        <f t="shared" si="57"/>
        <v>1</v>
      </c>
      <c r="R31" s="30">
        <v>1</v>
      </c>
      <c r="S31" s="32">
        <f t="shared" si="32"/>
        <v>0</v>
      </c>
      <c r="T31" s="31"/>
      <c r="U31" s="33">
        <f t="shared" si="58"/>
        <v>1</v>
      </c>
      <c r="V31" s="30">
        <v>1</v>
      </c>
      <c r="W31" s="32">
        <f t="shared" si="59"/>
        <v>0</v>
      </c>
      <c r="X31" s="31"/>
      <c r="Y31" s="33">
        <f t="shared" si="4"/>
        <v>1</v>
      </c>
      <c r="Z31" s="30"/>
      <c r="AA31" s="32">
        <f t="shared" si="5"/>
        <v>1</v>
      </c>
      <c r="AB31" s="34">
        <v>1</v>
      </c>
      <c r="AC31" s="33">
        <f t="shared" si="6"/>
        <v>6</v>
      </c>
      <c r="AD31" s="30">
        <v>1</v>
      </c>
      <c r="AE31" s="32">
        <f t="shared" si="7"/>
        <v>5</v>
      </c>
      <c r="AF31" s="31"/>
      <c r="AG31" s="33">
        <f t="shared" si="8"/>
        <v>1</v>
      </c>
      <c r="AH31" s="30">
        <v>1</v>
      </c>
      <c r="AI31" s="32">
        <f t="shared" si="60"/>
        <v>0</v>
      </c>
      <c r="AJ31" s="31">
        <v>1</v>
      </c>
      <c r="AK31" s="33">
        <f t="shared" si="9"/>
        <v>7</v>
      </c>
      <c r="AL31" s="30">
        <v>7</v>
      </c>
      <c r="AM31" s="32">
        <f t="shared" si="61"/>
        <v>0</v>
      </c>
      <c r="AN31" s="31"/>
      <c r="AO31" s="33">
        <f t="shared" si="10"/>
        <v>7</v>
      </c>
      <c r="AP31" s="30">
        <v>6</v>
      </c>
      <c r="AQ31" s="32">
        <f t="shared" si="26"/>
        <v>1</v>
      </c>
      <c r="AR31" s="31"/>
      <c r="AS31" s="33">
        <f t="shared" si="11"/>
        <v>6</v>
      </c>
      <c r="AT31" s="30">
        <v>5</v>
      </c>
      <c r="AU31" s="32">
        <f t="shared" si="27"/>
        <v>1</v>
      </c>
      <c r="AV31" s="31"/>
      <c r="AW31" s="33">
        <f t="shared" si="40"/>
        <v>5</v>
      </c>
      <c r="AX31" s="30">
        <v>5</v>
      </c>
      <c r="AY31" s="32">
        <f t="shared" si="55"/>
        <v>0</v>
      </c>
      <c r="AZ31" s="31"/>
      <c r="BA31" s="33">
        <f t="shared" si="63"/>
        <v>5</v>
      </c>
      <c r="BB31" s="30">
        <v>5</v>
      </c>
      <c r="BC31" s="32">
        <f t="shared" si="64"/>
        <v>0</v>
      </c>
      <c r="BD31" s="31"/>
      <c r="BE31" s="33">
        <f t="shared" si="65"/>
        <v>5</v>
      </c>
      <c r="BF31" s="30">
        <v>0</v>
      </c>
      <c r="BG31" s="32">
        <f t="shared" si="28"/>
        <v>5</v>
      </c>
      <c r="BH31" s="31">
        <v>1</v>
      </c>
      <c r="BI31" s="33">
        <f t="shared" si="66"/>
        <v>6</v>
      </c>
      <c r="BJ31" s="30">
        <v>6</v>
      </c>
      <c r="BK31" s="32">
        <f t="shared" si="29"/>
        <v>0</v>
      </c>
      <c r="BL31" s="31"/>
      <c r="BM31" s="33">
        <f t="shared" si="67"/>
        <v>6</v>
      </c>
      <c r="BN31" s="30"/>
      <c r="BO31" s="32">
        <f t="shared" si="68"/>
        <v>6</v>
      </c>
      <c r="BP31" s="31"/>
      <c r="BQ31" s="33">
        <f t="shared" si="69"/>
        <v>0</v>
      </c>
      <c r="BR31" s="30"/>
      <c r="BS31" s="32">
        <f t="shared" si="70"/>
        <v>0</v>
      </c>
      <c r="BT31" s="31"/>
      <c r="BU31" s="33">
        <f t="shared" si="71"/>
        <v>0</v>
      </c>
      <c r="BV31" s="30"/>
      <c r="BW31" s="32">
        <f t="shared" si="72"/>
        <v>0</v>
      </c>
      <c r="BX31" s="31"/>
      <c r="BY31" s="33">
        <f t="shared" si="73"/>
        <v>0</v>
      </c>
      <c r="BZ31" s="30"/>
      <c r="CA31" s="32">
        <f t="shared" si="74"/>
        <v>0</v>
      </c>
      <c r="CB31" s="31"/>
      <c r="CC31" s="33">
        <f t="shared" si="75"/>
        <v>0</v>
      </c>
    </row>
    <row r="32" spans="1:81" ht="20.100000000000001" customHeight="1" x14ac:dyDescent="0.2">
      <c r="A32" s="19" t="s">
        <v>224</v>
      </c>
      <c r="B32" s="9" t="s">
        <v>7</v>
      </c>
      <c r="C32" s="14">
        <v>52</v>
      </c>
      <c r="D32" s="9" t="s">
        <v>9</v>
      </c>
      <c r="E32" s="13">
        <v>52</v>
      </c>
      <c r="F32" s="30">
        <f>52*2</f>
        <v>104</v>
      </c>
      <c r="G32" s="32">
        <v>52</v>
      </c>
      <c r="H32" s="31">
        <v>1</v>
      </c>
      <c r="I32" s="33">
        <f t="shared" si="62"/>
        <v>156</v>
      </c>
      <c r="J32" s="30">
        <f>52*2</f>
        <v>104</v>
      </c>
      <c r="K32" s="32">
        <f t="shared" si="30"/>
        <v>52</v>
      </c>
      <c r="L32" s="31"/>
      <c r="M32" s="33">
        <f t="shared" si="56"/>
        <v>104</v>
      </c>
      <c r="N32" s="30">
        <v>104</v>
      </c>
      <c r="O32" s="32">
        <f t="shared" si="31"/>
        <v>0</v>
      </c>
      <c r="P32" s="34"/>
      <c r="Q32" s="33">
        <f t="shared" si="57"/>
        <v>104</v>
      </c>
      <c r="R32" s="30">
        <v>104</v>
      </c>
      <c r="S32" s="32">
        <f t="shared" si="32"/>
        <v>0</v>
      </c>
      <c r="T32" s="31">
        <v>1</v>
      </c>
      <c r="U32" s="33">
        <f t="shared" si="58"/>
        <v>156</v>
      </c>
      <c r="V32" s="30">
        <f>3*52</f>
        <v>156</v>
      </c>
      <c r="W32" s="32">
        <f t="shared" si="59"/>
        <v>0</v>
      </c>
      <c r="X32" s="31"/>
      <c r="Y32" s="33">
        <f t="shared" si="4"/>
        <v>156</v>
      </c>
      <c r="Z32" s="30">
        <v>104</v>
      </c>
      <c r="AA32" s="32">
        <f t="shared" si="5"/>
        <v>52</v>
      </c>
      <c r="AB32" s="34">
        <v>1</v>
      </c>
      <c r="AC32" s="33">
        <f t="shared" si="6"/>
        <v>156</v>
      </c>
      <c r="AD32" s="30">
        <v>52</v>
      </c>
      <c r="AE32" s="32">
        <f t="shared" si="7"/>
        <v>104</v>
      </c>
      <c r="AF32" s="31">
        <v>1</v>
      </c>
      <c r="AG32" s="33">
        <f t="shared" si="8"/>
        <v>104</v>
      </c>
      <c r="AH32" s="30">
        <v>0</v>
      </c>
      <c r="AI32" s="32">
        <f t="shared" si="60"/>
        <v>104</v>
      </c>
      <c r="AJ32" s="31">
        <v>1</v>
      </c>
      <c r="AK32" s="33">
        <f t="shared" si="9"/>
        <v>52</v>
      </c>
      <c r="AL32" s="30">
        <v>0</v>
      </c>
      <c r="AM32" s="32">
        <f t="shared" si="61"/>
        <v>52</v>
      </c>
      <c r="AN32" s="31">
        <v>2</v>
      </c>
      <c r="AO32" s="33">
        <f t="shared" si="10"/>
        <v>104</v>
      </c>
      <c r="AP32" s="30">
        <v>52</v>
      </c>
      <c r="AQ32" s="32">
        <f t="shared" si="26"/>
        <v>52</v>
      </c>
      <c r="AR32" s="31">
        <v>2</v>
      </c>
      <c r="AS32" s="33">
        <f t="shared" si="11"/>
        <v>156</v>
      </c>
      <c r="AT32" s="30">
        <v>52</v>
      </c>
      <c r="AU32" s="32">
        <f t="shared" si="27"/>
        <v>104</v>
      </c>
      <c r="AV32" s="31">
        <v>2</v>
      </c>
      <c r="AW32" s="33">
        <f t="shared" si="40"/>
        <v>156</v>
      </c>
      <c r="AX32" s="30">
        <v>104</v>
      </c>
      <c r="AY32" s="32">
        <f t="shared" si="55"/>
        <v>52</v>
      </c>
      <c r="AZ32" s="31">
        <v>1</v>
      </c>
      <c r="BA32" s="33">
        <f t="shared" si="63"/>
        <v>156</v>
      </c>
      <c r="BB32" s="30">
        <v>52</v>
      </c>
      <c r="BC32" s="32">
        <f t="shared" si="64"/>
        <v>104</v>
      </c>
      <c r="BD32" s="31">
        <v>2</v>
      </c>
      <c r="BE32" s="33">
        <f t="shared" si="65"/>
        <v>156</v>
      </c>
      <c r="BF32" s="30">
        <v>52</v>
      </c>
      <c r="BG32" s="32">
        <f t="shared" si="28"/>
        <v>104</v>
      </c>
      <c r="BH32" s="31">
        <v>2</v>
      </c>
      <c r="BI32" s="33">
        <f t="shared" si="66"/>
        <v>156</v>
      </c>
      <c r="BJ32" s="30">
        <v>76</v>
      </c>
      <c r="BK32" s="32">
        <f t="shared" si="29"/>
        <v>80</v>
      </c>
      <c r="BL32" s="31">
        <v>1</v>
      </c>
      <c r="BM32" s="33">
        <f t="shared" si="67"/>
        <v>128</v>
      </c>
      <c r="BN32" s="30"/>
      <c r="BO32" s="32">
        <f t="shared" si="68"/>
        <v>128</v>
      </c>
      <c r="BP32" s="31"/>
      <c r="BQ32" s="33">
        <f t="shared" si="69"/>
        <v>0</v>
      </c>
      <c r="BR32" s="30"/>
      <c r="BS32" s="32">
        <f t="shared" si="70"/>
        <v>0</v>
      </c>
      <c r="BT32" s="31"/>
      <c r="BU32" s="33">
        <f t="shared" si="71"/>
        <v>0</v>
      </c>
      <c r="BV32" s="30"/>
      <c r="BW32" s="32">
        <f t="shared" si="72"/>
        <v>0</v>
      </c>
      <c r="BX32" s="31"/>
      <c r="BY32" s="33">
        <f t="shared" si="73"/>
        <v>0</v>
      </c>
      <c r="BZ32" s="30"/>
      <c r="CA32" s="32">
        <f t="shared" si="74"/>
        <v>0</v>
      </c>
      <c r="CB32" s="31"/>
      <c r="CC32" s="33">
        <f t="shared" si="75"/>
        <v>0</v>
      </c>
    </row>
    <row r="33" spans="1:81" ht="20.100000000000001" hidden="1" customHeight="1" x14ac:dyDescent="0.2">
      <c r="A33" s="27" t="s">
        <v>379</v>
      </c>
      <c r="B33" s="15" t="s">
        <v>7</v>
      </c>
      <c r="C33" s="140">
        <v>1</v>
      </c>
      <c r="D33" s="15" t="s">
        <v>9</v>
      </c>
      <c r="E33" s="18">
        <v>1</v>
      </c>
      <c r="F33" s="30">
        <v>7</v>
      </c>
      <c r="G33" s="32">
        <v>0</v>
      </c>
      <c r="H33" s="31"/>
      <c r="I33" s="33">
        <f t="shared" si="62"/>
        <v>7</v>
      </c>
      <c r="J33" s="30">
        <v>5</v>
      </c>
      <c r="K33" s="32">
        <f t="shared" si="30"/>
        <v>2</v>
      </c>
      <c r="L33" s="31">
        <v>0</v>
      </c>
      <c r="M33" s="33">
        <f t="shared" si="56"/>
        <v>5</v>
      </c>
      <c r="N33" s="30">
        <v>2</v>
      </c>
      <c r="O33" s="32">
        <f t="shared" si="31"/>
        <v>3</v>
      </c>
      <c r="P33" s="34">
        <v>5</v>
      </c>
      <c r="Q33" s="33">
        <f t="shared" si="57"/>
        <v>7</v>
      </c>
      <c r="R33" s="30">
        <v>6</v>
      </c>
      <c r="S33" s="32">
        <f t="shared" si="32"/>
        <v>1</v>
      </c>
      <c r="T33" s="31"/>
      <c r="U33" s="33">
        <f t="shared" si="58"/>
        <v>6</v>
      </c>
      <c r="V33" s="30">
        <v>4</v>
      </c>
      <c r="W33" s="32">
        <f t="shared" si="59"/>
        <v>2</v>
      </c>
      <c r="X33" s="31">
        <v>2</v>
      </c>
      <c r="Y33" s="33">
        <f t="shared" si="4"/>
        <v>6</v>
      </c>
      <c r="Z33" s="30">
        <v>4</v>
      </c>
      <c r="AA33" s="32">
        <f t="shared" si="5"/>
        <v>2</v>
      </c>
      <c r="AB33" s="34">
        <v>2</v>
      </c>
      <c r="AC33" s="33">
        <f t="shared" si="6"/>
        <v>6</v>
      </c>
      <c r="AD33" s="30">
        <v>3</v>
      </c>
      <c r="AE33" s="32">
        <f t="shared" si="7"/>
        <v>3</v>
      </c>
      <c r="AF33" s="34">
        <v>3</v>
      </c>
      <c r="AG33" s="33">
        <f t="shared" si="8"/>
        <v>6</v>
      </c>
      <c r="AH33" s="30">
        <v>4</v>
      </c>
      <c r="AI33" s="32">
        <f t="shared" si="60"/>
        <v>2</v>
      </c>
      <c r="AJ33" s="31">
        <v>3</v>
      </c>
      <c r="AK33" s="33">
        <f t="shared" si="9"/>
        <v>7</v>
      </c>
      <c r="AL33" s="30">
        <v>3</v>
      </c>
      <c r="AM33" s="32">
        <f t="shared" si="61"/>
        <v>4</v>
      </c>
      <c r="AN33" s="31">
        <v>3</v>
      </c>
      <c r="AO33" s="33">
        <f t="shared" si="10"/>
        <v>6</v>
      </c>
      <c r="AP33" s="30">
        <v>4</v>
      </c>
      <c r="AQ33" s="32">
        <f t="shared" si="26"/>
        <v>2</v>
      </c>
      <c r="AR33" s="31">
        <v>4</v>
      </c>
      <c r="AS33" s="33">
        <f t="shared" si="11"/>
        <v>8</v>
      </c>
      <c r="AT33" s="30">
        <v>5</v>
      </c>
      <c r="AU33" s="32">
        <f t="shared" si="27"/>
        <v>3</v>
      </c>
      <c r="AV33" s="31">
        <v>4</v>
      </c>
      <c r="AW33" s="33">
        <f t="shared" si="40"/>
        <v>9</v>
      </c>
      <c r="AX33" s="30">
        <v>5</v>
      </c>
      <c r="AY33" s="32">
        <f t="shared" si="55"/>
        <v>4</v>
      </c>
      <c r="AZ33" s="31">
        <v>3</v>
      </c>
      <c r="BA33" s="33">
        <f t="shared" si="63"/>
        <v>8</v>
      </c>
      <c r="BB33" s="30">
        <v>2</v>
      </c>
      <c r="BC33" s="32">
        <f t="shared" si="64"/>
        <v>6</v>
      </c>
      <c r="BD33" s="31">
        <v>6</v>
      </c>
      <c r="BE33" s="33">
        <f t="shared" si="65"/>
        <v>8</v>
      </c>
      <c r="BF33" s="30">
        <v>4</v>
      </c>
      <c r="BG33" s="32">
        <f t="shared" si="28"/>
        <v>4</v>
      </c>
      <c r="BH33" s="31">
        <v>4</v>
      </c>
      <c r="BI33" s="33">
        <f t="shared" si="66"/>
        <v>8</v>
      </c>
      <c r="BJ33" s="30"/>
      <c r="BK33" s="32">
        <f t="shared" si="29"/>
        <v>8</v>
      </c>
      <c r="BL33" s="31"/>
      <c r="BM33" s="33">
        <f t="shared" si="67"/>
        <v>0</v>
      </c>
      <c r="BN33" s="30"/>
      <c r="BO33" s="32">
        <f t="shared" si="68"/>
        <v>0</v>
      </c>
      <c r="BP33" s="31"/>
      <c r="BQ33" s="33">
        <f t="shared" si="69"/>
        <v>0</v>
      </c>
      <c r="BR33" s="30"/>
      <c r="BS33" s="32">
        <f t="shared" si="70"/>
        <v>0</v>
      </c>
      <c r="BT33" s="31"/>
      <c r="BU33" s="33">
        <f t="shared" si="71"/>
        <v>0</v>
      </c>
      <c r="BV33" s="30"/>
      <c r="BW33" s="32">
        <f t="shared" si="72"/>
        <v>0</v>
      </c>
      <c r="BX33" s="31"/>
      <c r="BY33" s="33">
        <f t="shared" si="73"/>
        <v>0</v>
      </c>
      <c r="BZ33" s="30"/>
      <c r="CA33" s="32">
        <f t="shared" si="74"/>
        <v>0</v>
      </c>
      <c r="CB33" s="31"/>
      <c r="CC33" s="33">
        <f t="shared" si="75"/>
        <v>0</v>
      </c>
    </row>
    <row r="34" spans="1:81" ht="20.100000000000001" hidden="1" customHeight="1" x14ac:dyDescent="0.2">
      <c r="A34" s="19" t="s">
        <v>29</v>
      </c>
      <c r="B34" s="9" t="s">
        <v>7</v>
      </c>
      <c r="C34" s="10">
        <v>1</v>
      </c>
      <c r="D34" s="9" t="s">
        <v>9</v>
      </c>
      <c r="E34" s="13">
        <v>1</v>
      </c>
      <c r="F34" s="30"/>
      <c r="G34" s="32">
        <v>0</v>
      </c>
      <c r="H34" s="31"/>
      <c r="I34" s="33">
        <f t="shared" si="62"/>
        <v>0</v>
      </c>
      <c r="J34" s="30"/>
      <c r="K34" s="32">
        <f t="shared" si="30"/>
        <v>0</v>
      </c>
      <c r="L34" s="31"/>
      <c r="M34" s="33">
        <f t="shared" si="56"/>
        <v>0</v>
      </c>
      <c r="N34" s="30">
        <v>0</v>
      </c>
      <c r="O34" s="32">
        <f t="shared" si="31"/>
        <v>0</v>
      </c>
      <c r="P34" s="34">
        <v>0</v>
      </c>
      <c r="Q34" s="33">
        <f t="shared" si="57"/>
        <v>0</v>
      </c>
      <c r="R34" s="30">
        <v>0</v>
      </c>
      <c r="S34" s="32">
        <f t="shared" si="32"/>
        <v>0</v>
      </c>
      <c r="T34" s="31"/>
      <c r="U34" s="33">
        <f t="shared" si="58"/>
        <v>0</v>
      </c>
      <c r="V34" s="30"/>
      <c r="W34" s="32">
        <f t="shared" si="59"/>
        <v>0</v>
      </c>
      <c r="X34" s="31"/>
      <c r="Y34" s="33">
        <f t="shared" si="4"/>
        <v>0</v>
      </c>
      <c r="Z34" s="30"/>
      <c r="AA34" s="32">
        <f t="shared" si="5"/>
        <v>0</v>
      </c>
      <c r="AB34" s="31"/>
      <c r="AC34" s="33">
        <f t="shared" si="6"/>
        <v>0</v>
      </c>
      <c r="AD34" s="30"/>
      <c r="AE34" s="32">
        <f t="shared" si="7"/>
        <v>0</v>
      </c>
      <c r="AF34" s="31"/>
      <c r="AG34" s="33">
        <f t="shared" si="8"/>
        <v>0</v>
      </c>
      <c r="AH34" s="30"/>
      <c r="AI34" s="32">
        <f t="shared" si="60"/>
        <v>0</v>
      </c>
      <c r="AJ34" s="31"/>
      <c r="AK34" s="33">
        <f t="shared" si="9"/>
        <v>0</v>
      </c>
      <c r="AL34" s="30"/>
      <c r="AM34" s="32">
        <f t="shared" si="61"/>
        <v>0</v>
      </c>
      <c r="AN34" s="31"/>
      <c r="AO34" s="33">
        <f t="shared" si="10"/>
        <v>0</v>
      </c>
      <c r="AP34" s="30"/>
      <c r="AQ34" s="32">
        <f t="shared" si="26"/>
        <v>0</v>
      </c>
      <c r="AR34" s="31"/>
      <c r="AS34" s="33">
        <f t="shared" si="11"/>
        <v>0</v>
      </c>
      <c r="AT34" s="30"/>
      <c r="AU34" s="32">
        <f t="shared" si="27"/>
        <v>0</v>
      </c>
      <c r="AV34" s="31"/>
      <c r="AW34" s="33">
        <f t="shared" si="40"/>
        <v>0</v>
      </c>
      <c r="AX34" s="30"/>
      <c r="AY34" s="32">
        <f t="shared" si="55"/>
        <v>0</v>
      </c>
      <c r="AZ34" s="31"/>
      <c r="BA34" s="33">
        <f t="shared" si="63"/>
        <v>0</v>
      </c>
      <c r="BB34" s="30">
        <v>0</v>
      </c>
      <c r="BC34" s="32">
        <f t="shared" si="64"/>
        <v>0</v>
      </c>
      <c r="BD34" s="31"/>
      <c r="BE34" s="33">
        <f t="shared" si="65"/>
        <v>0</v>
      </c>
      <c r="BF34" s="30"/>
      <c r="BG34" s="32">
        <f t="shared" si="28"/>
        <v>0</v>
      </c>
      <c r="BH34" s="31"/>
      <c r="BI34" s="33">
        <f t="shared" si="66"/>
        <v>0</v>
      </c>
      <c r="BJ34" s="30"/>
      <c r="BK34" s="32">
        <f t="shared" si="29"/>
        <v>0</v>
      </c>
      <c r="BL34" s="31"/>
      <c r="BM34" s="33">
        <f t="shared" si="67"/>
        <v>0</v>
      </c>
      <c r="BN34" s="30"/>
      <c r="BO34" s="32">
        <f t="shared" si="68"/>
        <v>0</v>
      </c>
      <c r="BP34" s="31"/>
      <c r="BQ34" s="33">
        <f t="shared" si="69"/>
        <v>0</v>
      </c>
      <c r="BR34" s="30"/>
      <c r="BS34" s="32">
        <f t="shared" si="70"/>
        <v>0</v>
      </c>
      <c r="BT34" s="31"/>
      <c r="BU34" s="33">
        <f t="shared" si="71"/>
        <v>0</v>
      </c>
      <c r="BV34" s="30"/>
      <c r="BW34" s="32">
        <f t="shared" si="72"/>
        <v>0</v>
      </c>
      <c r="BX34" s="31"/>
      <c r="BY34" s="33">
        <f t="shared" si="73"/>
        <v>0</v>
      </c>
      <c r="BZ34" s="30"/>
      <c r="CA34" s="32">
        <f t="shared" si="74"/>
        <v>0</v>
      </c>
      <c r="CB34" s="31"/>
      <c r="CC34" s="33">
        <f t="shared" si="75"/>
        <v>0</v>
      </c>
    </row>
    <row r="35" spans="1:81" ht="20.100000000000001" hidden="1" customHeight="1" x14ac:dyDescent="0.2">
      <c r="A35" s="19" t="s">
        <v>33</v>
      </c>
      <c r="B35" s="9" t="s">
        <v>7</v>
      </c>
      <c r="C35" s="10">
        <v>2</v>
      </c>
      <c r="D35" s="9" t="s">
        <v>9</v>
      </c>
      <c r="E35" s="13">
        <v>2</v>
      </c>
      <c r="F35" s="30">
        <v>4</v>
      </c>
      <c r="G35" s="32">
        <v>2</v>
      </c>
      <c r="H35" s="31"/>
      <c r="I35" s="33">
        <f t="shared" si="62"/>
        <v>4</v>
      </c>
      <c r="J35" s="30">
        <v>3</v>
      </c>
      <c r="K35" s="32">
        <f t="shared" si="30"/>
        <v>1</v>
      </c>
      <c r="L35" s="31"/>
      <c r="M35" s="33">
        <f t="shared" si="56"/>
        <v>3</v>
      </c>
      <c r="N35" s="30">
        <v>2</v>
      </c>
      <c r="O35" s="32">
        <f t="shared" si="31"/>
        <v>1</v>
      </c>
      <c r="P35" s="31"/>
      <c r="Q35" s="33">
        <f t="shared" si="57"/>
        <v>2</v>
      </c>
      <c r="R35" s="30">
        <v>1</v>
      </c>
      <c r="S35" s="32">
        <f t="shared" si="32"/>
        <v>1</v>
      </c>
      <c r="T35" s="31">
        <v>1</v>
      </c>
      <c r="U35" s="33">
        <f t="shared" si="58"/>
        <v>3</v>
      </c>
      <c r="V35" s="30">
        <v>2</v>
      </c>
      <c r="W35" s="32">
        <f t="shared" si="59"/>
        <v>1</v>
      </c>
      <c r="X35" s="34">
        <v>1</v>
      </c>
      <c r="Y35" s="33">
        <f t="shared" si="4"/>
        <v>4</v>
      </c>
      <c r="Z35" s="30">
        <v>3</v>
      </c>
      <c r="AA35" s="32">
        <f t="shared" si="5"/>
        <v>1</v>
      </c>
      <c r="AB35" s="34">
        <v>1</v>
      </c>
      <c r="AC35" s="33">
        <f t="shared" si="6"/>
        <v>5</v>
      </c>
      <c r="AD35" s="30">
        <v>3</v>
      </c>
      <c r="AE35" s="32">
        <f t="shared" si="7"/>
        <v>2</v>
      </c>
      <c r="AF35" s="31"/>
      <c r="AG35" s="33">
        <f t="shared" si="8"/>
        <v>3</v>
      </c>
      <c r="AH35" s="30">
        <v>2</v>
      </c>
      <c r="AI35" s="32">
        <f t="shared" si="60"/>
        <v>1</v>
      </c>
      <c r="AJ35" s="31">
        <v>1</v>
      </c>
      <c r="AK35" s="33">
        <f t="shared" si="9"/>
        <v>4</v>
      </c>
      <c r="AL35" s="30">
        <v>3</v>
      </c>
      <c r="AM35" s="32">
        <f t="shared" si="61"/>
        <v>1</v>
      </c>
      <c r="AN35" s="31">
        <v>1</v>
      </c>
      <c r="AO35" s="33">
        <f t="shared" si="10"/>
        <v>5</v>
      </c>
      <c r="AP35" s="30">
        <v>3</v>
      </c>
      <c r="AQ35" s="32">
        <f t="shared" si="26"/>
        <v>2</v>
      </c>
      <c r="AR35" s="31"/>
      <c r="AS35" s="33">
        <f t="shared" si="11"/>
        <v>3</v>
      </c>
      <c r="AT35" s="30">
        <v>2</v>
      </c>
      <c r="AU35" s="32">
        <f t="shared" si="27"/>
        <v>1</v>
      </c>
      <c r="AV35" s="31">
        <v>1</v>
      </c>
      <c r="AW35" s="33">
        <f t="shared" si="40"/>
        <v>4</v>
      </c>
      <c r="AX35" s="30">
        <v>2</v>
      </c>
      <c r="AY35" s="32">
        <f t="shared" si="55"/>
        <v>2</v>
      </c>
      <c r="AZ35" s="31">
        <v>1</v>
      </c>
      <c r="BA35" s="33">
        <f t="shared" si="63"/>
        <v>4</v>
      </c>
      <c r="BB35" s="30">
        <v>4</v>
      </c>
      <c r="BC35" s="32">
        <f t="shared" si="64"/>
        <v>0</v>
      </c>
      <c r="BD35" s="31"/>
      <c r="BE35" s="33">
        <f t="shared" si="65"/>
        <v>4</v>
      </c>
      <c r="BF35" s="30">
        <v>2</v>
      </c>
      <c r="BG35" s="32">
        <f t="shared" si="28"/>
        <v>2</v>
      </c>
      <c r="BH35" s="31">
        <v>2</v>
      </c>
      <c r="BI35" s="33">
        <f t="shared" si="66"/>
        <v>6</v>
      </c>
      <c r="BJ35" s="30">
        <v>4</v>
      </c>
      <c r="BK35" s="32">
        <f t="shared" si="29"/>
        <v>2</v>
      </c>
      <c r="BL35" s="31"/>
      <c r="BM35" s="33">
        <f t="shared" si="67"/>
        <v>4</v>
      </c>
      <c r="BN35" s="30"/>
      <c r="BO35" s="32">
        <f t="shared" si="68"/>
        <v>4</v>
      </c>
      <c r="BP35" s="31"/>
      <c r="BQ35" s="33">
        <f t="shared" si="69"/>
        <v>0</v>
      </c>
      <c r="BR35" s="30"/>
      <c r="BS35" s="32">
        <f t="shared" si="70"/>
        <v>0</v>
      </c>
      <c r="BT35" s="31"/>
      <c r="BU35" s="33">
        <f t="shared" si="71"/>
        <v>0</v>
      </c>
      <c r="BV35" s="30"/>
      <c r="BW35" s="32">
        <f t="shared" si="72"/>
        <v>0</v>
      </c>
      <c r="BX35" s="31"/>
      <c r="BY35" s="33">
        <f t="shared" si="73"/>
        <v>0</v>
      </c>
      <c r="BZ35" s="30"/>
      <c r="CA35" s="32">
        <f t="shared" si="74"/>
        <v>0</v>
      </c>
      <c r="CB35" s="31"/>
      <c r="CC35" s="33">
        <f t="shared" si="75"/>
        <v>0</v>
      </c>
    </row>
    <row r="36" spans="1:81" ht="20.100000000000001" hidden="1" customHeight="1" x14ac:dyDescent="0.2">
      <c r="A36" s="19" t="s">
        <v>34</v>
      </c>
      <c r="B36" s="9" t="s">
        <v>7</v>
      </c>
      <c r="C36" s="10">
        <v>4</v>
      </c>
      <c r="D36" s="9" t="s">
        <v>9</v>
      </c>
      <c r="E36" s="13">
        <v>4</v>
      </c>
      <c r="F36" s="30">
        <v>3</v>
      </c>
      <c r="G36" s="32">
        <v>0</v>
      </c>
      <c r="H36" s="31"/>
      <c r="I36" s="33">
        <f t="shared" si="62"/>
        <v>3</v>
      </c>
      <c r="J36" s="30">
        <v>3</v>
      </c>
      <c r="K36" s="32">
        <f t="shared" si="30"/>
        <v>0</v>
      </c>
      <c r="L36" s="31"/>
      <c r="M36" s="33">
        <f t="shared" si="56"/>
        <v>3</v>
      </c>
      <c r="N36" s="30">
        <v>3</v>
      </c>
      <c r="O36" s="32">
        <f t="shared" si="31"/>
        <v>0</v>
      </c>
      <c r="P36" s="34"/>
      <c r="Q36" s="33">
        <f t="shared" si="57"/>
        <v>3</v>
      </c>
      <c r="R36" s="30">
        <v>2</v>
      </c>
      <c r="S36" s="32">
        <f t="shared" si="32"/>
        <v>1</v>
      </c>
      <c r="T36" s="31"/>
      <c r="U36" s="33">
        <f t="shared" si="58"/>
        <v>2</v>
      </c>
      <c r="V36" s="30">
        <v>2</v>
      </c>
      <c r="W36" s="32">
        <f t="shared" si="59"/>
        <v>0</v>
      </c>
      <c r="X36" s="31"/>
      <c r="Y36" s="33">
        <f t="shared" si="4"/>
        <v>2</v>
      </c>
      <c r="Z36" s="30">
        <v>2</v>
      </c>
      <c r="AA36" s="32">
        <f t="shared" si="5"/>
        <v>0</v>
      </c>
      <c r="AB36" s="31"/>
      <c r="AC36" s="33">
        <f t="shared" si="6"/>
        <v>2</v>
      </c>
      <c r="AD36" s="30">
        <v>2</v>
      </c>
      <c r="AE36" s="32">
        <f t="shared" si="7"/>
        <v>0</v>
      </c>
      <c r="AF36" s="31"/>
      <c r="AG36" s="33">
        <f t="shared" si="8"/>
        <v>2</v>
      </c>
      <c r="AH36" s="30">
        <v>2</v>
      </c>
      <c r="AI36" s="32">
        <f t="shared" si="60"/>
        <v>0</v>
      </c>
      <c r="AJ36" s="31"/>
      <c r="AK36" s="33">
        <f t="shared" si="9"/>
        <v>2</v>
      </c>
      <c r="AL36" s="30">
        <v>2</v>
      </c>
      <c r="AM36" s="32">
        <f t="shared" si="61"/>
        <v>0</v>
      </c>
      <c r="AN36" s="31"/>
      <c r="AO36" s="33">
        <f t="shared" si="10"/>
        <v>2</v>
      </c>
      <c r="AP36" s="30">
        <v>2</v>
      </c>
      <c r="AQ36" s="32">
        <f t="shared" si="26"/>
        <v>0</v>
      </c>
      <c r="AR36" s="31"/>
      <c r="AS36" s="33">
        <f t="shared" si="11"/>
        <v>2</v>
      </c>
      <c r="AT36" s="30">
        <v>2</v>
      </c>
      <c r="AU36" s="32">
        <f t="shared" si="27"/>
        <v>0</v>
      </c>
      <c r="AV36" s="31"/>
      <c r="AW36" s="33">
        <f t="shared" si="40"/>
        <v>2</v>
      </c>
      <c r="AX36" s="30">
        <v>2</v>
      </c>
      <c r="AY36" s="32">
        <f t="shared" si="55"/>
        <v>0</v>
      </c>
      <c r="AZ36" s="31"/>
      <c r="BA36" s="33">
        <f t="shared" si="63"/>
        <v>2</v>
      </c>
      <c r="BB36" s="30">
        <v>2</v>
      </c>
      <c r="BC36" s="32">
        <f t="shared" si="64"/>
        <v>0</v>
      </c>
      <c r="BD36" s="31"/>
      <c r="BE36" s="33">
        <f t="shared" si="65"/>
        <v>2</v>
      </c>
      <c r="BF36" s="30">
        <v>2</v>
      </c>
      <c r="BG36" s="32">
        <f t="shared" si="28"/>
        <v>0</v>
      </c>
      <c r="BH36" s="31"/>
      <c r="BI36" s="33">
        <f t="shared" si="66"/>
        <v>2</v>
      </c>
      <c r="BJ36" s="30">
        <v>2</v>
      </c>
      <c r="BK36" s="32">
        <f t="shared" si="29"/>
        <v>0</v>
      </c>
      <c r="BL36" s="31"/>
      <c r="BM36" s="33">
        <f t="shared" si="67"/>
        <v>2</v>
      </c>
      <c r="BN36" s="30"/>
      <c r="BO36" s="32">
        <f t="shared" si="68"/>
        <v>2</v>
      </c>
      <c r="BP36" s="31"/>
      <c r="BQ36" s="33">
        <f t="shared" si="69"/>
        <v>0</v>
      </c>
      <c r="BR36" s="30"/>
      <c r="BS36" s="32">
        <f t="shared" si="70"/>
        <v>0</v>
      </c>
      <c r="BT36" s="31"/>
      <c r="BU36" s="33">
        <f t="shared" si="71"/>
        <v>0</v>
      </c>
      <c r="BV36" s="30"/>
      <c r="BW36" s="32">
        <f t="shared" si="72"/>
        <v>0</v>
      </c>
      <c r="BX36" s="31"/>
      <c r="BY36" s="33">
        <f t="shared" si="73"/>
        <v>0</v>
      </c>
      <c r="BZ36" s="30"/>
      <c r="CA36" s="32">
        <f t="shared" si="74"/>
        <v>0</v>
      </c>
      <c r="CB36" s="31"/>
      <c r="CC36" s="33">
        <f t="shared" si="75"/>
        <v>0</v>
      </c>
    </row>
    <row r="37" spans="1:81" ht="20.100000000000001" hidden="1" customHeight="1" x14ac:dyDescent="0.2">
      <c r="A37" s="19" t="s">
        <v>152</v>
      </c>
      <c r="B37" s="9" t="s">
        <v>7</v>
      </c>
      <c r="C37" s="14">
        <v>3200</v>
      </c>
      <c r="D37" s="9" t="s">
        <v>9</v>
      </c>
      <c r="E37" s="13">
        <v>3200</v>
      </c>
      <c r="F37" s="30">
        <v>1650</v>
      </c>
      <c r="G37" s="32">
        <v>250</v>
      </c>
      <c r="H37" s="31"/>
      <c r="I37" s="33">
        <f>+F37+H37*$E37</f>
        <v>1650</v>
      </c>
      <c r="J37" s="30">
        <f>400*3</f>
        <v>1200</v>
      </c>
      <c r="K37" s="32">
        <f>+I37-J37</f>
        <v>450</v>
      </c>
      <c r="L37" s="31"/>
      <c r="M37" s="33">
        <f>+J37+L37*$E37</f>
        <v>1200</v>
      </c>
      <c r="N37" s="30">
        <v>750</v>
      </c>
      <c r="O37" s="32">
        <f>+M37-N37</f>
        <v>450</v>
      </c>
      <c r="P37" s="34"/>
      <c r="Q37" s="33">
        <f>+N37+P37*$E37</f>
        <v>750</v>
      </c>
      <c r="R37" s="30">
        <v>180</v>
      </c>
      <c r="S37" s="32">
        <f>+Q37-R37</f>
        <v>570</v>
      </c>
      <c r="T37" s="31">
        <v>1</v>
      </c>
      <c r="U37" s="33">
        <f>+R37+T37*$E37</f>
        <v>3380</v>
      </c>
      <c r="V37" s="30">
        <v>3100</v>
      </c>
      <c r="W37" s="32">
        <f>+U37-V37</f>
        <v>280</v>
      </c>
      <c r="X37" s="31"/>
      <c r="Y37" s="33">
        <f>+V37+X37*$E37</f>
        <v>3100</v>
      </c>
      <c r="Z37" s="30">
        <f>6*400+70</f>
        <v>2470</v>
      </c>
      <c r="AA37" s="32">
        <f t="shared" si="5"/>
        <v>630</v>
      </c>
      <c r="AB37" s="31"/>
      <c r="AC37" s="33">
        <f>+Z37+AB37*$E37</f>
        <v>2470</v>
      </c>
      <c r="AD37" s="30">
        <f>5*400+200</f>
        <v>2200</v>
      </c>
      <c r="AE37" s="32">
        <f t="shared" si="7"/>
        <v>270</v>
      </c>
      <c r="AF37" s="31"/>
      <c r="AG37" s="33">
        <f>+AD37+AF37*$E37</f>
        <v>2200</v>
      </c>
      <c r="AH37" s="30">
        <v>2000</v>
      </c>
      <c r="AI37" s="32">
        <f>+AG37-AH37</f>
        <v>200</v>
      </c>
      <c r="AJ37" s="31"/>
      <c r="AK37" s="33">
        <f>+AH37+AJ37*$E37</f>
        <v>2000</v>
      </c>
      <c r="AL37" s="30">
        <f>800+350</f>
        <v>1150</v>
      </c>
      <c r="AM37" s="32">
        <f>+AK37-AL37</f>
        <v>850</v>
      </c>
      <c r="AN37" s="31"/>
      <c r="AO37" s="33">
        <f>+AL37+AN37*$E37</f>
        <v>1150</v>
      </c>
      <c r="AP37" s="30">
        <v>800</v>
      </c>
      <c r="AQ37" s="32">
        <f t="shared" si="26"/>
        <v>350</v>
      </c>
      <c r="AR37" s="31"/>
      <c r="AS37" s="33">
        <f>+AP37+AR37*$E37</f>
        <v>800</v>
      </c>
      <c r="AT37" s="30">
        <v>350</v>
      </c>
      <c r="AU37" s="32">
        <f t="shared" si="27"/>
        <v>450</v>
      </c>
      <c r="AV37" s="31">
        <v>1</v>
      </c>
      <c r="AW37" s="33">
        <f>+AT37+AV37*$E37</f>
        <v>3550</v>
      </c>
      <c r="AX37" s="30">
        <f>6*400+350</f>
        <v>2750</v>
      </c>
      <c r="AY37" s="32">
        <f t="shared" si="55"/>
        <v>800</v>
      </c>
      <c r="AZ37" s="31"/>
      <c r="BA37" s="33">
        <f>+AX37+AZ37*$E37</f>
        <v>2750</v>
      </c>
      <c r="BB37" s="30">
        <v>2508</v>
      </c>
      <c r="BC37" s="32">
        <f>+BA37-BB37</f>
        <v>242</v>
      </c>
      <c r="BD37" s="31"/>
      <c r="BE37" s="33">
        <f>+BB37+BD37*$E37</f>
        <v>2508</v>
      </c>
      <c r="BF37" s="30">
        <v>2400</v>
      </c>
      <c r="BG37" s="32">
        <f t="shared" si="28"/>
        <v>108</v>
      </c>
      <c r="BH37" s="31"/>
      <c r="BI37" s="33">
        <f>+BF37+BH37*$E37</f>
        <v>2400</v>
      </c>
      <c r="BJ37" s="30">
        <v>2200</v>
      </c>
      <c r="BK37" s="32">
        <f t="shared" si="29"/>
        <v>200</v>
      </c>
      <c r="BL37" s="31"/>
      <c r="BM37" s="33">
        <f>+BJ37+BL37*$E37</f>
        <v>2200</v>
      </c>
      <c r="BN37" s="30"/>
      <c r="BO37" s="32">
        <f>+BM37-BN37</f>
        <v>2200</v>
      </c>
      <c r="BP37" s="31"/>
      <c r="BQ37" s="33">
        <f>+BN37+BP37*$E37</f>
        <v>0</v>
      </c>
      <c r="BR37" s="30"/>
      <c r="BS37" s="32">
        <f>+BQ37-BR37</f>
        <v>0</v>
      </c>
      <c r="BT37" s="31"/>
      <c r="BU37" s="33">
        <f>+BR37+BT37*$E37</f>
        <v>0</v>
      </c>
      <c r="BV37" s="30"/>
      <c r="BW37" s="32">
        <f>+BQ37-BV37</f>
        <v>0</v>
      </c>
      <c r="BX37" s="31"/>
      <c r="BY37" s="33">
        <f>+BV37+BX37*$E37</f>
        <v>0</v>
      </c>
      <c r="BZ37" s="30"/>
      <c r="CA37" s="32">
        <f>+BQ37-BZ37</f>
        <v>0</v>
      </c>
      <c r="CB37" s="31"/>
      <c r="CC37" s="33">
        <f>+BZ37+CB37*$E37</f>
        <v>0</v>
      </c>
    </row>
    <row r="38" spans="1:81" ht="20.100000000000001" hidden="1" customHeight="1" x14ac:dyDescent="0.2">
      <c r="A38" s="19" t="s">
        <v>279</v>
      </c>
      <c r="B38" s="9" t="s">
        <v>7</v>
      </c>
      <c r="C38" s="14">
        <v>500</v>
      </c>
      <c r="D38" s="9" t="s">
        <v>9</v>
      </c>
      <c r="E38" s="13">
        <v>500</v>
      </c>
      <c r="F38" s="30">
        <v>1.3</v>
      </c>
      <c r="G38" s="32">
        <v>9.9999999999999867E-2</v>
      </c>
      <c r="H38" s="31"/>
      <c r="I38" s="33">
        <f t="shared" ref="I38:I58" si="76">+F38+H38*$E38</f>
        <v>1.3</v>
      </c>
      <c r="J38" s="30">
        <v>1.2</v>
      </c>
      <c r="K38" s="32">
        <f t="shared" ref="K38:K58" si="77">+I38-J38</f>
        <v>0.10000000000000009</v>
      </c>
      <c r="L38" s="31"/>
      <c r="M38" s="33">
        <f t="shared" ref="M38:M58" si="78">+J38+L38*$E38</f>
        <v>1.2</v>
      </c>
      <c r="N38" s="30">
        <v>1.2</v>
      </c>
      <c r="O38" s="32">
        <f t="shared" ref="O38:O58" si="79">+M38-N38</f>
        <v>0</v>
      </c>
      <c r="P38" s="34"/>
      <c r="Q38" s="33">
        <f t="shared" ref="Q38:Q58" si="80">+N38+P38*$E38</f>
        <v>1.2</v>
      </c>
      <c r="R38" s="30">
        <v>1.2</v>
      </c>
      <c r="S38" s="32">
        <f t="shared" ref="S38:S56" si="81">+Q38-R38</f>
        <v>0</v>
      </c>
      <c r="T38" s="31"/>
      <c r="U38" s="33">
        <f t="shared" ref="U38:U56" si="82">+R38+T38*$E38</f>
        <v>1.2</v>
      </c>
      <c r="V38" s="30">
        <v>1.1000000000000001</v>
      </c>
      <c r="W38" s="32">
        <f t="shared" ref="W38:W56" si="83">+U38-V38</f>
        <v>9.9999999999999867E-2</v>
      </c>
      <c r="X38" s="31"/>
      <c r="Y38" s="33">
        <f t="shared" ref="Y38:Y56" si="84">+V38+X38*$E38</f>
        <v>1.1000000000000001</v>
      </c>
      <c r="Z38" s="30">
        <v>1.1000000000000001</v>
      </c>
      <c r="AA38" s="32">
        <f t="shared" si="5"/>
        <v>0</v>
      </c>
      <c r="AB38" s="31"/>
      <c r="AC38" s="33">
        <f t="shared" ref="AC38:AC58" si="85">+Z38+AB38*$E38</f>
        <v>1.1000000000000001</v>
      </c>
      <c r="AD38" s="30">
        <v>1.1000000000000001</v>
      </c>
      <c r="AE38" s="32">
        <f t="shared" si="7"/>
        <v>0</v>
      </c>
      <c r="AF38" s="31"/>
      <c r="AG38" s="33">
        <f t="shared" ref="AG38:AG58" si="86">+AD38+AF38*$E38</f>
        <v>1.1000000000000001</v>
      </c>
      <c r="AH38" s="30">
        <v>1.1000000000000001</v>
      </c>
      <c r="AI38" s="32">
        <f t="shared" ref="AI38:AI58" si="87">+AG38-AH38</f>
        <v>0</v>
      </c>
      <c r="AJ38" s="31"/>
      <c r="AK38" s="33">
        <f t="shared" ref="AK38:AK58" si="88">+AH38+AJ38*$E38</f>
        <v>1.1000000000000001</v>
      </c>
      <c r="AL38" s="30">
        <v>1.1000000000000001</v>
      </c>
      <c r="AM38" s="32">
        <f t="shared" ref="AM38:AM58" si="89">+AK38-AL38</f>
        <v>0</v>
      </c>
      <c r="AN38" s="31"/>
      <c r="AO38" s="33">
        <f t="shared" ref="AO38:AO58" si="90">+AL38+AN38*$E38</f>
        <v>1.1000000000000001</v>
      </c>
      <c r="AP38" s="30">
        <v>1.1000000000000001</v>
      </c>
      <c r="AQ38" s="32">
        <f t="shared" si="26"/>
        <v>0</v>
      </c>
      <c r="AR38" s="31"/>
      <c r="AS38" s="33">
        <f t="shared" ref="AS38:AS58" si="91">+AP38+AR38*$E38</f>
        <v>1.1000000000000001</v>
      </c>
      <c r="AT38" s="30">
        <v>1.1000000000000001</v>
      </c>
      <c r="AU38" s="32">
        <f t="shared" si="27"/>
        <v>0</v>
      </c>
      <c r="AV38" s="31"/>
      <c r="AW38" s="33">
        <f t="shared" ref="AW38:AW58" si="92">+AT38+AV38*$E38</f>
        <v>1.1000000000000001</v>
      </c>
      <c r="AX38" s="30">
        <v>1.1000000000000001</v>
      </c>
      <c r="AY38" s="32">
        <f t="shared" si="55"/>
        <v>0</v>
      </c>
      <c r="AZ38" s="31"/>
      <c r="BA38" s="33">
        <f t="shared" ref="BA38:BA63" si="93">+AX38+AZ38*$E38</f>
        <v>1.1000000000000001</v>
      </c>
      <c r="BB38" s="30">
        <v>1.1000000000000001</v>
      </c>
      <c r="BC38" s="32">
        <f t="shared" ref="BC38:BC63" si="94">+BA38-BB38</f>
        <v>0</v>
      </c>
      <c r="BD38" s="31"/>
      <c r="BE38" s="33">
        <f t="shared" ref="BE38:BE63" si="95">+BB38+BD38*$E38</f>
        <v>1.1000000000000001</v>
      </c>
      <c r="BF38" s="30">
        <v>1.1000000000000001</v>
      </c>
      <c r="BG38" s="32">
        <f t="shared" si="28"/>
        <v>0</v>
      </c>
      <c r="BH38" s="31"/>
      <c r="BI38" s="33">
        <f t="shared" ref="BI38:BI63" si="96">+BF38+BH38*$E38</f>
        <v>1.1000000000000001</v>
      </c>
      <c r="BJ38" s="30">
        <v>1.1000000000000001</v>
      </c>
      <c r="BK38" s="32">
        <f t="shared" si="29"/>
        <v>0</v>
      </c>
      <c r="BL38" s="31"/>
      <c r="BM38" s="33">
        <f t="shared" ref="BM38:BM63" si="97">+BJ38+BL38*$E38</f>
        <v>1.1000000000000001</v>
      </c>
      <c r="BN38" s="30"/>
      <c r="BO38" s="32">
        <f t="shared" ref="BO38:BO63" si="98">+BM38-BN38</f>
        <v>1.1000000000000001</v>
      </c>
      <c r="BP38" s="31"/>
      <c r="BQ38" s="33">
        <f t="shared" ref="BQ38:BQ63" si="99">+BN38+BP38*$E38</f>
        <v>0</v>
      </c>
      <c r="BR38" s="30"/>
      <c r="BS38" s="32">
        <f t="shared" ref="BS38:BS63" si="100">+BQ38-BR38</f>
        <v>0</v>
      </c>
      <c r="BT38" s="31"/>
      <c r="BU38" s="33">
        <f t="shared" ref="BU38:BU63" si="101">+BR38+BT38*$E38</f>
        <v>0</v>
      </c>
      <c r="BV38" s="30"/>
      <c r="BW38" s="32">
        <f t="shared" ref="BW38:BW63" si="102">+BQ38-BV38</f>
        <v>0</v>
      </c>
      <c r="BX38" s="31"/>
      <c r="BY38" s="33">
        <f t="shared" ref="BY38:BY63" si="103">+BV38+BX38*$E38</f>
        <v>0</v>
      </c>
      <c r="BZ38" s="30"/>
      <c r="CA38" s="32">
        <f t="shared" ref="CA38:CA63" si="104">+BQ38-BZ38</f>
        <v>0</v>
      </c>
      <c r="CB38" s="31"/>
      <c r="CC38" s="33">
        <f t="shared" ref="CC38:CC63" si="105">+BZ38+CB38*$E38</f>
        <v>0</v>
      </c>
    </row>
    <row r="39" spans="1:81" ht="20.100000000000001" customHeight="1" x14ac:dyDescent="0.2">
      <c r="A39" s="19" t="s">
        <v>280</v>
      </c>
      <c r="B39" s="9" t="s">
        <v>7</v>
      </c>
      <c r="C39" s="14">
        <v>6</v>
      </c>
      <c r="D39" s="9" t="s">
        <v>9</v>
      </c>
      <c r="E39" s="13">
        <v>6</v>
      </c>
      <c r="F39" s="30">
        <v>9</v>
      </c>
      <c r="G39" s="32">
        <v>2</v>
      </c>
      <c r="H39" s="31"/>
      <c r="I39" s="33">
        <f t="shared" si="76"/>
        <v>9</v>
      </c>
      <c r="J39" s="30">
        <v>8</v>
      </c>
      <c r="K39" s="32">
        <f t="shared" si="77"/>
        <v>1</v>
      </c>
      <c r="L39" s="31"/>
      <c r="M39" s="33">
        <f t="shared" si="78"/>
        <v>8</v>
      </c>
      <c r="N39" s="30">
        <v>6</v>
      </c>
      <c r="O39" s="32">
        <f t="shared" si="79"/>
        <v>2</v>
      </c>
      <c r="P39" s="34"/>
      <c r="Q39" s="33">
        <f t="shared" si="80"/>
        <v>6</v>
      </c>
      <c r="R39" s="30">
        <v>4</v>
      </c>
      <c r="S39" s="32">
        <f t="shared" si="81"/>
        <v>2</v>
      </c>
      <c r="T39" s="31">
        <v>1</v>
      </c>
      <c r="U39" s="33">
        <f t="shared" si="82"/>
        <v>10</v>
      </c>
      <c r="V39" s="30">
        <v>9</v>
      </c>
      <c r="W39" s="32">
        <f t="shared" si="83"/>
        <v>1</v>
      </c>
      <c r="X39" s="31"/>
      <c r="Y39" s="33">
        <f t="shared" si="84"/>
        <v>9</v>
      </c>
      <c r="Z39" s="30">
        <v>5</v>
      </c>
      <c r="AA39" s="32">
        <f t="shared" si="5"/>
        <v>4</v>
      </c>
      <c r="AB39" s="34">
        <v>1</v>
      </c>
      <c r="AC39" s="33">
        <f t="shared" si="85"/>
        <v>11</v>
      </c>
      <c r="AD39" s="30">
        <v>11</v>
      </c>
      <c r="AE39" s="32">
        <f t="shared" si="7"/>
        <v>0</v>
      </c>
      <c r="AF39" s="31"/>
      <c r="AG39" s="33">
        <f t="shared" si="86"/>
        <v>11</v>
      </c>
      <c r="AH39" s="30">
        <v>9</v>
      </c>
      <c r="AI39" s="32">
        <f t="shared" si="87"/>
        <v>2</v>
      </c>
      <c r="AJ39" s="31"/>
      <c r="AK39" s="33">
        <f t="shared" si="88"/>
        <v>9</v>
      </c>
      <c r="AL39" s="30">
        <v>5</v>
      </c>
      <c r="AM39" s="32">
        <f t="shared" si="89"/>
        <v>4</v>
      </c>
      <c r="AN39" s="31">
        <v>1</v>
      </c>
      <c r="AO39" s="33">
        <f t="shared" si="90"/>
        <v>11</v>
      </c>
      <c r="AP39" s="30">
        <v>9</v>
      </c>
      <c r="AQ39" s="32">
        <f t="shared" si="26"/>
        <v>2</v>
      </c>
      <c r="AR39" s="31"/>
      <c r="AS39" s="33">
        <f t="shared" si="91"/>
        <v>9</v>
      </c>
      <c r="AT39" s="30">
        <v>9</v>
      </c>
      <c r="AU39" s="32">
        <f t="shared" si="27"/>
        <v>0</v>
      </c>
      <c r="AV39" s="31"/>
      <c r="AW39" s="33">
        <f t="shared" si="92"/>
        <v>9</v>
      </c>
      <c r="AX39" s="30">
        <v>8</v>
      </c>
      <c r="AY39" s="32">
        <f t="shared" si="55"/>
        <v>1</v>
      </c>
      <c r="AZ39" s="31"/>
      <c r="BA39" s="33">
        <f t="shared" si="93"/>
        <v>8</v>
      </c>
      <c r="BB39" s="30">
        <v>7</v>
      </c>
      <c r="BC39" s="32">
        <f t="shared" si="94"/>
        <v>1</v>
      </c>
      <c r="BD39" s="31"/>
      <c r="BE39" s="33">
        <f t="shared" si="95"/>
        <v>7</v>
      </c>
      <c r="BF39" s="30">
        <v>5</v>
      </c>
      <c r="BG39" s="32">
        <f t="shared" si="28"/>
        <v>2</v>
      </c>
      <c r="BH39" s="31">
        <v>1</v>
      </c>
      <c r="BI39" s="33">
        <f t="shared" si="96"/>
        <v>11</v>
      </c>
      <c r="BJ39" s="30">
        <v>7</v>
      </c>
      <c r="BK39" s="32">
        <f t="shared" si="29"/>
        <v>4</v>
      </c>
      <c r="BL39" s="31">
        <v>1</v>
      </c>
      <c r="BM39" s="33">
        <f t="shared" si="97"/>
        <v>13</v>
      </c>
      <c r="BN39" s="30"/>
      <c r="BO39" s="32">
        <f t="shared" si="98"/>
        <v>13</v>
      </c>
      <c r="BP39" s="31"/>
      <c r="BQ39" s="33">
        <f t="shared" si="99"/>
        <v>0</v>
      </c>
      <c r="BR39" s="30"/>
      <c r="BS39" s="32">
        <f t="shared" si="100"/>
        <v>0</v>
      </c>
      <c r="BT39" s="31"/>
      <c r="BU39" s="33">
        <f t="shared" si="101"/>
        <v>0</v>
      </c>
      <c r="BV39" s="30"/>
      <c r="BW39" s="32">
        <f t="shared" si="102"/>
        <v>0</v>
      </c>
      <c r="BX39" s="31"/>
      <c r="BY39" s="33">
        <f t="shared" si="103"/>
        <v>0</v>
      </c>
      <c r="BZ39" s="30"/>
      <c r="CA39" s="32">
        <f t="shared" si="104"/>
        <v>0</v>
      </c>
      <c r="CB39" s="31"/>
      <c r="CC39" s="33">
        <f t="shared" si="105"/>
        <v>0</v>
      </c>
    </row>
    <row r="40" spans="1:81" ht="20.100000000000001" hidden="1" customHeight="1" x14ac:dyDescent="0.2">
      <c r="A40" s="19" t="s">
        <v>35</v>
      </c>
      <c r="B40" s="9" t="s">
        <v>7</v>
      </c>
      <c r="C40" s="10">
        <v>10</v>
      </c>
      <c r="D40" s="9" t="s">
        <v>8</v>
      </c>
      <c r="E40" s="13">
        <v>10</v>
      </c>
      <c r="F40" s="30">
        <v>13.1</v>
      </c>
      <c r="G40" s="32">
        <v>2.8000000000000007</v>
      </c>
      <c r="H40" s="31"/>
      <c r="I40" s="33">
        <f t="shared" si="76"/>
        <v>13.1</v>
      </c>
      <c r="J40" s="30">
        <v>11</v>
      </c>
      <c r="K40" s="32">
        <f t="shared" si="77"/>
        <v>2.0999999999999996</v>
      </c>
      <c r="L40" s="31"/>
      <c r="M40" s="33">
        <f t="shared" si="78"/>
        <v>11</v>
      </c>
      <c r="N40" s="30">
        <v>7.5</v>
      </c>
      <c r="O40" s="32">
        <f t="shared" si="79"/>
        <v>3.5</v>
      </c>
      <c r="P40" s="34"/>
      <c r="Q40" s="33">
        <f t="shared" si="80"/>
        <v>7.5</v>
      </c>
      <c r="R40" s="30">
        <v>6.1</v>
      </c>
      <c r="S40" s="32">
        <f t="shared" si="81"/>
        <v>1.4000000000000004</v>
      </c>
      <c r="T40" s="31"/>
      <c r="U40" s="33">
        <f t="shared" si="82"/>
        <v>6.1</v>
      </c>
      <c r="V40" s="30">
        <v>4.8</v>
      </c>
      <c r="W40" s="32">
        <f t="shared" si="83"/>
        <v>1.2999999999999998</v>
      </c>
      <c r="X40" s="31"/>
      <c r="Y40" s="33">
        <f t="shared" si="84"/>
        <v>4.8</v>
      </c>
      <c r="Z40" s="30">
        <v>3.5</v>
      </c>
      <c r="AA40" s="32">
        <f t="shared" si="5"/>
        <v>1.2999999999999998</v>
      </c>
      <c r="AB40" s="34">
        <v>1</v>
      </c>
      <c r="AC40" s="33">
        <f t="shared" si="85"/>
        <v>13.5</v>
      </c>
      <c r="AD40" s="30">
        <v>10</v>
      </c>
      <c r="AE40" s="32">
        <f t="shared" si="7"/>
        <v>3.5</v>
      </c>
      <c r="AF40" s="31"/>
      <c r="AG40" s="33">
        <f t="shared" si="86"/>
        <v>10</v>
      </c>
      <c r="AH40" s="30">
        <v>8</v>
      </c>
      <c r="AI40" s="32">
        <f t="shared" si="87"/>
        <v>2</v>
      </c>
      <c r="AJ40" s="31"/>
      <c r="AK40" s="33">
        <f t="shared" si="88"/>
        <v>8</v>
      </c>
      <c r="AL40" s="30">
        <v>6.2</v>
      </c>
      <c r="AM40" s="32">
        <f t="shared" si="89"/>
        <v>1.7999999999999998</v>
      </c>
      <c r="AN40" s="31"/>
      <c r="AO40" s="33">
        <f t="shared" si="90"/>
        <v>6.2</v>
      </c>
      <c r="AP40" s="30">
        <v>5.5</v>
      </c>
      <c r="AQ40" s="32">
        <f t="shared" si="26"/>
        <v>0.70000000000000018</v>
      </c>
      <c r="AR40" s="31">
        <v>1</v>
      </c>
      <c r="AS40" s="33">
        <f t="shared" si="91"/>
        <v>15.5</v>
      </c>
      <c r="AT40" s="30">
        <v>10.5</v>
      </c>
      <c r="AU40" s="32">
        <f t="shared" si="27"/>
        <v>5</v>
      </c>
      <c r="AV40" s="31"/>
      <c r="AW40" s="33">
        <f t="shared" si="92"/>
        <v>10.5</v>
      </c>
      <c r="AX40" s="30">
        <v>7.5</v>
      </c>
      <c r="AY40" s="32">
        <f t="shared" si="55"/>
        <v>3</v>
      </c>
      <c r="AZ40" s="31"/>
      <c r="BA40" s="33">
        <f t="shared" si="93"/>
        <v>7.5</v>
      </c>
      <c r="BB40" s="30">
        <v>6.2</v>
      </c>
      <c r="BC40" s="32">
        <f t="shared" si="94"/>
        <v>1.2999999999999998</v>
      </c>
      <c r="BD40" s="31"/>
      <c r="BE40" s="33">
        <f t="shared" si="95"/>
        <v>6.2</v>
      </c>
      <c r="BF40" s="30">
        <v>4.3</v>
      </c>
      <c r="BG40" s="32">
        <f t="shared" si="28"/>
        <v>1.9000000000000004</v>
      </c>
      <c r="BH40" s="31">
        <v>1</v>
      </c>
      <c r="BI40" s="33">
        <f t="shared" si="96"/>
        <v>14.3</v>
      </c>
      <c r="BJ40" s="30">
        <v>13.2</v>
      </c>
      <c r="BK40" s="32">
        <f t="shared" si="29"/>
        <v>1.1000000000000014</v>
      </c>
      <c r="BL40" s="31"/>
      <c r="BM40" s="33">
        <f t="shared" si="97"/>
        <v>13.2</v>
      </c>
      <c r="BN40" s="30"/>
      <c r="BO40" s="32">
        <f t="shared" si="98"/>
        <v>13.2</v>
      </c>
      <c r="BP40" s="31"/>
      <c r="BQ40" s="33">
        <f t="shared" si="99"/>
        <v>0</v>
      </c>
      <c r="BR40" s="30"/>
      <c r="BS40" s="32">
        <f t="shared" si="100"/>
        <v>0</v>
      </c>
      <c r="BT40" s="31"/>
      <c r="BU40" s="33">
        <f t="shared" si="101"/>
        <v>0</v>
      </c>
      <c r="BV40" s="30"/>
      <c r="BW40" s="32">
        <f t="shared" si="102"/>
        <v>0</v>
      </c>
      <c r="BX40" s="31"/>
      <c r="BY40" s="33">
        <f t="shared" si="103"/>
        <v>0</v>
      </c>
      <c r="BZ40" s="30"/>
      <c r="CA40" s="32">
        <f t="shared" si="104"/>
        <v>0</v>
      </c>
      <c r="CB40" s="31"/>
      <c r="CC40" s="33">
        <f t="shared" si="105"/>
        <v>0</v>
      </c>
    </row>
    <row r="41" spans="1:81" ht="20.100000000000001" hidden="1" customHeight="1" x14ac:dyDescent="0.2">
      <c r="A41" s="19" t="s">
        <v>281</v>
      </c>
      <c r="B41" s="9" t="s">
        <v>7</v>
      </c>
      <c r="C41" s="14">
        <v>2500</v>
      </c>
      <c r="D41" s="9" t="s">
        <v>9</v>
      </c>
      <c r="E41" s="13">
        <v>2500</v>
      </c>
      <c r="F41" s="30">
        <v>500</v>
      </c>
      <c r="G41" s="32">
        <v>0</v>
      </c>
      <c r="H41" s="31"/>
      <c r="I41" s="33">
        <f t="shared" si="76"/>
        <v>500</v>
      </c>
      <c r="J41" s="30">
        <v>500</v>
      </c>
      <c r="K41" s="32">
        <f t="shared" si="77"/>
        <v>0</v>
      </c>
      <c r="L41" s="31"/>
      <c r="M41" s="33">
        <f t="shared" si="78"/>
        <v>500</v>
      </c>
      <c r="N41" s="30">
        <v>500</v>
      </c>
      <c r="O41" s="32">
        <f t="shared" si="79"/>
        <v>0</v>
      </c>
      <c r="P41" s="34"/>
      <c r="Q41" s="33">
        <f t="shared" si="80"/>
        <v>500</v>
      </c>
      <c r="R41" s="30">
        <v>250</v>
      </c>
      <c r="S41" s="32">
        <f t="shared" si="81"/>
        <v>250</v>
      </c>
      <c r="T41" s="31"/>
      <c r="U41" s="33">
        <f t="shared" si="82"/>
        <v>250</v>
      </c>
      <c r="V41" s="30">
        <v>230</v>
      </c>
      <c r="W41" s="32">
        <f t="shared" si="83"/>
        <v>20</v>
      </c>
      <c r="X41" s="31"/>
      <c r="Y41" s="33">
        <f t="shared" si="84"/>
        <v>230</v>
      </c>
      <c r="Z41" s="30">
        <v>5</v>
      </c>
      <c r="AA41" s="32">
        <f t="shared" si="5"/>
        <v>225</v>
      </c>
      <c r="AB41" s="34">
        <v>1</v>
      </c>
      <c r="AC41" s="33">
        <f t="shared" si="85"/>
        <v>2505</v>
      </c>
      <c r="AD41" s="30">
        <v>2500</v>
      </c>
      <c r="AE41" s="32">
        <f t="shared" si="7"/>
        <v>5</v>
      </c>
      <c r="AF41" s="31"/>
      <c r="AG41" s="33">
        <f t="shared" si="86"/>
        <v>2500</v>
      </c>
      <c r="AH41" s="30">
        <v>2500</v>
      </c>
      <c r="AI41" s="32">
        <f t="shared" si="87"/>
        <v>0</v>
      </c>
      <c r="AJ41" s="31"/>
      <c r="AK41" s="33">
        <f t="shared" si="88"/>
        <v>2500</v>
      </c>
      <c r="AL41" s="30">
        <v>2250</v>
      </c>
      <c r="AM41" s="32">
        <f t="shared" si="89"/>
        <v>250</v>
      </c>
      <c r="AN41" s="31"/>
      <c r="AO41" s="33">
        <f t="shared" si="90"/>
        <v>2250</v>
      </c>
      <c r="AP41" s="30">
        <v>2250</v>
      </c>
      <c r="AQ41" s="32">
        <f t="shared" si="26"/>
        <v>0</v>
      </c>
      <c r="AR41" s="31"/>
      <c r="AS41" s="33">
        <f t="shared" si="91"/>
        <v>2250</v>
      </c>
      <c r="AT41" s="30">
        <v>2250</v>
      </c>
      <c r="AU41" s="32">
        <f t="shared" si="27"/>
        <v>0</v>
      </c>
      <c r="AV41" s="31"/>
      <c r="AW41" s="33">
        <f t="shared" si="92"/>
        <v>2250</v>
      </c>
      <c r="AX41" s="30">
        <v>2250</v>
      </c>
      <c r="AY41" s="32">
        <f t="shared" si="55"/>
        <v>0</v>
      </c>
      <c r="AZ41" s="31"/>
      <c r="BA41" s="33">
        <f t="shared" si="93"/>
        <v>2250</v>
      </c>
      <c r="BB41" s="30">
        <v>2250</v>
      </c>
      <c r="BC41" s="32">
        <f t="shared" si="94"/>
        <v>0</v>
      </c>
      <c r="BD41" s="31"/>
      <c r="BE41" s="33">
        <f t="shared" si="95"/>
        <v>2250</v>
      </c>
      <c r="BF41" s="30">
        <v>2250</v>
      </c>
      <c r="BG41" s="32">
        <f t="shared" si="28"/>
        <v>0</v>
      </c>
      <c r="BH41" s="31"/>
      <c r="BI41" s="33">
        <f t="shared" si="96"/>
        <v>2250</v>
      </c>
      <c r="BJ41" s="30">
        <v>2250</v>
      </c>
      <c r="BK41" s="32">
        <f t="shared" si="29"/>
        <v>0</v>
      </c>
      <c r="BL41" s="31"/>
      <c r="BM41" s="33">
        <f t="shared" si="97"/>
        <v>2250</v>
      </c>
      <c r="BN41" s="30"/>
      <c r="BO41" s="32">
        <f t="shared" si="98"/>
        <v>2250</v>
      </c>
      <c r="BP41" s="31"/>
      <c r="BQ41" s="33">
        <f t="shared" si="99"/>
        <v>0</v>
      </c>
      <c r="BR41" s="30"/>
      <c r="BS41" s="32">
        <f t="shared" si="100"/>
        <v>0</v>
      </c>
      <c r="BT41" s="31"/>
      <c r="BU41" s="33">
        <f t="shared" si="101"/>
        <v>0</v>
      </c>
      <c r="BV41" s="30"/>
      <c r="BW41" s="32">
        <f t="shared" si="102"/>
        <v>0</v>
      </c>
      <c r="BX41" s="31"/>
      <c r="BY41" s="33">
        <f t="shared" si="103"/>
        <v>0</v>
      </c>
      <c r="BZ41" s="30"/>
      <c r="CA41" s="32">
        <f t="shared" si="104"/>
        <v>0</v>
      </c>
      <c r="CB41" s="31"/>
      <c r="CC41" s="33">
        <f t="shared" si="105"/>
        <v>0</v>
      </c>
    </row>
    <row r="42" spans="1:81" ht="20.100000000000001" customHeight="1" x14ac:dyDescent="0.2">
      <c r="A42" s="19" t="s">
        <v>153</v>
      </c>
      <c r="B42" s="9" t="s">
        <v>7</v>
      </c>
      <c r="C42" s="14">
        <v>800</v>
      </c>
      <c r="D42" s="9" t="s">
        <v>9</v>
      </c>
      <c r="E42" s="13">
        <v>800</v>
      </c>
      <c r="F42" s="30">
        <v>590</v>
      </c>
      <c r="G42" s="32">
        <v>60</v>
      </c>
      <c r="H42" s="31"/>
      <c r="I42" s="33">
        <f t="shared" si="76"/>
        <v>590</v>
      </c>
      <c r="J42" s="30">
        <v>550</v>
      </c>
      <c r="K42" s="32">
        <f t="shared" si="77"/>
        <v>40</v>
      </c>
      <c r="L42" s="31"/>
      <c r="M42" s="33">
        <f t="shared" si="78"/>
        <v>550</v>
      </c>
      <c r="N42" s="30">
        <v>500</v>
      </c>
      <c r="O42" s="32">
        <f t="shared" si="79"/>
        <v>50</v>
      </c>
      <c r="P42" s="34"/>
      <c r="Q42" s="33">
        <f t="shared" si="80"/>
        <v>500</v>
      </c>
      <c r="R42" s="30">
        <v>450</v>
      </c>
      <c r="S42" s="32">
        <f t="shared" si="81"/>
        <v>50</v>
      </c>
      <c r="T42" s="31"/>
      <c r="U42" s="33">
        <f t="shared" si="82"/>
        <v>450</v>
      </c>
      <c r="V42" s="30">
        <v>450</v>
      </c>
      <c r="W42" s="32">
        <f t="shared" si="83"/>
        <v>0</v>
      </c>
      <c r="X42" s="31"/>
      <c r="Y42" s="33">
        <f t="shared" si="84"/>
        <v>450</v>
      </c>
      <c r="Z42" s="30">
        <f>9*50</f>
        <v>450</v>
      </c>
      <c r="AA42" s="32">
        <f t="shared" si="5"/>
        <v>0</v>
      </c>
      <c r="AB42" s="31"/>
      <c r="AC42" s="33">
        <f t="shared" si="85"/>
        <v>450</v>
      </c>
      <c r="AD42" s="30">
        <f>8*50</f>
        <v>400</v>
      </c>
      <c r="AE42" s="32">
        <f t="shared" si="7"/>
        <v>50</v>
      </c>
      <c r="AF42" s="31"/>
      <c r="AG42" s="33">
        <f t="shared" si="86"/>
        <v>400</v>
      </c>
      <c r="AH42" s="30">
        <v>400</v>
      </c>
      <c r="AI42" s="32">
        <f t="shared" si="87"/>
        <v>0</v>
      </c>
      <c r="AJ42" s="31"/>
      <c r="AK42" s="33">
        <f t="shared" si="88"/>
        <v>400</v>
      </c>
      <c r="AL42" s="30">
        <f>7*50</f>
        <v>350</v>
      </c>
      <c r="AM42" s="32">
        <f t="shared" si="89"/>
        <v>50</v>
      </c>
      <c r="AN42" s="31"/>
      <c r="AO42" s="33">
        <f t="shared" si="90"/>
        <v>350</v>
      </c>
      <c r="AP42" s="30">
        <v>350</v>
      </c>
      <c r="AQ42" s="32">
        <f t="shared" si="26"/>
        <v>0</v>
      </c>
      <c r="AR42" s="31"/>
      <c r="AS42" s="33">
        <f t="shared" si="91"/>
        <v>350</v>
      </c>
      <c r="AT42" s="30">
        <f>6*50</f>
        <v>300</v>
      </c>
      <c r="AU42" s="32">
        <f t="shared" si="27"/>
        <v>50</v>
      </c>
      <c r="AV42" s="31"/>
      <c r="AW42" s="33">
        <f t="shared" si="92"/>
        <v>300</v>
      </c>
      <c r="AX42" s="30">
        <v>300</v>
      </c>
      <c r="AY42" s="32">
        <f t="shared" si="55"/>
        <v>0</v>
      </c>
      <c r="AZ42" s="31"/>
      <c r="BA42" s="33">
        <f t="shared" si="93"/>
        <v>300</v>
      </c>
      <c r="BB42" s="30">
        <v>250</v>
      </c>
      <c r="BC42" s="32">
        <f t="shared" si="94"/>
        <v>50</v>
      </c>
      <c r="BD42" s="31"/>
      <c r="BE42" s="33">
        <f t="shared" si="95"/>
        <v>250</v>
      </c>
      <c r="BF42" s="30">
        <v>250</v>
      </c>
      <c r="BG42" s="32">
        <f t="shared" si="28"/>
        <v>0</v>
      </c>
      <c r="BH42" s="31"/>
      <c r="BI42" s="33">
        <f t="shared" si="96"/>
        <v>250</v>
      </c>
      <c r="BJ42" s="30">
        <v>200</v>
      </c>
      <c r="BK42" s="32">
        <f t="shared" si="29"/>
        <v>50</v>
      </c>
      <c r="BL42" s="31">
        <v>1</v>
      </c>
      <c r="BM42" s="33">
        <f t="shared" si="97"/>
        <v>1000</v>
      </c>
      <c r="BN42" s="30"/>
      <c r="BO42" s="32">
        <f t="shared" si="98"/>
        <v>1000</v>
      </c>
      <c r="BP42" s="31"/>
      <c r="BQ42" s="33">
        <f t="shared" si="99"/>
        <v>0</v>
      </c>
      <c r="BR42" s="30"/>
      <c r="BS42" s="32">
        <f t="shared" si="100"/>
        <v>0</v>
      </c>
      <c r="BT42" s="31"/>
      <c r="BU42" s="33">
        <f t="shared" si="101"/>
        <v>0</v>
      </c>
      <c r="BV42" s="30"/>
      <c r="BW42" s="32">
        <f t="shared" si="102"/>
        <v>0</v>
      </c>
      <c r="BX42" s="31"/>
      <c r="BY42" s="33">
        <f t="shared" si="103"/>
        <v>0</v>
      </c>
      <c r="BZ42" s="30"/>
      <c r="CA42" s="32">
        <f t="shared" si="104"/>
        <v>0</v>
      </c>
      <c r="CB42" s="31"/>
      <c r="CC42" s="33">
        <f t="shared" si="105"/>
        <v>0</v>
      </c>
    </row>
    <row r="43" spans="1:81" ht="20.100000000000001" hidden="1" customHeight="1" x14ac:dyDescent="0.2">
      <c r="A43" s="19" t="s">
        <v>282</v>
      </c>
      <c r="B43" s="9" t="s">
        <v>7</v>
      </c>
      <c r="C43" s="14">
        <v>300</v>
      </c>
      <c r="D43" s="9" t="s">
        <v>9</v>
      </c>
      <c r="E43" s="13">
        <v>300</v>
      </c>
      <c r="F43" s="30">
        <v>270</v>
      </c>
      <c r="G43" s="32">
        <v>30</v>
      </c>
      <c r="H43" s="31"/>
      <c r="I43" s="33">
        <f t="shared" si="76"/>
        <v>270</v>
      </c>
      <c r="J43" s="30">
        <f>50*5+20</f>
        <v>270</v>
      </c>
      <c r="K43" s="32">
        <f t="shared" si="77"/>
        <v>0</v>
      </c>
      <c r="L43" s="31"/>
      <c r="M43" s="33">
        <f t="shared" si="78"/>
        <v>270</v>
      </c>
      <c r="N43" s="30">
        <v>250</v>
      </c>
      <c r="O43" s="32">
        <f t="shared" si="79"/>
        <v>20</v>
      </c>
      <c r="P43" s="34"/>
      <c r="Q43" s="33">
        <f t="shared" si="80"/>
        <v>250</v>
      </c>
      <c r="R43" s="30">
        <v>250</v>
      </c>
      <c r="S43" s="32">
        <f t="shared" si="81"/>
        <v>0</v>
      </c>
      <c r="T43" s="31"/>
      <c r="U43" s="33">
        <f t="shared" si="82"/>
        <v>250</v>
      </c>
      <c r="V43" s="30">
        <v>220</v>
      </c>
      <c r="W43" s="32">
        <f t="shared" si="83"/>
        <v>30</v>
      </c>
      <c r="X43" s="31"/>
      <c r="Y43" s="33">
        <f t="shared" si="84"/>
        <v>220</v>
      </c>
      <c r="Z43" s="30">
        <v>200</v>
      </c>
      <c r="AA43" s="32">
        <f t="shared" si="5"/>
        <v>20</v>
      </c>
      <c r="AB43" s="31"/>
      <c r="AC43" s="33">
        <f t="shared" si="85"/>
        <v>200</v>
      </c>
      <c r="AD43" s="30">
        <v>175</v>
      </c>
      <c r="AE43" s="32">
        <f t="shared" si="7"/>
        <v>25</v>
      </c>
      <c r="AF43" s="31"/>
      <c r="AG43" s="33">
        <f t="shared" si="86"/>
        <v>175</v>
      </c>
      <c r="AH43" s="30">
        <v>175</v>
      </c>
      <c r="AI43" s="32">
        <f t="shared" si="87"/>
        <v>0</v>
      </c>
      <c r="AJ43" s="31"/>
      <c r="AK43" s="33">
        <f t="shared" si="88"/>
        <v>175</v>
      </c>
      <c r="AL43" s="30">
        <v>150</v>
      </c>
      <c r="AM43" s="32">
        <f t="shared" si="89"/>
        <v>25</v>
      </c>
      <c r="AN43" s="31"/>
      <c r="AO43" s="33">
        <f t="shared" si="90"/>
        <v>150</v>
      </c>
      <c r="AP43" s="30">
        <v>150</v>
      </c>
      <c r="AQ43" s="32">
        <f t="shared" si="26"/>
        <v>0</v>
      </c>
      <c r="AR43" s="31"/>
      <c r="AS43" s="33">
        <f t="shared" si="91"/>
        <v>150</v>
      </c>
      <c r="AT43" s="30">
        <v>110</v>
      </c>
      <c r="AU43" s="32">
        <f t="shared" si="27"/>
        <v>40</v>
      </c>
      <c r="AV43" s="31">
        <v>1</v>
      </c>
      <c r="AW43" s="33">
        <f t="shared" si="92"/>
        <v>410</v>
      </c>
      <c r="AX43" s="30">
        <v>400</v>
      </c>
      <c r="AY43" s="32">
        <f t="shared" si="55"/>
        <v>10</v>
      </c>
      <c r="AZ43" s="31"/>
      <c r="BA43" s="33">
        <f t="shared" si="93"/>
        <v>400</v>
      </c>
      <c r="BB43" s="30">
        <v>379</v>
      </c>
      <c r="BC43" s="32">
        <f t="shared" si="94"/>
        <v>21</v>
      </c>
      <c r="BD43" s="31"/>
      <c r="BE43" s="33">
        <f t="shared" si="95"/>
        <v>379</v>
      </c>
      <c r="BF43" s="30">
        <v>365</v>
      </c>
      <c r="BG43" s="32">
        <f t="shared" si="28"/>
        <v>14</v>
      </c>
      <c r="BH43" s="31"/>
      <c r="BI43" s="33">
        <f t="shared" si="96"/>
        <v>365</v>
      </c>
      <c r="BJ43" s="30">
        <v>365</v>
      </c>
      <c r="BK43" s="32">
        <f t="shared" si="29"/>
        <v>0</v>
      </c>
      <c r="BL43" s="31"/>
      <c r="BM43" s="33">
        <f t="shared" si="97"/>
        <v>365</v>
      </c>
      <c r="BN43" s="30"/>
      <c r="BO43" s="32">
        <f t="shared" si="98"/>
        <v>365</v>
      </c>
      <c r="BP43" s="31"/>
      <c r="BQ43" s="33">
        <f t="shared" si="99"/>
        <v>0</v>
      </c>
      <c r="BR43" s="30"/>
      <c r="BS43" s="32">
        <f t="shared" si="100"/>
        <v>0</v>
      </c>
      <c r="BT43" s="31"/>
      <c r="BU43" s="33">
        <f t="shared" si="101"/>
        <v>0</v>
      </c>
      <c r="BV43" s="30"/>
      <c r="BW43" s="32">
        <f t="shared" si="102"/>
        <v>0</v>
      </c>
      <c r="BX43" s="31"/>
      <c r="BY43" s="33">
        <f t="shared" si="103"/>
        <v>0</v>
      </c>
      <c r="BZ43" s="30"/>
      <c r="CA43" s="32">
        <f t="shared" si="104"/>
        <v>0</v>
      </c>
      <c r="CB43" s="31"/>
      <c r="CC43" s="33">
        <f t="shared" si="105"/>
        <v>0</v>
      </c>
    </row>
    <row r="44" spans="1:81" ht="20.100000000000001" hidden="1" customHeight="1" x14ac:dyDescent="0.2">
      <c r="A44" s="19" t="s">
        <v>283</v>
      </c>
      <c r="B44" s="9" t="s">
        <v>7</v>
      </c>
      <c r="C44" s="14">
        <v>5000</v>
      </c>
      <c r="D44" s="9" t="s">
        <v>9</v>
      </c>
      <c r="E44" s="13">
        <v>5000</v>
      </c>
      <c r="F44" s="30">
        <v>4200</v>
      </c>
      <c r="G44" s="32">
        <v>100</v>
      </c>
      <c r="H44" s="31"/>
      <c r="I44" s="33">
        <f t="shared" si="76"/>
        <v>4200</v>
      </c>
      <c r="J44" s="30">
        <v>3000</v>
      </c>
      <c r="K44" s="32">
        <f t="shared" si="77"/>
        <v>1200</v>
      </c>
      <c r="L44" s="31"/>
      <c r="M44" s="33">
        <f t="shared" si="78"/>
        <v>3000</v>
      </c>
      <c r="N44" s="30">
        <v>1750</v>
      </c>
      <c r="O44" s="32">
        <f t="shared" si="79"/>
        <v>1250</v>
      </c>
      <c r="P44" s="34"/>
      <c r="Q44" s="33">
        <f t="shared" si="80"/>
        <v>1750</v>
      </c>
      <c r="R44" s="30">
        <v>550</v>
      </c>
      <c r="S44" s="32">
        <f t="shared" si="81"/>
        <v>1200</v>
      </c>
      <c r="T44" s="31">
        <v>1</v>
      </c>
      <c r="U44" s="33">
        <f t="shared" si="82"/>
        <v>5550</v>
      </c>
      <c r="V44" s="30">
        <v>5000</v>
      </c>
      <c r="W44" s="32">
        <f t="shared" si="83"/>
        <v>550</v>
      </c>
      <c r="X44" s="31"/>
      <c r="Y44" s="33">
        <f t="shared" si="84"/>
        <v>5000</v>
      </c>
      <c r="Z44" s="30">
        <v>4800</v>
      </c>
      <c r="AA44" s="32">
        <f t="shared" si="5"/>
        <v>200</v>
      </c>
      <c r="AB44" s="31"/>
      <c r="AC44" s="33">
        <f t="shared" si="85"/>
        <v>4800</v>
      </c>
      <c r="AD44" s="30">
        <v>4500</v>
      </c>
      <c r="AE44" s="32">
        <f t="shared" si="7"/>
        <v>300</v>
      </c>
      <c r="AF44" s="31"/>
      <c r="AG44" s="33">
        <f t="shared" si="86"/>
        <v>4500</v>
      </c>
      <c r="AH44" s="30">
        <v>4300</v>
      </c>
      <c r="AI44" s="32">
        <f t="shared" si="87"/>
        <v>200</v>
      </c>
      <c r="AJ44" s="31"/>
      <c r="AK44" s="33">
        <f t="shared" si="88"/>
        <v>4300</v>
      </c>
      <c r="AL44" s="30">
        <v>4000</v>
      </c>
      <c r="AM44" s="32">
        <f t="shared" si="89"/>
        <v>300</v>
      </c>
      <c r="AN44" s="31"/>
      <c r="AO44" s="33">
        <f t="shared" si="90"/>
        <v>4000</v>
      </c>
      <c r="AP44" s="30">
        <v>3500</v>
      </c>
      <c r="AQ44" s="32">
        <f t="shared" si="26"/>
        <v>500</v>
      </c>
      <c r="AR44" s="31"/>
      <c r="AS44" s="33">
        <f t="shared" si="91"/>
        <v>3500</v>
      </c>
      <c r="AT44" s="30">
        <v>1500</v>
      </c>
      <c r="AU44" s="32">
        <f t="shared" si="27"/>
        <v>2000</v>
      </c>
      <c r="AV44" s="31"/>
      <c r="AW44" s="33">
        <f t="shared" si="92"/>
        <v>1500</v>
      </c>
      <c r="AX44" s="30">
        <v>0</v>
      </c>
      <c r="AY44" s="32">
        <f t="shared" si="55"/>
        <v>1500</v>
      </c>
      <c r="AZ44" s="31">
        <v>1</v>
      </c>
      <c r="BA44" s="33">
        <f t="shared" si="93"/>
        <v>5000</v>
      </c>
      <c r="BB44" s="30">
        <v>4890</v>
      </c>
      <c r="BC44" s="32">
        <f t="shared" si="94"/>
        <v>110</v>
      </c>
      <c r="BD44" s="31">
        <v>1</v>
      </c>
      <c r="BE44" s="33">
        <f t="shared" si="95"/>
        <v>9890</v>
      </c>
      <c r="BF44" s="30">
        <v>4750</v>
      </c>
      <c r="BG44" s="32">
        <f t="shared" si="28"/>
        <v>5140</v>
      </c>
      <c r="BH44" s="31"/>
      <c r="BI44" s="33">
        <f t="shared" si="96"/>
        <v>4750</v>
      </c>
      <c r="BJ44" s="30">
        <v>4650</v>
      </c>
      <c r="BK44" s="32">
        <f t="shared" si="29"/>
        <v>100</v>
      </c>
      <c r="BL44" s="31"/>
      <c r="BM44" s="33">
        <f t="shared" si="97"/>
        <v>4650</v>
      </c>
      <c r="BN44" s="30"/>
      <c r="BO44" s="32">
        <f t="shared" si="98"/>
        <v>4650</v>
      </c>
      <c r="BP44" s="31"/>
      <c r="BQ44" s="33">
        <f t="shared" si="99"/>
        <v>0</v>
      </c>
      <c r="BR44" s="30"/>
      <c r="BS44" s="32">
        <f t="shared" si="100"/>
        <v>0</v>
      </c>
      <c r="BT44" s="31"/>
      <c r="BU44" s="33">
        <f t="shared" si="101"/>
        <v>0</v>
      </c>
      <c r="BV44" s="30"/>
      <c r="BW44" s="32">
        <f t="shared" si="102"/>
        <v>0</v>
      </c>
      <c r="BX44" s="31"/>
      <c r="BY44" s="33">
        <f t="shared" si="103"/>
        <v>0</v>
      </c>
      <c r="BZ44" s="30"/>
      <c r="CA44" s="32">
        <f t="shared" si="104"/>
        <v>0</v>
      </c>
      <c r="CB44" s="31"/>
      <c r="CC44" s="33">
        <f t="shared" si="105"/>
        <v>0</v>
      </c>
    </row>
    <row r="45" spans="1:81" ht="20.100000000000001" hidden="1" customHeight="1" x14ac:dyDescent="0.2">
      <c r="A45" s="19" t="s">
        <v>228</v>
      </c>
      <c r="B45" s="9" t="s">
        <v>7</v>
      </c>
      <c r="C45" s="14">
        <v>1000</v>
      </c>
      <c r="D45" s="9" t="s">
        <v>9</v>
      </c>
      <c r="E45" s="13">
        <v>1000</v>
      </c>
      <c r="F45" s="30">
        <v>700</v>
      </c>
      <c r="G45" s="32">
        <v>85</v>
      </c>
      <c r="H45" s="31"/>
      <c r="I45" s="33">
        <f t="shared" si="76"/>
        <v>700</v>
      </c>
      <c r="J45" s="30">
        <v>610</v>
      </c>
      <c r="K45" s="32">
        <f t="shared" si="77"/>
        <v>90</v>
      </c>
      <c r="L45" s="31"/>
      <c r="M45" s="33">
        <f t="shared" si="78"/>
        <v>610</v>
      </c>
      <c r="N45" s="30">
        <v>590</v>
      </c>
      <c r="O45" s="32">
        <f t="shared" si="79"/>
        <v>20</v>
      </c>
      <c r="P45" s="34"/>
      <c r="Q45" s="33">
        <f t="shared" si="80"/>
        <v>590</v>
      </c>
      <c r="R45" s="30">
        <v>580</v>
      </c>
      <c r="S45" s="32">
        <f t="shared" si="81"/>
        <v>10</v>
      </c>
      <c r="T45" s="31"/>
      <c r="U45" s="33">
        <f t="shared" si="82"/>
        <v>580</v>
      </c>
      <c r="V45" s="30">
        <v>500</v>
      </c>
      <c r="W45" s="32">
        <f t="shared" si="83"/>
        <v>80</v>
      </c>
      <c r="X45" s="31"/>
      <c r="Y45" s="33">
        <f t="shared" si="84"/>
        <v>500</v>
      </c>
      <c r="Z45" s="30">
        <v>450</v>
      </c>
      <c r="AA45" s="32">
        <f t="shared" si="5"/>
        <v>50</v>
      </c>
      <c r="AB45" s="31"/>
      <c r="AC45" s="33">
        <f t="shared" si="85"/>
        <v>450</v>
      </c>
      <c r="AD45" s="30">
        <v>400</v>
      </c>
      <c r="AE45" s="32">
        <f t="shared" si="7"/>
        <v>50</v>
      </c>
      <c r="AF45" s="31"/>
      <c r="AG45" s="33">
        <f t="shared" si="86"/>
        <v>400</v>
      </c>
      <c r="AH45" s="30">
        <v>350</v>
      </c>
      <c r="AI45" s="32">
        <f t="shared" si="87"/>
        <v>50</v>
      </c>
      <c r="AJ45" s="31"/>
      <c r="AK45" s="33">
        <f t="shared" si="88"/>
        <v>350</v>
      </c>
      <c r="AL45" s="30">
        <v>700</v>
      </c>
      <c r="AM45" s="32">
        <f t="shared" si="89"/>
        <v>-350</v>
      </c>
      <c r="AN45" s="31"/>
      <c r="AO45" s="33">
        <f t="shared" si="90"/>
        <v>700</v>
      </c>
      <c r="AP45" s="30">
        <v>700</v>
      </c>
      <c r="AQ45" s="32">
        <f t="shared" si="26"/>
        <v>0</v>
      </c>
      <c r="AR45" s="31"/>
      <c r="AS45" s="33">
        <f t="shared" si="91"/>
        <v>700</v>
      </c>
      <c r="AT45" s="30">
        <v>700</v>
      </c>
      <c r="AU45" s="32">
        <f t="shared" si="27"/>
        <v>0</v>
      </c>
      <c r="AV45" s="31"/>
      <c r="AW45" s="33">
        <f t="shared" si="92"/>
        <v>700</v>
      </c>
      <c r="AX45" s="30">
        <v>700</v>
      </c>
      <c r="AY45" s="32">
        <f t="shared" si="55"/>
        <v>0</v>
      </c>
      <c r="AZ45" s="31"/>
      <c r="BA45" s="33">
        <f t="shared" si="93"/>
        <v>700</v>
      </c>
      <c r="BB45" s="30">
        <v>700</v>
      </c>
      <c r="BC45" s="32">
        <f t="shared" si="94"/>
        <v>0</v>
      </c>
      <c r="BD45" s="31"/>
      <c r="BE45" s="33">
        <f t="shared" si="95"/>
        <v>700</v>
      </c>
      <c r="BF45" s="30">
        <v>700</v>
      </c>
      <c r="BG45" s="32">
        <f t="shared" si="28"/>
        <v>0</v>
      </c>
      <c r="BH45" s="31"/>
      <c r="BI45" s="33">
        <f t="shared" si="96"/>
        <v>700</v>
      </c>
      <c r="BJ45" s="30">
        <v>700</v>
      </c>
      <c r="BK45" s="32">
        <f t="shared" si="29"/>
        <v>0</v>
      </c>
      <c r="BL45" s="31"/>
      <c r="BM45" s="33">
        <f t="shared" si="97"/>
        <v>700</v>
      </c>
      <c r="BN45" s="30"/>
      <c r="BO45" s="32">
        <f t="shared" si="98"/>
        <v>700</v>
      </c>
      <c r="BP45" s="31"/>
      <c r="BQ45" s="33">
        <f t="shared" si="99"/>
        <v>0</v>
      </c>
      <c r="BR45" s="30"/>
      <c r="BS45" s="32">
        <f t="shared" si="100"/>
        <v>0</v>
      </c>
      <c r="BT45" s="31"/>
      <c r="BU45" s="33">
        <f t="shared" si="101"/>
        <v>0</v>
      </c>
      <c r="BV45" s="30"/>
      <c r="BW45" s="32">
        <f t="shared" si="102"/>
        <v>0</v>
      </c>
      <c r="BX45" s="31"/>
      <c r="BY45" s="33">
        <f t="shared" si="103"/>
        <v>0</v>
      </c>
      <c r="BZ45" s="30"/>
      <c r="CA45" s="32">
        <f t="shared" si="104"/>
        <v>0</v>
      </c>
      <c r="CB45" s="31"/>
      <c r="CC45" s="33">
        <f t="shared" si="105"/>
        <v>0</v>
      </c>
    </row>
    <row r="46" spans="1:81" ht="20.100000000000001" hidden="1" customHeight="1" x14ac:dyDescent="0.2">
      <c r="A46" s="19" t="s">
        <v>41</v>
      </c>
      <c r="B46" s="9" t="s">
        <v>7</v>
      </c>
      <c r="C46" s="10">
        <v>6</v>
      </c>
      <c r="D46" s="9" t="s">
        <v>9</v>
      </c>
      <c r="E46" s="13">
        <f>4.8/0.8</f>
        <v>5.9999999999999991</v>
      </c>
      <c r="F46" s="30">
        <v>1</v>
      </c>
      <c r="G46" s="32">
        <v>0</v>
      </c>
      <c r="H46" s="31"/>
      <c r="I46" s="33">
        <f t="shared" si="76"/>
        <v>1</v>
      </c>
      <c r="J46" s="30">
        <v>1</v>
      </c>
      <c r="K46" s="32">
        <f t="shared" si="77"/>
        <v>0</v>
      </c>
      <c r="L46" s="31"/>
      <c r="M46" s="33">
        <f t="shared" si="78"/>
        <v>1</v>
      </c>
      <c r="N46" s="30">
        <v>1</v>
      </c>
      <c r="O46" s="32">
        <f t="shared" si="79"/>
        <v>0</v>
      </c>
      <c r="P46" s="34"/>
      <c r="Q46" s="33">
        <f t="shared" si="80"/>
        <v>1</v>
      </c>
      <c r="R46" s="30">
        <v>1</v>
      </c>
      <c r="S46" s="32">
        <f t="shared" si="81"/>
        <v>0</v>
      </c>
      <c r="T46" s="31"/>
      <c r="U46" s="33">
        <f t="shared" si="82"/>
        <v>1</v>
      </c>
      <c r="V46" s="30">
        <v>1</v>
      </c>
      <c r="W46" s="32">
        <f t="shared" si="83"/>
        <v>0</v>
      </c>
      <c r="X46" s="31"/>
      <c r="Y46" s="33">
        <f t="shared" si="84"/>
        <v>1</v>
      </c>
      <c r="Z46" s="30">
        <v>1</v>
      </c>
      <c r="AA46" s="32">
        <f t="shared" si="5"/>
        <v>0</v>
      </c>
      <c r="AB46" s="31"/>
      <c r="AC46" s="33">
        <f t="shared" si="85"/>
        <v>1</v>
      </c>
      <c r="AD46" s="30">
        <v>1</v>
      </c>
      <c r="AE46" s="32">
        <f t="shared" si="7"/>
        <v>0</v>
      </c>
      <c r="AF46" s="31"/>
      <c r="AG46" s="33">
        <f t="shared" si="86"/>
        <v>1</v>
      </c>
      <c r="AH46" s="30">
        <v>1</v>
      </c>
      <c r="AI46" s="32">
        <f t="shared" si="87"/>
        <v>0</v>
      </c>
      <c r="AJ46" s="31"/>
      <c r="AK46" s="33">
        <f t="shared" si="88"/>
        <v>1</v>
      </c>
      <c r="AL46" s="30">
        <v>1</v>
      </c>
      <c r="AM46" s="32">
        <f t="shared" si="89"/>
        <v>0</v>
      </c>
      <c r="AN46" s="31"/>
      <c r="AO46" s="33">
        <f t="shared" si="90"/>
        <v>1</v>
      </c>
      <c r="AP46" s="30">
        <v>1</v>
      </c>
      <c r="AQ46" s="32">
        <f t="shared" si="26"/>
        <v>0</v>
      </c>
      <c r="AR46" s="31"/>
      <c r="AS46" s="33">
        <f t="shared" si="91"/>
        <v>1</v>
      </c>
      <c r="AT46" s="30">
        <v>1</v>
      </c>
      <c r="AU46" s="32">
        <f t="shared" si="27"/>
        <v>0</v>
      </c>
      <c r="AV46" s="31"/>
      <c r="AW46" s="33">
        <f t="shared" si="92"/>
        <v>1</v>
      </c>
      <c r="AX46" s="30">
        <v>1</v>
      </c>
      <c r="AY46" s="32">
        <f t="shared" si="55"/>
        <v>0</v>
      </c>
      <c r="AZ46" s="31"/>
      <c r="BA46" s="33">
        <f t="shared" si="93"/>
        <v>1</v>
      </c>
      <c r="BB46" s="30">
        <v>1</v>
      </c>
      <c r="BC46" s="32">
        <f t="shared" si="94"/>
        <v>0</v>
      </c>
      <c r="BD46" s="31"/>
      <c r="BE46" s="33">
        <f t="shared" si="95"/>
        <v>1</v>
      </c>
      <c r="BF46" s="30">
        <v>1</v>
      </c>
      <c r="BG46" s="32">
        <f t="shared" si="28"/>
        <v>0</v>
      </c>
      <c r="BH46" s="31"/>
      <c r="BI46" s="33">
        <f t="shared" si="96"/>
        <v>1</v>
      </c>
      <c r="BJ46" s="30">
        <v>1</v>
      </c>
      <c r="BK46" s="32">
        <f t="shared" si="29"/>
        <v>0</v>
      </c>
      <c r="BL46" s="31"/>
      <c r="BM46" s="33">
        <f t="shared" si="97"/>
        <v>1</v>
      </c>
      <c r="BN46" s="30"/>
      <c r="BO46" s="32">
        <f t="shared" si="98"/>
        <v>1</v>
      </c>
      <c r="BP46" s="31"/>
      <c r="BQ46" s="33">
        <f t="shared" si="99"/>
        <v>0</v>
      </c>
      <c r="BR46" s="30"/>
      <c r="BS46" s="32">
        <f t="shared" si="100"/>
        <v>0</v>
      </c>
      <c r="BT46" s="31"/>
      <c r="BU46" s="33">
        <f t="shared" si="101"/>
        <v>0</v>
      </c>
      <c r="BV46" s="30"/>
      <c r="BW46" s="32">
        <f t="shared" si="102"/>
        <v>0</v>
      </c>
      <c r="BX46" s="31"/>
      <c r="BY46" s="33">
        <f t="shared" si="103"/>
        <v>0</v>
      </c>
      <c r="BZ46" s="30"/>
      <c r="CA46" s="32">
        <f t="shared" si="104"/>
        <v>0</v>
      </c>
      <c r="CB46" s="31"/>
      <c r="CC46" s="33">
        <f t="shared" si="105"/>
        <v>0</v>
      </c>
    </row>
    <row r="47" spans="1:81" ht="20.100000000000001" customHeight="1" x14ac:dyDescent="0.2">
      <c r="A47" s="19" t="s">
        <v>42</v>
      </c>
      <c r="B47" s="9" t="s">
        <v>7</v>
      </c>
      <c r="C47" s="136">
        <v>6</v>
      </c>
      <c r="D47" s="9" t="s">
        <v>9</v>
      </c>
      <c r="E47" s="13">
        <v>6</v>
      </c>
      <c r="F47" s="30">
        <v>4</v>
      </c>
      <c r="G47" s="32">
        <v>6</v>
      </c>
      <c r="H47" s="34">
        <v>1</v>
      </c>
      <c r="I47" s="33">
        <f t="shared" si="76"/>
        <v>10</v>
      </c>
      <c r="J47" s="30">
        <v>12</v>
      </c>
      <c r="K47" s="32">
        <f t="shared" si="77"/>
        <v>-2</v>
      </c>
      <c r="L47" s="31"/>
      <c r="M47" s="33">
        <f t="shared" si="78"/>
        <v>12</v>
      </c>
      <c r="N47" s="30">
        <v>6</v>
      </c>
      <c r="O47" s="32">
        <f t="shared" si="79"/>
        <v>6</v>
      </c>
      <c r="P47" s="34">
        <v>1</v>
      </c>
      <c r="Q47" s="33">
        <f t="shared" si="80"/>
        <v>12</v>
      </c>
      <c r="R47" s="30">
        <v>8</v>
      </c>
      <c r="S47" s="32">
        <f t="shared" si="81"/>
        <v>4</v>
      </c>
      <c r="T47" s="31">
        <v>1</v>
      </c>
      <c r="U47" s="33">
        <f t="shared" si="82"/>
        <v>14</v>
      </c>
      <c r="V47" s="30">
        <v>9</v>
      </c>
      <c r="W47" s="32">
        <f t="shared" si="83"/>
        <v>5</v>
      </c>
      <c r="X47" s="34">
        <v>1</v>
      </c>
      <c r="Y47" s="33">
        <f t="shared" si="84"/>
        <v>15</v>
      </c>
      <c r="Z47" s="30">
        <v>10</v>
      </c>
      <c r="AA47" s="32">
        <f t="shared" si="5"/>
        <v>5</v>
      </c>
      <c r="AB47" s="34">
        <v>1</v>
      </c>
      <c r="AC47" s="33">
        <f t="shared" si="85"/>
        <v>16</v>
      </c>
      <c r="AD47" s="30">
        <v>6</v>
      </c>
      <c r="AE47" s="32">
        <f t="shared" si="7"/>
        <v>10</v>
      </c>
      <c r="AF47" s="31">
        <v>2</v>
      </c>
      <c r="AG47" s="33">
        <f t="shared" si="86"/>
        <v>18</v>
      </c>
      <c r="AH47" s="30">
        <v>16</v>
      </c>
      <c r="AI47" s="32">
        <f t="shared" si="87"/>
        <v>2</v>
      </c>
      <c r="AJ47" s="31"/>
      <c r="AK47" s="33">
        <f t="shared" si="88"/>
        <v>16</v>
      </c>
      <c r="AL47" s="30">
        <v>12</v>
      </c>
      <c r="AM47" s="32">
        <f t="shared" si="89"/>
        <v>4</v>
      </c>
      <c r="AN47" s="31"/>
      <c r="AO47" s="33">
        <f t="shared" si="90"/>
        <v>12</v>
      </c>
      <c r="AP47" s="30">
        <v>8</v>
      </c>
      <c r="AQ47" s="32">
        <f t="shared" si="26"/>
        <v>4</v>
      </c>
      <c r="AR47" s="31">
        <v>1</v>
      </c>
      <c r="AS47" s="33">
        <f t="shared" si="91"/>
        <v>14</v>
      </c>
      <c r="AT47" s="30">
        <v>11</v>
      </c>
      <c r="AU47" s="32">
        <f t="shared" si="27"/>
        <v>3</v>
      </c>
      <c r="AV47" s="31">
        <v>1</v>
      </c>
      <c r="AW47" s="33">
        <f t="shared" si="92"/>
        <v>17</v>
      </c>
      <c r="AX47" s="30">
        <v>12</v>
      </c>
      <c r="AY47" s="32">
        <f t="shared" si="55"/>
        <v>5</v>
      </c>
      <c r="AZ47" s="31"/>
      <c r="BA47" s="33">
        <f t="shared" si="93"/>
        <v>12</v>
      </c>
      <c r="BB47" s="30">
        <v>8</v>
      </c>
      <c r="BC47" s="32">
        <f t="shared" si="94"/>
        <v>4</v>
      </c>
      <c r="BD47" s="31"/>
      <c r="BE47" s="33">
        <f t="shared" si="95"/>
        <v>8</v>
      </c>
      <c r="BF47" s="30">
        <v>5</v>
      </c>
      <c r="BG47" s="32">
        <f t="shared" si="28"/>
        <v>3</v>
      </c>
      <c r="BH47" s="31">
        <v>1</v>
      </c>
      <c r="BI47" s="33">
        <f t="shared" si="96"/>
        <v>11</v>
      </c>
      <c r="BJ47" s="30">
        <v>6</v>
      </c>
      <c r="BK47" s="32">
        <f t="shared" si="29"/>
        <v>5</v>
      </c>
      <c r="BL47" s="31">
        <v>1</v>
      </c>
      <c r="BM47" s="33">
        <f t="shared" si="97"/>
        <v>12</v>
      </c>
      <c r="BN47" s="30"/>
      <c r="BO47" s="32">
        <f t="shared" si="98"/>
        <v>12</v>
      </c>
      <c r="BP47" s="31"/>
      <c r="BQ47" s="33">
        <f t="shared" si="99"/>
        <v>0</v>
      </c>
      <c r="BR47" s="30"/>
      <c r="BS47" s="32">
        <f t="shared" si="100"/>
        <v>0</v>
      </c>
      <c r="BT47" s="31"/>
      <c r="BU47" s="33">
        <f t="shared" si="101"/>
        <v>0</v>
      </c>
      <c r="BV47" s="30"/>
      <c r="BW47" s="32">
        <f t="shared" si="102"/>
        <v>0</v>
      </c>
      <c r="BX47" s="31"/>
      <c r="BY47" s="33">
        <f t="shared" si="103"/>
        <v>0</v>
      </c>
      <c r="BZ47" s="30"/>
      <c r="CA47" s="32">
        <f t="shared" si="104"/>
        <v>0</v>
      </c>
      <c r="CB47" s="31"/>
      <c r="CC47" s="33">
        <f t="shared" si="105"/>
        <v>0</v>
      </c>
    </row>
    <row r="48" spans="1:81" ht="20.100000000000001" customHeight="1" x14ac:dyDescent="0.2">
      <c r="A48" s="19" t="s">
        <v>43</v>
      </c>
      <c r="B48" s="9" t="s">
        <v>7</v>
      </c>
      <c r="C48" s="10">
        <v>2</v>
      </c>
      <c r="D48" s="9" t="s">
        <v>9</v>
      </c>
      <c r="E48" s="13">
        <v>2</v>
      </c>
      <c r="F48" s="30">
        <v>12</v>
      </c>
      <c r="G48" s="32">
        <v>13</v>
      </c>
      <c r="H48" s="34">
        <v>5</v>
      </c>
      <c r="I48" s="33">
        <f t="shared" si="76"/>
        <v>22</v>
      </c>
      <c r="J48" s="30">
        <v>8</v>
      </c>
      <c r="K48" s="32">
        <f t="shared" si="77"/>
        <v>14</v>
      </c>
      <c r="L48" s="31">
        <v>7</v>
      </c>
      <c r="M48" s="33">
        <f t="shared" si="78"/>
        <v>22</v>
      </c>
      <c r="N48" s="30">
        <v>11</v>
      </c>
      <c r="O48" s="32">
        <f t="shared" si="79"/>
        <v>11</v>
      </c>
      <c r="P48" s="34">
        <v>6</v>
      </c>
      <c r="Q48" s="33">
        <f t="shared" si="80"/>
        <v>23</v>
      </c>
      <c r="R48" s="30">
        <v>9</v>
      </c>
      <c r="S48" s="32">
        <f t="shared" si="81"/>
        <v>14</v>
      </c>
      <c r="T48" s="31">
        <v>6</v>
      </c>
      <c r="U48" s="33">
        <f t="shared" si="82"/>
        <v>21</v>
      </c>
      <c r="V48" s="30">
        <v>11</v>
      </c>
      <c r="W48" s="32">
        <f t="shared" si="83"/>
        <v>10</v>
      </c>
      <c r="X48" s="34">
        <v>5</v>
      </c>
      <c r="Y48" s="33">
        <f t="shared" si="84"/>
        <v>21</v>
      </c>
      <c r="Z48" s="30">
        <v>10</v>
      </c>
      <c r="AA48" s="32">
        <f t="shared" si="5"/>
        <v>11</v>
      </c>
      <c r="AB48" s="34">
        <v>5</v>
      </c>
      <c r="AC48" s="33">
        <f t="shared" si="85"/>
        <v>20</v>
      </c>
      <c r="AD48" s="30">
        <v>1</v>
      </c>
      <c r="AE48" s="32">
        <f t="shared" si="7"/>
        <v>19</v>
      </c>
      <c r="AF48" s="31">
        <v>10.5</v>
      </c>
      <c r="AG48" s="33">
        <f t="shared" si="86"/>
        <v>22</v>
      </c>
      <c r="AH48" s="30">
        <v>3</v>
      </c>
      <c r="AI48" s="32">
        <f t="shared" si="87"/>
        <v>19</v>
      </c>
      <c r="AJ48" s="31">
        <v>11</v>
      </c>
      <c r="AK48" s="33">
        <f t="shared" si="88"/>
        <v>25</v>
      </c>
      <c r="AL48" s="30">
        <v>14</v>
      </c>
      <c r="AM48" s="32">
        <f t="shared" si="89"/>
        <v>11</v>
      </c>
      <c r="AN48" s="31">
        <v>4</v>
      </c>
      <c r="AO48" s="33">
        <f t="shared" si="90"/>
        <v>22</v>
      </c>
      <c r="AP48" s="30">
        <v>9</v>
      </c>
      <c r="AQ48" s="32">
        <f t="shared" si="26"/>
        <v>13</v>
      </c>
      <c r="AR48" s="31">
        <v>6</v>
      </c>
      <c r="AS48" s="33">
        <f t="shared" si="91"/>
        <v>21</v>
      </c>
      <c r="AT48" s="30">
        <v>9</v>
      </c>
      <c r="AU48" s="32">
        <f t="shared" si="27"/>
        <v>12</v>
      </c>
      <c r="AV48" s="31">
        <v>6</v>
      </c>
      <c r="AW48" s="33">
        <f t="shared" si="92"/>
        <v>21</v>
      </c>
      <c r="AX48" s="30">
        <v>7</v>
      </c>
      <c r="AY48" s="32">
        <f t="shared" si="55"/>
        <v>14</v>
      </c>
      <c r="AZ48" s="31">
        <v>5</v>
      </c>
      <c r="BA48" s="33">
        <f t="shared" si="93"/>
        <v>17</v>
      </c>
      <c r="BB48" s="30">
        <v>4</v>
      </c>
      <c r="BC48" s="32">
        <f t="shared" si="94"/>
        <v>13</v>
      </c>
      <c r="BD48" s="31">
        <v>7</v>
      </c>
      <c r="BE48" s="33">
        <f t="shared" si="95"/>
        <v>18</v>
      </c>
      <c r="BF48" s="30">
        <v>7</v>
      </c>
      <c r="BG48" s="32">
        <f t="shared" si="28"/>
        <v>11</v>
      </c>
      <c r="BH48" s="31">
        <v>7</v>
      </c>
      <c r="BI48" s="33">
        <f t="shared" si="96"/>
        <v>21</v>
      </c>
      <c r="BJ48" s="30">
        <v>8</v>
      </c>
      <c r="BK48" s="32">
        <f t="shared" si="29"/>
        <v>13</v>
      </c>
      <c r="BL48" s="31">
        <v>7</v>
      </c>
      <c r="BM48" s="33">
        <f t="shared" si="97"/>
        <v>22</v>
      </c>
      <c r="BN48" s="30"/>
      <c r="BO48" s="32">
        <f t="shared" si="98"/>
        <v>22</v>
      </c>
      <c r="BP48" s="31"/>
      <c r="BQ48" s="33">
        <f t="shared" si="99"/>
        <v>0</v>
      </c>
      <c r="BR48" s="30"/>
      <c r="BS48" s="32">
        <f t="shared" si="100"/>
        <v>0</v>
      </c>
      <c r="BT48" s="31"/>
      <c r="BU48" s="33">
        <f t="shared" si="101"/>
        <v>0</v>
      </c>
      <c r="BV48" s="30"/>
      <c r="BW48" s="32">
        <f t="shared" si="102"/>
        <v>0</v>
      </c>
      <c r="BX48" s="31"/>
      <c r="BY48" s="33">
        <f t="shared" si="103"/>
        <v>0</v>
      </c>
      <c r="BZ48" s="30"/>
      <c r="CA48" s="32">
        <f t="shared" si="104"/>
        <v>0</v>
      </c>
      <c r="CB48" s="31"/>
      <c r="CC48" s="33">
        <f t="shared" si="105"/>
        <v>0</v>
      </c>
    </row>
    <row r="49" spans="1:81" ht="20.100000000000001" hidden="1" customHeight="1" x14ac:dyDescent="0.2">
      <c r="A49" s="19" t="s">
        <v>284</v>
      </c>
      <c r="B49" s="9" t="s">
        <v>7</v>
      </c>
      <c r="C49" s="14">
        <v>1</v>
      </c>
      <c r="D49" s="9" t="s">
        <v>9</v>
      </c>
      <c r="E49" s="13">
        <v>1</v>
      </c>
      <c r="F49" s="30">
        <v>1</v>
      </c>
      <c r="G49" s="32">
        <v>1</v>
      </c>
      <c r="H49" s="34">
        <v>1</v>
      </c>
      <c r="I49" s="33">
        <f t="shared" si="76"/>
        <v>2</v>
      </c>
      <c r="J49" s="30">
        <v>1</v>
      </c>
      <c r="K49" s="32">
        <f t="shared" si="77"/>
        <v>1</v>
      </c>
      <c r="L49" s="31">
        <v>1</v>
      </c>
      <c r="M49" s="33">
        <f t="shared" si="78"/>
        <v>2</v>
      </c>
      <c r="N49" s="30">
        <v>1</v>
      </c>
      <c r="O49" s="32">
        <f t="shared" si="79"/>
        <v>1</v>
      </c>
      <c r="P49" s="34">
        <v>1</v>
      </c>
      <c r="Q49" s="33">
        <f t="shared" si="80"/>
        <v>2</v>
      </c>
      <c r="R49" s="30">
        <v>2</v>
      </c>
      <c r="S49" s="32">
        <f t="shared" si="81"/>
        <v>0</v>
      </c>
      <c r="T49" s="31"/>
      <c r="U49" s="33">
        <f t="shared" si="82"/>
        <v>2</v>
      </c>
      <c r="V49" s="30"/>
      <c r="W49" s="32">
        <f t="shared" si="83"/>
        <v>2</v>
      </c>
      <c r="X49" s="34">
        <v>1</v>
      </c>
      <c r="Y49" s="33">
        <f t="shared" si="84"/>
        <v>1</v>
      </c>
      <c r="Z49" s="30"/>
      <c r="AA49" s="32">
        <f t="shared" si="5"/>
        <v>1</v>
      </c>
      <c r="AB49" s="34">
        <v>1</v>
      </c>
      <c r="AC49" s="33">
        <f t="shared" si="85"/>
        <v>1</v>
      </c>
      <c r="AD49" s="30"/>
      <c r="AE49" s="32">
        <f t="shared" si="7"/>
        <v>1</v>
      </c>
      <c r="AF49" s="31">
        <v>1</v>
      </c>
      <c r="AG49" s="33">
        <f t="shared" si="86"/>
        <v>1</v>
      </c>
      <c r="AH49" s="30">
        <v>1</v>
      </c>
      <c r="AI49" s="32">
        <f t="shared" si="87"/>
        <v>0</v>
      </c>
      <c r="AJ49" s="31">
        <v>1</v>
      </c>
      <c r="AK49" s="33">
        <f t="shared" si="88"/>
        <v>2</v>
      </c>
      <c r="AL49" s="30">
        <v>1</v>
      </c>
      <c r="AM49" s="32">
        <f t="shared" si="89"/>
        <v>1</v>
      </c>
      <c r="AN49" s="31">
        <v>1</v>
      </c>
      <c r="AO49" s="33">
        <f t="shared" si="90"/>
        <v>2</v>
      </c>
      <c r="AP49" s="30">
        <v>1</v>
      </c>
      <c r="AQ49" s="32">
        <f t="shared" si="26"/>
        <v>1</v>
      </c>
      <c r="AR49" s="31">
        <v>1</v>
      </c>
      <c r="AS49" s="33">
        <f t="shared" si="91"/>
        <v>2</v>
      </c>
      <c r="AT49" s="30">
        <v>1</v>
      </c>
      <c r="AU49" s="32">
        <f t="shared" si="27"/>
        <v>1</v>
      </c>
      <c r="AV49" s="31">
        <v>1</v>
      </c>
      <c r="AW49" s="33">
        <f t="shared" si="92"/>
        <v>2</v>
      </c>
      <c r="AX49" s="30">
        <v>1</v>
      </c>
      <c r="AY49" s="32">
        <f t="shared" si="55"/>
        <v>1</v>
      </c>
      <c r="AZ49" s="31">
        <v>1</v>
      </c>
      <c r="BA49" s="33">
        <f t="shared" si="93"/>
        <v>2</v>
      </c>
      <c r="BB49" s="30">
        <v>1</v>
      </c>
      <c r="BC49" s="32">
        <f t="shared" si="94"/>
        <v>1</v>
      </c>
      <c r="BD49" s="31">
        <v>1</v>
      </c>
      <c r="BE49" s="33">
        <f t="shared" si="95"/>
        <v>2</v>
      </c>
      <c r="BF49" s="30">
        <v>1</v>
      </c>
      <c r="BG49" s="32">
        <f t="shared" si="28"/>
        <v>1</v>
      </c>
      <c r="BH49" s="31">
        <v>1</v>
      </c>
      <c r="BI49" s="33">
        <f t="shared" si="96"/>
        <v>2</v>
      </c>
      <c r="BJ49" s="30">
        <v>2</v>
      </c>
      <c r="BK49" s="32">
        <f t="shared" si="29"/>
        <v>0</v>
      </c>
      <c r="BL49" s="31"/>
      <c r="BM49" s="33">
        <f t="shared" si="97"/>
        <v>2</v>
      </c>
      <c r="BN49" s="30"/>
      <c r="BO49" s="32">
        <f t="shared" si="98"/>
        <v>2</v>
      </c>
      <c r="BP49" s="31"/>
      <c r="BQ49" s="33">
        <f t="shared" si="99"/>
        <v>0</v>
      </c>
      <c r="BR49" s="30"/>
      <c r="BS49" s="32">
        <f t="shared" si="100"/>
        <v>0</v>
      </c>
      <c r="BT49" s="31"/>
      <c r="BU49" s="33">
        <f t="shared" si="101"/>
        <v>0</v>
      </c>
      <c r="BV49" s="30"/>
      <c r="BW49" s="32">
        <f t="shared" si="102"/>
        <v>0</v>
      </c>
      <c r="BX49" s="31"/>
      <c r="BY49" s="33">
        <f t="shared" si="103"/>
        <v>0</v>
      </c>
      <c r="BZ49" s="30"/>
      <c r="CA49" s="32">
        <f t="shared" si="104"/>
        <v>0</v>
      </c>
      <c r="CB49" s="31"/>
      <c r="CC49" s="33">
        <f t="shared" si="105"/>
        <v>0</v>
      </c>
    </row>
    <row r="50" spans="1:81" ht="20.100000000000001" hidden="1" customHeight="1" x14ac:dyDescent="0.2">
      <c r="A50" s="19" t="s">
        <v>44</v>
      </c>
      <c r="B50" s="9" t="s">
        <v>7</v>
      </c>
      <c r="C50" s="10">
        <v>12</v>
      </c>
      <c r="D50" s="9" t="s">
        <v>9</v>
      </c>
      <c r="E50" s="13">
        <v>12</v>
      </c>
      <c r="F50" s="30">
        <v>10</v>
      </c>
      <c r="G50" s="32">
        <v>0</v>
      </c>
      <c r="H50" s="31"/>
      <c r="I50" s="33">
        <f t="shared" si="76"/>
        <v>10</v>
      </c>
      <c r="J50" s="30">
        <v>7</v>
      </c>
      <c r="K50" s="32">
        <f t="shared" si="77"/>
        <v>3</v>
      </c>
      <c r="L50" s="31"/>
      <c r="M50" s="33">
        <f t="shared" si="78"/>
        <v>7</v>
      </c>
      <c r="N50" s="30">
        <v>9</v>
      </c>
      <c r="O50" s="32">
        <f t="shared" si="79"/>
        <v>-2</v>
      </c>
      <c r="P50" s="34"/>
      <c r="Q50" s="33">
        <f t="shared" si="80"/>
        <v>9</v>
      </c>
      <c r="R50" s="30">
        <v>8</v>
      </c>
      <c r="S50" s="32">
        <f t="shared" si="81"/>
        <v>1</v>
      </c>
      <c r="T50" s="31"/>
      <c r="U50" s="33">
        <f t="shared" si="82"/>
        <v>8</v>
      </c>
      <c r="V50" s="30">
        <v>8</v>
      </c>
      <c r="W50" s="32">
        <f t="shared" si="83"/>
        <v>0</v>
      </c>
      <c r="X50" s="31"/>
      <c r="Y50" s="33">
        <f t="shared" si="84"/>
        <v>8</v>
      </c>
      <c r="Z50" s="30">
        <v>7</v>
      </c>
      <c r="AA50" s="32">
        <f t="shared" si="5"/>
        <v>1</v>
      </c>
      <c r="AB50" s="31"/>
      <c r="AC50" s="33">
        <f t="shared" si="85"/>
        <v>7</v>
      </c>
      <c r="AD50" s="30">
        <v>7</v>
      </c>
      <c r="AE50" s="32">
        <f t="shared" si="7"/>
        <v>0</v>
      </c>
      <c r="AF50" s="31"/>
      <c r="AG50" s="33">
        <f t="shared" si="86"/>
        <v>7</v>
      </c>
      <c r="AH50" s="30">
        <v>5</v>
      </c>
      <c r="AI50" s="32">
        <f t="shared" si="87"/>
        <v>2</v>
      </c>
      <c r="AJ50" s="31"/>
      <c r="AK50" s="33">
        <f t="shared" si="88"/>
        <v>5</v>
      </c>
      <c r="AL50" s="30">
        <v>5</v>
      </c>
      <c r="AM50" s="32">
        <f t="shared" si="89"/>
        <v>0</v>
      </c>
      <c r="AN50" s="31"/>
      <c r="AO50" s="33">
        <f t="shared" si="90"/>
        <v>5</v>
      </c>
      <c r="AP50" s="30">
        <v>5</v>
      </c>
      <c r="AQ50" s="32">
        <f t="shared" si="26"/>
        <v>0</v>
      </c>
      <c r="AR50" s="31">
        <v>1</v>
      </c>
      <c r="AS50" s="33">
        <f t="shared" si="91"/>
        <v>17</v>
      </c>
      <c r="AT50" s="30">
        <v>15</v>
      </c>
      <c r="AU50" s="32">
        <f t="shared" si="27"/>
        <v>2</v>
      </c>
      <c r="AV50" s="31"/>
      <c r="AW50" s="33">
        <f t="shared" si="92"/>
        <v>15</v>
      </c>
      <c r="AX50" s="30">
        <v>15</v>
      </c>
      <c r="AY50" s="32">
        <f t="shared" si="55"/>
        <v>0</v>
      </c>
      <c r="AZ50" s="31"/>
      <c r="BA50" s="33">
        <f t="shared" si="93"/>
        <v>15</v>
      </c>
      <c r="BB50" s="30">
        <v>15</v>
      </c>
      <c r="BC50" s="32">
        <f t="shared" si="94"/>
        <v>0</v>
      </c>
      <c r="BD50" s="31"/>
      <c r="BE50" s="33">
        <f t="shared" si="95"/>
        <v>15</v>
      </c>
      <c r="BF50" s="30">
        <v>13</v>
      </c>
      <c r="BG50" s="32">
        <f t="shared" si="28"/>
        <v>2</v>
      </c>
      <c r="BH50" s="31"/>
      <c r="BI50" s="33">
        <f t="shared" si="96"/>
        <v>13</v>
      </c>
      <c r="BJ50" s="30">
        <v>13</v>
      </c>
      <c r="BK50" s="32">
        <f t="shared" si="29"/>
        <v>0</v>
      </c>
      <c r="BL50" s="31"/>
      <c r="BM50" s="33">
        <f t="shared" si="97"/>
        <v>13</v>
      </c>
      <c r="BN50" s="30"/>
      <c r="BO50" s="32">
        <f t="shared" si="98"/>
        <v>13</v>
      </c>
      <c r="BP50" s="31"/>
      <c r="BQ50" s="33">
        <f t="shared" si="99"/>
        <v>0</v>
      </c>
      <c r="BR50" s="30"/>
      <c r="BS50" s="32">
        <f t="shared" si="100"/>
        <v>0</v>
      </c>
      <c r="BT50" s="31"/>
      <c r="BU50" s="33">
        <f t="shared" si="101"/>
        <v>0</v>
      </c>
      <c r="BV50" s="30"/>
      <c r="BW50" s="32">
        <f t="shared" si="102"/>
        <v>0</v>
      </c>
      <c r="BX50" s="31"/>
      <c r="BY50" s="33">
        <f t="shared" si="103"/>
        <v>0</v>
      </c>
      <c r="BZ50" s="30"/>
      <c r="CA50" s="32">
        <f t="shared" si="104"/>
        <v>0</v>
      </c>
      <c r="CB50" s="31"/>
      <c r="CC50" s="33">
        <f t="shared" si="105"/>
        <v>0</v>
      </c>
    </row>
    <row r="51" spans="1:81" ht="20.100000000000001" hidden="1" customHeight="1" x14ac:dyDescent="0.2">
      <c r="A51" s="19" t="s">
        <v>45</v>
      </c>
      <c r="B51" s="9" t="s">
        <v>7</v>
      </c>
      <c r="C51" s="10">
        <v>12</v>
      </c>
      <c r="D51" s="9" t="s">
        <v>9</v>
      </c>
      <c r="E51" s="13">
        <v>12</v>
      </c>
      <c r="F51" s="30">
        <v>17</v>
      </c>
      <c r="G51" s="32">
        <v>0</v>
      </c>
      <c r="H51" s="31"/>
      <c r="I51" s="33">
        <f t="shared" si="76"/>
        <v>17</v>
      </c>
      <c r="J51" s="30">
        <v>15</v>
      </c>
      <c r="K51" s="32">
        <f t="shared" si="77"/>
        <v>2</v>
      </c>
      <c r="L51" s="31"/>
      <c r="M51" s="33">
        <f t="shared" si="78"/>
        <v>15</v>
      </c>
      <c r="N51" s="30">
        <v>15</v>
      </c>
      <c r="O51" s="32">
        <f t="shared" si="79"/>
        <v>0</v>
      </c>
      <c r="P51" s="34"/>
      <c r="Q51" s="33">
        <f t="shared" si="80"/>
        <v>15</v>
      </c>
      <c r="R51" s="30">
        <v>13</v>
      </c>
      <c r="S51" s="32">
        <f t="shared" si="81"/>
        <v>2</v>
      </c>
      <c r="T51" s="31"/>
      <c r="U51" s="33">
        <f t="shared" si="82"/>
        <v>13</v>
      </c>
      <c r="V51" s="30">
        <v>12</v>
      </c>
      <c r="W51" s="32">
        <f t="shared" si="83"/>
        <v>1</v>
      </c>
      <c r="X51" s="31"/>
      <c r="Y51" s="33">
        <f t="shared" si="84"/>
        <v>12</v>
      </c>
      <c r="Z51" s="30">
        <v>10</v>
      </c>
      <c r="AA51" s="32">
        <f t="shared" si="5"/>
        <v>2</v>
      </c>
      <c r="AB51" s="31"/>
      <c r="AC51" s="33">
        <f t="shared" si="85"/>
        <v>10</v>
      </c>
      <c r="AD51" s="30">
        <v>8</v>
      </c>
      <c r="AE51" s="32">
        <f t="shared" si="7"/>
        <v>2</v>
      </c>
      <c r="AF51" s="31"/>
      <c r="AG51" s="33">
        <f t="shared" si="86"/>
        <v>8</v>
      </c>
      <c r="AH51" s="30">
        <v>6</v>
      </c>
      <c r="AI51" s="32">
        <f t="shared" si="87"/>
        <v>2</v>
      </c>
      <c r="AJ51" s="31"/>
      <c r="AK51" s="33">
        <f t="shared" si="88"/>
        <v>6</v>
      </c>
      <c r="AL51" s="30">
        <v>4</v>
      </c>
      <c r="AM51" s="32">
        <f t="shared" si="89"/>
        <v>2</v>
      </c>
      <c r="AN51" s="31">
        <v>1</v>
      </c>
      <c r="AO51" s="33">
        <f t="shared" si="90"/>
        <v>16</v>
      </c>
      <c r="AP51" s="30">
        <v>14</v>
      </c>
      <c r="AQ51" s="32">
        <f t="shared" si="26"/>
        <v>2</v>
      </c>
      <c r="AR51" s="31"/>
      <c r="AS51" s="33">
        <f t="shared" si="91"/>
        <v>14</v>
      </c>
      <c r="AT51" s="30">
        <v>14</v>
      </c>
      <c r="AU51" s="32">
        <f t="shared" si="27"/>
        <v>0</v>
      </c>
      <c r="AV51" s="31"/>
      <c r="AW51" s="33">
        <f t="shared" si="92"/>
        <v>14</v>
      </c>
      <c r="AX51" s="30">
        <v>14</v>
      </c>
      <c r="AY51" s="32">
        <f t="shared" si="55"/>
        <v>0</v>
      </c>
      <c r="AZ51" s="31"/>
      <c r="BA51" s="33">
        <f t="shared" si="93"/>
        <v>14</v>
      </c>
      <c r="BB51" s="30">
        <v>14</v>
      </c>
      <c r="BC51" s="32">
        <f t="shared" si="94"/>
        <v>0</v>
      </c>
      <c r="BD51" s="31"/>
      <c r="BE51" s="33">
        <f t="shared" si="95"/>
        <v>14</v>
      </c>
      <c r="BF51" s="30">
        <v>14</v>
      </c>
      <c r="BG51" s="32">
        <f t="shared" si="28"/>
        <v>0</v>
      </c>
      <c r="BH51" s="31"/>
      <c r="BI51" s="33">
        <f t="shared" si="96"/>
        <v>14</v>
      </c>
      <c r="BJ51" s="30">
        <v>14</v>
      </c>
      <c r="BK51" s="32">
        <f t="shared" si="29"/>
        <v>0</v>
      </c>
      <c r="BL51" s="31"/>
      <c r="BM51" s="33">
        <f t="shared" si="97"/>
        <v>14</v>
      </c>
      <c r="BN51" s="30"/>
      <c r="BO51" s="32">
        <f t="shared" si="98"/>
        <v>14</v>
      </c>
      <c r="BP51" s="31"/>
      <c r="BQ51" s="33">
        <f t="shared" si="99"/>
        <v>0</v>
      </c>
      <c r="BR51" s="30"/>
      <c r="BS51" s="32">
        <f t="shared" si="100"/>
        <v>0</v>
      </c>
      <c r="BT51" s="31"/>
      <c r="BU51" s="33">
        <f t="shared" si="101"/>
        <v>0</v>
      </c>
      <c r="BV51" s="30"/>
      <c r="BW51" s="32">
        <f t="shared" si="102"/>
        <v>0</v>
      </c>
      <c r="BX51" s="31"/>
      <c r="BY51" s="33">
        <f t="shared" si="103"/>
        <v>0</v>
      </c>
      <c r="BZ51" s="30"/>
      <c r="CA51" s="32">
        <f t="shared" si="104"/>
        <v>0</v>
      </c>
      <c r="CB51" s="31"/>
      <c r="CC51" s="33">
        <f t="shared" si="105"/>
        <v>0</v>
      </c>
    </row>
    <row r="52" spans="1:81" ht="20.100000000000001" customHeight="1" x14ac:dyDescent="0.2">
      <c r="A52" s="19" t="s">
        <v>46</v>
      </c>
      <c r="B52" s="9" t="s">
        <v>7</v>
      </c>
      <c r="C52" s="10">
        <v>1</v>
      </c>
      <c r="D52" s="9" t="s">
        <v>9</v>
      </c>
      <c r="E52" s="13">
        <v>1</v>
      </c>
      <c r="F52" s="30">
        <v>1</v>
      </c>
      <c r="G52" s="32">
        <v>3</v>
      </c>
      <c r="H52" s="34">
        <v>5</v>
      </c>
      <c r="I52" s="33">
        <f t="shared" si="76"/>
        <v>6</v>
      </c>
      <c r="J52" s="30">
        <v>2</v>
      </c>
      <c r="K52" s="32">
        <f t="shared" si="77"/>
        <v>4</v>
      </c>
      <c r="L52" s="31">
        <v>4</v>
      </c>
      <c r="M52" s="33">
        <f t="shared" si="78"/>
        <v>6</v>
      </c>
      <c r="N52" s="30">
        <v>2</v>
      </c>
      <c r="O52" s="32">
        <f t="shared" si="79"/>
        <v>4</v>
      </c>
      <c r="P52" s="34">
        <v>4</v>
      </c>
      <c r="Q52" s="33">
        <f t="shared" si="80"/>
        <v>6</v>
      </c>
      <c r="R52" s="30">
        <v>2</v>
      </c>
      <c r="S52" s="32">
        <f t="shared" si="81"/>
        <v>4</v>
      </c>
      <c r="T52" s="31">
        <v>4</v>
      </c>
      <c r="U52" s="33">
        <f t="shared" si="82"/>
        <v>6</v>
      </c>
      <c r="V52" s="30">
        <v>1</v>
      </c>
      <c r="W52" s="32">
        <f t="shared" si="83"/>
        <v>5</v>
      </c>
      <c r="X52" s="34">
        <v>5</v>
      </c>
      <c r="Y52" s="33">
        <f t="shared" si="84"/>
        <v>6</v>
      </c>
      <c r="Z52" s="30">
        <v>3</v>
      </c>
      <c r="AA52" s="32">
        <f t="shared" si="5"/>
        <v>3</v>
      </c>
      <c r="AB52" s="34">
        <v>2</v>
      </c>
      <c r="AC52" s="33">
        <f t="shared" si="85"/>
        <v>5</v>
      </c>
      <c r="AD52" s="30">
        <v>1</v>
      </c>
      <c r="AE52" s="32">
        <f t="shared" si="7"/>
        <v>4</v>
      </c>
      <c r="AF52" s="31">
        <v>5</v>
      </c>
      <c r="AG52" s="33">
        <f t="shared" si="86"/>
        <v>6</v>
      </c>
      <c r="AH52" s="30">
        <v>2</v>
      </c>
      <c r="AI52" s="32">
        <f t="shared" si="87"/>
        <v>4</v>
      </c>
      <c r="AJ52" s="31">
        <v>5</v>
      </c>
      <c r="AK52" s="33">
        <f t="shared" si="88"/>
        <v>7</v>
      </c>
      <c r="AL52" s="30">
        <v>4</v>
      </c>
      <c r="AM52" s="32">
        <f t="shared" si="89"/>
        <v>3</v>
      </c>
      <c r="AN52" s="31">
        <v>2</v>
      </c>
      <c r="AO52" s="33">
        <f t="shared" si="90"/>
        <v>6</v>
      </c>
      <c r="AP52" s="30">
        <v>1</v>
      </c>
      <c r="AQ52" s="32">
        <f t="shared" si="26"/>
        <v>5</v>
      </c>
      <c r="AR52" s="31">
        <v>6</v>
      </c>
      <c r="AS52" s="33">
        <f t="shared" si="91"/>
        <v>7</v>
      </c>
      <c r="AT52" s="30">
        <v>4</v>
      </c>
      <c r="AU52" s="32">
        <f t="shared" si="27"/>
        <v>3</v>
      </c>
      <c r="AV52" s="31">
        <v>3</v>
      </c>
      <c r="AW52" s="33">
        <f t="shared" si="92"/>
        <v>7</v>
      </c>
      <c r="AX52" s="30">
        <v>4</v>
      </c>
      <c r="AY52" s="32">
        <f t="shared" si="55"/>
        <v>3</v>
      </c>
      <c r="AZ52" s="31">
        <v>2</v>
      </c>
      <c r="BA52" s="33">
        <f t="shared" si="93"/>
        <v>6</v>
      </c>
      <c r="BB52" s="30">
        <v>1</v>
      </c>
      <c r="BC52" s="32">
        <f t="shared" si="94"/>
        <v>5</v>
      </c>
      <c r="BD52" s="31">
        <v>6</v>
      </c>
      <c r="BE52" s="33">
        <f t="shared" si="95"/>
        <v>7</v>
      </c>
      <c r="BF52" s="30">
        <v>3</v>
      </c>
      <c r="BG52" s="32">
        <f t="shared" si="28"/>
        <v>4</v>
      </c>
      <c r="BH52" s="31">
        <v>4</v>
      </c>
      <c r="BI52" s="33">
        <f t="shared" si="96"/>
        <v>7</v>
      </c>
      <c r="BJ52" s="30">
        <v>4</v>
      </c>
      <c r="BK52" s="32">
        <f t="shared" si="29"/>
        <v>3</v>
      </c>
      <c r="BL52" s="31">
        <v>4</v>
      </c>
      <c r="BM52" s="33">
        <f t="shared" si="97"/>
        <v>8</v>
      </c>
      <c r="BN52" s="30"/>
      <c r="BO52" s="32">
        <f t="shared" si="98"/>
        <v>8</v>
      </c>
      <c r="BP52" s="31"/>
      <c r="BQ52" s="33">
        <f t="shared" si="99"/>
        <v>0</v>
      </c>
      <c r="BR52" s="30"/>
      <c r="BS52" s="32">
        <f t="shared" si="100"/>
        <v>0</v>
      </c>
      <c r="BT52" s="31"/>
      <c r="BU52" s="33">
        <f t="shared" si="101"/>
        <v>0</v>
      </c>
      <c r="BV52" s="30"/>
      <c r="BW52" s="32">
        <f t="shared" si="102"/>
        <v>0</v>
      </c>
      <c r="BX52" s="31"/>
      <c r="BY52" s="33">
        <f t="shared" si="103"/>
        <v>0</v>
      </c>
      <c r="BZ52" s="30"/>
      <c r="CA52" s="32">
        <f t="shared" si="104"/>
        <v>0</v>
      </c>
      <c r="CB52" s="31"/>
      <c r="CC52" s="33">
        <f t="shared" si="105"/>
        <v>0</v>
      </c>
    </row>
    <row r="53" spans="1:81" ht="20.100000000000001" hidden="1" customHeight="1" x14ac:dyDescent="0.2">
      <c r="A53" s="19" t="s">
        <v>285</v>
      </c>
      <c r="B53" s="9" t="s">
        <v>7</v>
      </c>
      <c r="C53" s="14">
        <v>3200</v>
      </c>
      <c r="D53" s="9" t="s">
        <v>9</v>
      </c>
      <c r="E53" s="13">
        <v>3200</v>
      </c>
      <c r="F53" s="30">
        <v>2270</v>
      </c>
      <c r="G53" s="32">
        <v>30</v>
      </c>
      <c r="H53" s="31"/>
      <c r="I53" s="33">
        <f t="shared" si="76"/>
        <v>2270</v>
      </c>
      <c r="J53" s="30">
        <v>2200</v>
      </c>
      <c r="K53" s="32">
        <f t="shared" si="77"/>
        <v>70</v>
      </c>
      <c r="L53" s="31"/>
      <c r="M53" s="33">
        <f t="shared" si="78"/>
        <v>2200</v>
      </c>
      <c r="N53" s="30">
        <v>2150</v>
      </c>
      <c r="O53" s="32">
        <f t="shared" si="79"/>
        <v>50</v>
      </c>
      <c r="P53" s="34"/>
      <c r="Q53" s="33">
        <f t="shared" si="80"/>
        <v>2150</v>
      </c>
      <c r="R53" s="30">
        <v>2150</v>
      </c>
      <c r="S53" s="32">
        <f t="shared" si="81"/>
        <v>0</v>
      </c>
      <c r="T53" s="31"/>
      <c r="U53" s="33">
        <f t="shared" si="82"/>
        <v>2150</v>
      </c>
      <c r="V53" s="30">
        <v>2050</v>
      </c>
      <c r="W53" s="32">
        <f t="shared" si="83"/>
        <v>100</v>
      </c>
      <c r="X53" s="31"/>
      <c r="Y53" s="33">
        <f t="shared" si="84"/>
        <v>2050</v>
      </c>
      <c r="Z53" s="30">
        <v>1900</v>
      </c>
      <c r="AA53" s="32">
        <f t="shared" si="5"/>
        <v>150</v>
      </c>
      <c r="AB53" s="31"/>
      <c r="AC53" s="33">
        <f t="shared" si="85"/>
        <v>1900</v>
      </c>
      <c r="AD53" s="30">
        <v>1750</v>
      </c>
      <c r="AE53" s="32">
        <f t="shared" si="7"/>
        <v>150</v>
      </c>
      <c r="AF53" s="31"/>
      <c r="AG53" s="33">
        <f t="shared" si="86"/>
        <v>1750</v>
      </c>
      <c r="AH53" s="30">
        <v>1700</v>
      </c>
      <c r="AI53" s="32">
        <f t="shared" si="87"/>
        <v>50</v>
      </c>
      <c r="AJ53" s="31"/>
      <c r="AK53" s="33">
        <f t="shared" si="88"/>
        <v>1700</v>
      </c>
      <c r="AL53" s="30">
        <v>1600</v>
      </c>
      <c r="AM53" s="32">
        <f t="shared" si="89"/>
        <v>100</v>
      </c>
      <c r="AN53" s="31"/>
      <c r="AO53" s="33">
        <f t="shared" si="90"/>
        <v>1600</v>
      </c>
      <c r="AP53" s="30">
        <v>1600</v>
      </c>
      <c r="AQ53" s="32">
        <f t="shared" si="26"/>
        <v>0</v>
      </c>
      <c r="AR53" s="31"/>
      <c r="AS53" s="33">
        <f t="shared" si="91"/>
        <v>1600</v>
      </c>
      <c r="AT53" s="30">
        <v>1550</v>
      </c>
      <c r="AU53" s="32">
        <f t="shared" si="27"/>
        <v>50</v>
      </c>
      <c r="AV53" s="31"/>
      <c r="AW53" s="33">
        <f t="shared" si="92"/>
        <v>1550</v>
      </c>
      <c r="AX53" s="30">
        <v>1400</v>
      </c>
      <c r="AY53" s="32">
        <f t="shared" si="55"/>
        <v>150</v>
      </c>
      <c r="AZ53" s="31"/>
      <c r="BA53" s="33">
        <f t="shared" si="93"/>
        <v>1400</v>
      </c>
      <c r="BB53" s="30">
        <v>1015</v>
      </c>
      <c r="BC53" s="32">
        <f t="shared" si="94"/>
        <v>385</v>
      </c>
      <c r="BD53" s="31"/>
      <c r="BE53" s="33">
        <f t="shared" si="95"/>
        <v>1015</v>
      </c>
      <c r="BF53" s="30">
        <v>950</v>
      </c>
      <c r="BG53" s="32">
        <f t="shared" si="28"/>
        <v>65</v>
      </c>
      <c r="BH53" s="31"/>
      <c r="BI53" s="33">
        <f t="shared" si="96"/>
        <v>950</v>
      </c>
      <c r="BJ53" s="30">
        <v>900</v>
      </c>
      <c r="BK53" s="32">
        <f t="shared" si="29"/>
        <v>50</v>
      </c>
      <c r="BL53" s="31"/>
      <c r="BM53" s="33">
        <f t="shared" si="97"/>
        <v>900</v>
      </c>
      <c r="BN53" s="30"/>
      <c r="BO53" s="32">
        <f t="shared" si="98"/>
        <v>900</v>
      </c>
      <c r="BP53" s="31"/>
      <c r="BQ53" s="33">
        <f t="shared" si="99"/>
        <v>0</v>
      </c>
      <c r="BR53" s="30"/>
      <c r="BS53" s="32">
        <f t="shared" si="100"/>
        <v>0</v>
      </c>
      <c r="BT53" s="31"/>
      <c r="BU53" s="33">
        <f t="shared" si="101"/>
        <v>0</v>
      </c>
      <c r="BV53" s="30"/>
      <c r="BW53" s="32">
        <f t="shared" si="102"/>
        <v>0</v>
      </c>
      <c r="BX53" s="31"/>
      <c r="BY53" s="33">
        <f t="shared" si="103"/>
        <v>0</v>
      </c>
      <c r="BZ53" s="30"/>
      <c r="CA53" s="32">
        <f t="shared" si="104"/>
        <v>0</v>
      </c>
      <c r="CB53" s="31"/>
      <c r="CC53" s="33">
        <f t="shared" si="105"/>
        <v>0</v>
      </c>
    </row>
    <row r="54" spans="1:81" ht="20.100000000000001" hidden="1" customHeight="1" x14ac:dyDescent="0.2">
      <c r="A54" s="19" t="s">
        <v>49</v>
      </c>
      <c r="B54" s="9" t="s">
        <v>7</v>
      </c>
      <c r="C54" s="14">
        <v>1000</v>
      </c>
      <c r="D54" s="9" t="s">
        <v>9</v>
      </c>
      <c r="E54" s="13">
        <v>1000</v>
      </c>
      <c r="F54" s="30">
        <v>1400</v>
      </c>
      <c r="G54" s="32">
        <v>123</v>
      </c>
      <c r="H54" s="31"/>
      <c r="I54" s="33">
        <f t="shared" si="76"/>
        <v>1400</v>
      </c>
      <c r="J54" s="30">
        <v>1280</v>
      </c>
      <c r="K54" s="32">
        <f t="shared" si="77"/>
        <v>120</v>
      </c>
      <c r="L54" s="31"/>
      <c r="M54" s="33">
        <f t="shared" si="78"/>
        <v>1280</v>
      </c>
      <c r="N54" s="30">
        <v>1175</v>
      </c>
      <c r="O54" s="32">
        <f t="shared" si="79"/>
        <v>105</v>
      </c>
      <c r="P54" s="34"/>
      <c r="Q54" s="33">
        <f t="shared" si="80"/>
        <v>1175</v>
      </c>
      <c r="R54" s="30">
        <v>1105</v>
      </c>
      <c r="S54" s="32">
        <f t="shared" si="81"/>
        <v>70</v>
      </c>
      <c r="T54" s="31"/>
      <c r="U54" s="33">
        <f t="shared" si="82"/>
        <v>1105</v>
      </c>
      <c r="V54" s="30">
        <v>950</v>
      </c>
      <c r="W54" s="32">
        <f t="shared" si="83"/>
        <v>155</v>
      </c>
      <c r="X54" s="31"/>
      <c r="Y54" s="33">
        <f t="shared" si="84"/>
        <v>950</v>
      </c>
      <c r="Z54" s="30">
        <v>850</v>
      </c>
      <c r="AA54" s="32">
        <f t="shared" si="5"/>
        <v>100</v>
      </c>
      <c r="AB54" s="31"/>
      <c r="AC54" s="33">
        <f t="shared" si="85"/>
        <v>850</v>
      </c>
      <c r="AD54" s="30">
        <v>450</v>
      </c>
      <c r="AE54" s="32">
        <f t="shared" si="7"/>
        <v>400</v>
      </c>
      <c r="AF54" s="31">
        <v>1</v>
      </c>
      <c r="AG54" s="33">
        <f t="shared" si="86"/>
        <v>1450</v>
      </c>
      <c r="AH54" s="30">
        <v>1000</v>
      </c>
      <c r="AI54" s="32">
        <f t="shared" si="87"/>
        <v>450</v>
      </c>
      <c r="AJ54" s="31"/>
      <c r="AK54" s="33">
        <f t="shared" si="88"/>
        <v>1000</v>
      </c>
      <c r="AL54" s="30">
        <v>1000</v>
      </c>
      <c r="AM54" s="32">
        <f t="shared" si="89"/>
        <v>0</v>
      </c>
      <c r="AN54" s="31"/>
      <c r="AO54" s="33">
        <f t="shared" si="90"/>
        <v>1000</v>
      </c>
      <c r="AP54" s="30">
        <v>900</v>
      </c>
      <c r="AQ54" s="32">
        <f t="shared" si="26"/>
        <v>100</v>
      </c>
      <c r="AR54" s="31"/>
      <c r="AS54" s="33">
        <f t="shared" si="91"/>
        <v>900</v>
      </c>
      <c r="AT54" s="30">
        <v>500</v>
      </c>
      <c r="AU54" s="32">
        <f t="shared" si="27"/>
        <v>400</v>
      </c>
      <c r="AV54" s="31">
        <v>1</v>
      </c>
      <c r="AW54" s="33">
        <f t="shared" si="92"/>
        <v>1500</v>
      </c>
      <c r="AX54" s="30">
        <v>1300</v>
      </c>
      <c r="AY54" s="32">
        <f t="shared" si="55"/>
        <v>200</v>
      </c>
      <c r="AZ54" s="31"/>
      <c r="BA54" s="33">
        <f t="shared" si="93"/>
        <v>1300</v>
      </c>
      <c r="BB54" s="30">
        <v>1257</v>
      </c>
      <c r="BC54" s="32">
        <f t="shared" si="94"/>
        <v>43</v>
      </c>
      <c r="BD54" s="31"/>
      <c r="BE54" s="33">
        <f t="shared" si="95"/>
        <v>1257</v>
      </c>
      <c r="BF54" s="30">
        <v>1195</v>
      </c>
      <c r="BG54" s="32">
        <f t="shared" si="28"/>
        <v>62</v>
      </c>
      <c r="BH54" s="31"/>
      <c r="BI54" s="33">
        <f t="shared" si="96"/>
        <v>1195</v>
      </c>
      <c r="BJ54" s="30">
        <v>1081</v>
      </c>
      <c r="BK54" s="32">
        <f t="shared" si="29"/>
        <v>114</v>
      </c>
      <c r="BL54" s="31"/>
      <c r="BM54" s="33">
        <f t="shared" si="97"/>
        <v>1081</v>
      </c>
      <c r="BN54" s="30"/>
      <c r="BO54" s="32">
        <f t="shared" si="98"/>
        <v>1081</v>
      </c>
      <c r="BP54" s="31"/>
      <c r="BQ54" s="33">
        <f t="shared" si="99"/>
        <v>0</v>
      </c>
      <c r="BR54" s="30"/>
      <c r="BS54" s="32">
        <f t="shared" si="100"/>
        <v>0</v>
      </c>
      <c r="BT54" s="31"/>
      <c r="BU54" s="33">
        <f t="shared" si="101"/>
        <v>0</v>
      </c>
      <c r="BV54" s="30"/>
      <c r="BW54" s="32">
        <f t="shared" si="102"/>
        <v>0</v>
      </c>
      <c r="BX54" s="31"/>
      <c r="BY54" s="33">
        <f t="shared" si="103"/>
        <v>0</v>
      </c>
      <c r="BZ54" s="30"/>
      <c r="CA54" s="32">
        <f t="shared" si="104"/>
        <v>0</v>
      </c>
      <c r="CB54" s="31"/>
      <c r="CC54" s="33">
        <f t="shared" si="105"/>
        <v>0</v>
      </c>
    </row>
    <row r="55" spans="1:81" ht="20.100000000000001" hidden="1" customHeight="1" x14ac:dyDescent="0.2">
      <c r="A55" s="19" t="s">
        <v>274</v>
      </c>
      <c r="B55" s="9" t="s">
        <v>106</v>
      </c>
      <c r="C55" s="10">
        <v>1</v>
      </c>
      <c r="D55" s="9" t="s">
        <v>9</v>
      </c>
      <c r="E55" s="13">
        <v>1</v>
      </c>
      <c r="F55" s="30"/>
      <c r="G55" s="32">
        <v>0</v>
      </c>
      <c r="H55" s="31"/>
      <c r="I55" s="33">
        <f t="shared" si="76"/>
        <v>0</v>
      </c>
      <c r="J55" s="30"/>
      <c r="K55" s="32">
        <f t="shared" si="77"/>
        <v>0</v>
      </c>
      <c r="L55" s="31"/>
      <c r="M55" s="33">
        <f t="shared" si="78"/>
        <v>0</v>
      </c>
      <c r="N55" s="30">
        <v>0</v>
      </c>
      <c r="O55" s="32">
        <f t="shared" si="79"/>
        <v>0</v>
      </c>
      <c r="P55" s="34">
        <v>0</v>
      </c>
      <c r="Q55" s="33">
        <f t="shared" si="80"/>
        <v>0</v>
      </c>
      <c r="R55" s="30"/>
      <c r="S55" s="32">
        <f t="shared" si="81"/>
        <v>0</v>
      </c>
      <c r="T55" s="31"/>
      <c r="U55" s="33">
        <f t="shared" si="82"/>
        <v>0</v>
      </c>
      <c r="V55" s="30"/>
      <c r="W55" s="32">
        <f t="shared" si="83"/>
        <v>0</v>
      </c>
      <c r="X55" s="31"/>
      <c r="Y55" s="33">
        <f t="shared" si="84"/>
        <v>0</v>
      </c>
      <c r="Z55" s="30"/>
      <c r="AA55" s="32">
        <f t="shared" si="5"/>
        <v>0</v>
      </c>
      <c r="AB55" s="31"/>
      <c r="AC55" s="33">
        <f t="shared" si="85"/>
        <v>0</v>
      </c>
      <c r="AD55" s="30"/>
      <c r="AE55" s="32">
        <f t="shared" si="7"/>
        <v>0</v>
      </c>
      <c r="AF55" s="31">
        <v>3</v>
      </c>
      <c r="AG55" s="33">
        <f t="shared" si="86"/>
        <v>3</v>
      </c>
      <c r="AH55" s="30">
        <v>2</v>
      </c>
      <c r="AI55" s="32">
        <f t="shared" si="87"/>
        <v>1</v>
      </c>
      <c r="AJ55" s="31"/>
      <c r="AK55" s="33">
        <f t="shared" si="88"/>
        <v>2</v>
      </c>
      <c r="AL55" s="30">
        <v>2</v>
      </c>
      <c r="AM55" s="32">
        <f t="shared" si="89"/>
        <v>0</v>
      </c>
      <c r="AN55" s="31"/>
      <c r="AO55" s="33">
        <f t="shared" si="90"/>
        <v>2</v>
      </c>
      <c r="AP55" s="30">
        <v>1</v>
      </c>
      <c r="AQ55" s="32">
        <f t="shared" si="26"/>
        <v>1</v>
      </c>
      <c r="AR55" s="31">
        <v>4</v>
      </c>
      <c r="AS55" s="33">
        <f t="shared" si="91"/>
        <v>5</v>
      </c>
      <c r="AT55" s="30">
        <v>4</v>
      </c>
      <c r="AU55" s="32">
        <f t="shared" si="27"/>
        <v>1</v>
      </c>
      <c r="AV55" s="31"/>
      <c r="AW55" s="33">
        <f t="shared" si="92"/>
        <v>4</v>
      </c>
      <c r="AX55" s="30">
        <v>4</v>
      </c>
      <c r="AY55" s="32">
        <f t="shared" si="55"/>
        <v>0</v>
      </c>
      <c r="AZ55" s="31"/>
      <c r="BA55" s="33">
        <f t="shared" si="93"/>
        <v>4</v>
      </c>
      <c r="BB55" s="30">
        <v>4</v>
      </c>
      <c r="BC55" s="32">
        <f t="shared" si="94"/>
        <v>0</v>
      </c>
      <c r="BD55" s="31"/>
      <c r="BE55" s="33">
        <f t="shared" si="95"/>
        <v>4</v>
      </c>
      <c r="BF55" s="30">
        <v>4</v>
      </c>
      <c r="BG55" s="32">
        <f t="shared" si="28"/>
        <v>0</v>
      </c>
      <c r="BH55" s="31"/>
      <c r="BI55" s="33">
        <f t="shared" si="96"/>
        <v>4</v>
      </c>
      <c r="BJ55" s="30">
        <v>4</v>
      </c>
      <c r="BK55" s="32">
        <f t="shared" si="29"/>
        <v>0</v>
      </c>
      <c r="BL55" s="31"/>
      <c r="BM55" s="33">
        <f t="shared" si="97"/>
        <v>4</v>
      </c>
      <c r="BN55" s="30"/>
      <c r="BO55" s="32">
        <f t="shared" si="98"/>
        <v>4</v>
      </c>
      <c r="BP55" s="31"/>
      <c r="BQ55" s="33">
        <f t="shared" si="99"/>
        <v>0</v>
      </c>
      <c r="BR55" s="30"/>
      <c r="BS55" s="32">
        <f t="shared" si="100"/>
        <v>0</v>
      </c>
      <c r="BT55" s="31"/>
      <c r="BU55" s="33">
        <f t="shared" si="101"/>
        <v>0</v>
      </c>
      <c r="BV55" s="30"/>
      <c r="BW55" s="32">
        <f t="shared" si="102"/>
        <v>0</v>
      </c>
      <c r="BX55" s="31"/>
      <c r="BY55" s="33">
        <f t="shared" si="103"/>
        <v>0</v>
      </c>
      <c r="BZ55" s="30"/>
      <c r="CA55" s="32">
        <f t="shared" si="104"/>
        <v>0</v>
      </c>
      <c r="CB55" s="31"/>
      <c r="CC55" s="33">
        <f t="shared" si="105"/>
        <v>0</v>
      </c>
    </row>
    <row r="56" spans="1:81" ht="20.100000000000001" hidden="1" customHeight="1" thickBot="1" x14ac:dyDescent="0.25">
      <c r="A56" s="21" t="s">
        <v>286</v>
      </c>
      <c r="B56" s="23" t="s">
        <v>7</v>
      </c>
      <c r="C56" s="24">
        <v>1000</v>
      </c>
      <c r="D56" s="23" t="s">
        <v>9</v>
      </c>
      <c r="E56" s="25">
        <v>1000</v>
      </c>
      <c r="F56" s="30">
        <v>1200</v>
      </c>
      <c r="G56" s="32">
        <v>256</v>
      </c>
      <c r="H56" s="31"/>
      <c r="I56" s="33">
        <f t="shared" si="76"/>
        <v>1200</v>
      </c>
      <c r="J56" s="30">
        <v>1100</v>
      </c>
      <c r="K56" s="32">
        <f t="shared" si="77"/>
        <v>100</v>
      </c>
      <c r="L56" s="31"/>
      <c r="M56" s="33">
        <f t="shared" si="78"/>
        <v>1100</v>
      </c>
      <c r="N56" s="30">
        <v>1200</v>
      </c>
      <c r="O56" s="32">
        <f t="shared" si="79"/>
        <v>-100</v>
      </c>
      <c r="P56" s="34"/>
      <c r="Q56" s="33">
        <f t="shared" si="80"/>
        <v>1200</v>
      </c>
      <c r="R56" s="30">
        <v>1115</v>
      </c>
      <c r="S56" s="32">
        <f t="shared" si="81"/>
        <v>85</v>
      </c>
      <c r="T56" s="31"/>
      <c r="U56" s="33">
        <f t="shared" si="82"/>
        <v>1115</v>
      </c>
      <c r="V56" s="30">
        <v>1080</v>
      </c>
      <c r="W56" s="32">
        <f t="shared" si="83"/>
        <v>35</v>
      </c>
      <c r="X56" s="31"/>
      <c r="Y56" s="33">
        <f t="shared" si="84"/>
        <v>1080</v>
      </c>
      <c r="Z56" s="30">
        <v>1000</v>
      </c>
      <c r="AA56" s="32">
        <f t="shared" si="5"/>
        <v>80</v>
      </c>
      <c r="AB56" s="31"/>
      <c r="AC56" s="33">
        <f t="shared" si="85"/>
        <v>1000</v>
      </c>
      <c r="AD56" s="30">
        <v>1000</v>
      </c>
      <c r="AE56" s="32">
        <f t="shared" si="7"/>
        <v>0</v>
      </c>
      <c r="AF56" s="31"/>
      <c r="AG56" s="33">
        <f t="shared" si="86"/>
        <v>1000</v>
      </c>
      <c r="AH56" s="30">
        <v>1000</v>
      </c>
      <c r="AI56" s="32">
        <f t="shared" si="87"/>
        <v>0</v>
      </c>
      <c r="AJ56" s="31"/>
      <c r="AK56" s="33">
        <f t="shared" si="88"/>
        <v>1000</v>
      </c>
      <c r="AL56" s="30">
        <v>980</v>
      </c>
      <c r="AM56" s="32">
        <f t="shared" si="89"/>
        <v>20</v>
      </c>
      <c r="AN56" s="31"/>
      <c r="AO56" s="33">
        <f t="shared" si="90"/>
        <v>980</v>
      </c>
      <c r="AP56" s="30">
        <v>900</v>
      </c>
      <c r="AQ56" s="32">
        <f t="shared" si="26"/>
        <v>80</v>
      </c>
      <c r="AR56" s="31"/>
      <c r="AS56" s="33">
        <f t="shared" si="91"/>
        <v>900</v>
      </c>
      <c r="AT56" s="30">
        <v>800</v>
      </c>
      <c r="AU56" s="32">
        <f t="shared" si="27"/>
        <v>100</v>
      </c>
      <c r="AV56" s="31"/>
      <c r="AW56" s="33">
        <f t="shared" si="92"/>
        <v>800</v>
      </c>
      <c r="AX56" s="30">
        <v>770</v>
      </c>
      <c r="AY56" s="32">
        <f t="shared" si="55"/>
        <v>30</v>
      </c>
      <c r="AZ56" s="31"/>
      <c r="BA56" s="33">
        <f t="shared" si="93"/>
        <v>770</v>
      </c>
      <c r="BB56" s="30">
        <v>623</v>
      </c>
      <c r="BC56" s="32">
        <f t="shared" si="94"/>
        <v>147</v>
      </c>
      <c r="BD56" s="31"/>
      <c r="BE56" s="33">
        <f t="shared" si="95"/>
        <v>623</v>
      </c>
      <c r="BF56" s="30">
        <v>570</v>
      </c>
      <c r="BG56" s="32">
        <f t="shared" si="28"/>
        <v>53</v>
      </c>
      <c r="BH56" s="31"/>
      <c r="BI56" s="33">
        <f t="shared" si="96"/>
        <v>570</v>
      </c>
      <c r="BJ56" s="30">
        <v>480</v>
      </c>
      <c r="BK56" s="32">
        <f t="shared" si="29"/>
        <v>90</v>
      </c>
      <c r="BL56" s="31"/>
      <c r="BM56" s="33">
        <f t="shared" si="97"/>
        <v>480</v>
      </c>
      <c r="BN56" s="30"/>
      <c r="BO56" s="32">
        <f t="shared" si="98"/>
        <v>480</v>
      </c>
      <c r="BP56" s="31"/>
      <c r="BQ56" s="33">
        <f t="shared" si="99"/>
        <v>0</v>
      </c>
      <c r="BR56" s="30"/>
      <c r="BS56" s="32">
        <f t="shared" si="100"/>
        <v>0</v>
      </c>
      <c r="BT56" s="31"/>
      <c r="BU56" s="33">
        <f t="shared" si="101"/>
        <v>0</v>
      </c>
      <c r="BV56" s="30"/>
      <c r="BW56" s="32">
        <f t="shared" si="102"/>
        <v>0</v>
      </c>
      <c r="BX56" s="31"/>
      <c r="BY56" s="33">
        <f t="shared" si="103"/>
        <v>0</v>
      </c>
      <c r="BZ56" s="30"/>
      <c r="CA56" s="32">
        <f t="shared" si="104"/>
        <v>0</v>
      </c>
      <c r="CB56" s="31"/>
      <c r="CC56" s="33">
        <f t="shared" si="105"/>
        <v>0</v>
      </c>
    </row>
    <row r="57" spans="1:81" s="186" customFormat="1" ht="20.100000000000001" hidden="1" customHeight="1" thickBot="1" x14ac:dyDescent="0.25">
      <c r="A57" s="177"/>
      <c r="B57" s="178"/>
      <c r="C57" s="179"/>
      <c r="D57" s="180"/>
      <c r="E57" s="181"/>
      <c r="F57" s="182"/>
      <c r="G57" s="184"/>
      <c r="H57" s="44"/>
      <c r="I57" s="183"/>
      <c r="J57" s="182"/>
      <c r="K57" s="184"/>
      <c r="L57" s="44"/>
      <c r="M57" s="183"/>
      <c r="N57" s="182"/>
      <c r="O57" s="184"/>
      <c r="P57" s="185"/>
      <c r="Q57" s="183"/>
      <c r="R57" s="182"/>
      <c r="S57" s="184"/>
      <c r="T57" s="44"/>
      <c r="U57" s="183"/>
      <c r="V57" s="182"/>
      <c r="W57" s="184"/>
      <c r="X57" s="44"/>
      <c r="Y57" s="183"/>
      <c r="Z57" s="182"/>
      <c r="AA57" s="32">
        <f t="shared" si="5"/>
        <v>0</v>
      </c>
      <c r="AB57" s="44"/>
      <c r="AC57" s="183"/>
      <c r="AD57" s="182"/>
      <c r="AE57" s="32">
        <f t="shared" si="7"/>
        <v>0</v>
      </c>
      <c r="AF57" s="44"/>
      <c r="AG57" s="183"/>
      <c r="AH57" s="182"/>
      <c r="AI57" s="184"/>
      <c r="AJ57" s="44"/>
      <c r="AK57" s="183"/>
      <c r="AL57" s="182"/>
      <c r="AM57" s="184"/>
      <c r="AN57" s="44"/>
      <c r="AO57" s="183"/>
      <c r="AP57" s="182"/>
      <c r="AQ57" s="32">
        <f>+AO57-AP57</f>
        <v>0</v>
      </c>
      <c r="AR57" s="44"/>
      <c r="AS57" s="183"/>
      <c r="AT57" s="182"/>
      <c r="AU57" s="32">
        <f>+AS57-AT57</f>
        <v>0</v>
      </c>
      <c r="AV57" s="44"/>
      <c r="AW57" s="183"/>
      <c r="AX57" s="182"/>
      <c r="AY57" s="32">
        <f t="shared" si="55"/>
        <v>0</v>
      </c>
      <c r="AZ57" s="44"/>
      <c r="BA57" s="183"/>
      <c r="BB57" s="182"/>
      <c r="BC57" s="184"/>
      <c r="BD57" s="44"/>
      <c r="BE57" s="183"/>
      <c r="BF57" s="182"/>
      <c r="BG57" s="32">
        <f>+BE57-BF57</f>
        <v>0</v>
      </c>
      <c r="BH57" s="44"/>
      <c r="BI57" s="183"/>
      <c r="BJ57" s="182"/>
      <c r="BK57" s="32">
        <f>+BI57-BJ57</f>
        <v>0</v>
      </c>
      <c r="BL57" s="44"/>
      <c r="BM57" s="183"/>
      <c r="BN57" s="182"/>
      <c r="BO57" s="184"/>
      <c r="BP57" s="44"/>
      <c r="BQ57" s="183"/>
      <c r="BR57" s="182"/>
      <c r="BS57" s="184"/>
      <c r="BT57" s="44"/>
      <c r="BU57" s="183"/>
      <c r="BV57" s="182"/>
      <c r="BW57" s="184"/>
      <c r="BX57" s="44"/>
      <c r="BY57" s="183"/>
      <c r="BZ57" s="182"/>
      <c r="CA57" s="184"/>
      <c r="CB57" s="44"/>
      <c r="CC57" s="183"/>
    </row>
    <row r="58" spans="1:81" ht="20.100000000000001" hidden="1" customHeight="1" thickBot="1" x14ac:dyDescent="0.25">
      <c r="A58" s="224" t="s">
        <v>287</v>
      </c>
      <c r="B58" s="225"/>
      <c r="C58" s="225"/>
      <c r="D58" s="225"/>
      <c r="E58" s="226"/>
      <c r="F58" s="30"/>
      <c r="G58" s="32">
        <v>0</v>
      </c>
      <c r="H58" s="31"/>
      <c r="I58" s="33">
        <f t="shared" si="76"/>
        <v>0</v>
      </c>
      <c r="J58" s="30"/>
      <c r="K58" s="32">
        <f t="shared" si="77"/>
        <v>0</v>
      </c>
      <c r="L58" s="31"/>
      <c r="M58" s="33">
        <f t="shared" si="78"/>
        <v>0</v>
      </c>
      <c r="N58" s="30"/>
      <c r="O58" s="32">
        <f t="shared" si="79"/>
        <v>0</v>
      </c>
      <c r="P58" s="34"/>
      <c r="Q58" s="33">
        <f t="shared" si="80"/>
        <v>0</v>
      </c>
      <c r="R58" s="30"/>
      <c r="S58" s="32"/>
      <c r="T58" s="31"/>
      <c r="U58" s="33"/>
      <c r="V58" s="30"/>
      <c r="W58" s="32"/>
      <c r="X58" s="31"/>
      <c r="Y58" s="33"/>
      <c r="Z58" s="30"/>
      <c r="AA58" s="32">
        <f t="shared" si="5"/>
        <v>0</v>
      </c>
      <c r="AB58" s="31"/>
      <c r="AC58" s="33">
        <f t="shared" si="85"/>
        <v>0</v>
      </c>
      <c r="AD58" s="30"/>
      <c r="AE58" s="32">
        <f t="shared" si="7"/>
        <v>0</v>
      </c>
      <c r="AF58" s="31"/>
      <c r="AG58" s="33">
        <f t="shared" si="86"/>
        <v>0</v>
      </c>
      <c r="AH58" s="30"/>
      <c r="AI58" s="32">
        <f t="shared" si="87"/>
        <v>0</v>
      </c>
      <c r="AJ58" s="31"/>
      <c r="AK58" s="33">
        <f t="shared" si="88"/>
        <v>0</v>
      </c>
      <c r="AL58" s="30"/>
      <c r="AM58" s="32">
        <f t="shared" si="89"/>
        <v>0</v>
      </c>
      <c r="AN58" s="31"/>
      <c r="AO58" s="33">
        <f t="shared" si="90"/>
        <v>0</v>
      </c>
      <c r="AP58" s="30"/>
      <c r="AQ58" s="32">
        <f t="shared" si="26"/>
        <v>0</v>
      </c>
      <c r="AR58" s="31"/>
      <c r="AS58" s="33">
        <f t="shared" si="91"/>
        <v>0</v>
      </c>
      <c r="AT58" s="30"/>
      <c r="AU58" s="32">
        <f t="shared" si="27"/>
        <v>0</v>
      </c>
      <c r="AV58" s="31"/>
      <c r="AW58" s="33">
        <f t="shared" si="92"/>
        <v>0</v>
      </c>
      <c r="AX58" s="30"/>
      <c r="AY58" s="32">
        <f t="shared" si="55"/>
        <v>0</v>
      </c>
      <c r="AZ58" s="31"/>
      <c r="BA58" s="33">
        <f t="shared" si="93"/>
        <v>0</v>
      </c>
      <c r="BB58" s="30"/>
      <c r="BC58" s="32">
        <f t="shared" si="94"/>
        <v>0</v>
      </c>
      <c r="BD58" s="31"/>
      <c r="BE58" s="33">
        <f t="shared" si="95"/>
        <v>0</v>
      </c>
      <c r="BF58" s="30"/>
      <c r="BG58" s="32">
        <f t="shared" si="28"/>
        <v>0</v>
      </c>
      <c r="BH58" s="31"/>
      <c r="BI58" s="33">
        <f t="shared" si="96"/>
        <v>0</v>
      </c>
      <c r="BJ58" s="30"/>
      <c r="BK58" s="32">
        <f t="shared" si="29"/>
        <v>0</v>
      </c>
      <c r="BL58" s="31"/>
      <c r="BM58" s="33">
        <f t="shared" si="97"/>
        <v>0</v>
      </c>
      <c r="BN58" s="30"/>
      <c r="BO58" s="32">
        <f t="shared" si="98"/>
        <v>0</v>
      </c>
      <c r="BP58" s="31"/>
      <c r="BQ58" s="33">
        <f t="shared" si="99"/>
        <v>0</v>
      </c>
      <c r="BR58" s="30"/>
      <c r="BS58" s="32">
        <f t="shared" si="100"/>
        <v>0</v>
      </c>
      <c r="BT58" s="31"/>
      <c r="BU58" s="33">
        <f t="shared" si="101"/>
        <v>0</v>
      </c>
      <c r="BV58" s="30"/>
      <c r="BW58" s="32">
        <f t="shared" si="102"/>
        <v>0</v>
      </c>
      <c r="BX58" s="31"/>
      <c r="BY58" s="33">
        <f t="shared" si="103"/>
        <v>0</v>
      </c>
      <c r="BZ58" s="30"/>
      <c r="CA58" s="32">
        <f t="shared" si="104"/>
        <v>0</v>
      </c>
      <c r="CB58" s="31"/>
      <c r="CC58" s="33">
        <f t="shared" si="105"/>
        <v>0</v>
      </c>
    </row>
    <row r="59" spans="1:81" ht="20.100000000000001" hidden="1" customHeight="1" x14ac:dyDescent="0.2">
      <c r="A59" s="38" t="s">
        <v>136</v>
      </c>
      <c r="B59" s="148" t="s">
        <v>7</v>
      </c>
      <c r="C59" s="146">
        <v>10</v>
      </c>
      <c r="D59" s="148" t="s">
        <v>9</v>
      </c>
      <c r="E59" s="39">
        <v>6</v>
      </c>
      <c r="F59" s="30">
        <v>7</v>
      </c>
      <c r="G59" s="32">
        <v>0.5</v>
      </c>
      <c r="H59" s="31"/>
      <c r="I59" s="33">
        <f>+F59+H59*$E59</f>
        <v>7</v>
      </c>
      <c r="J59" s="30">
        <v>7</v>
      </c>
      <c r="K59" s="32">
        <f>+I59-J59</f>
        <v>0</v>
      </c>
      <c r="L59" s="31"/>
      <c r="M59" s="33">
        <f>+J59+L59*$E59</f>
        <v>7</v>
      </c>
      <c r="N59" s="30">
        <v>7</v>
      </c>
      <c r="O59" s="32">
        <f>+M59-N59</f>
        <v>0</v>
      </c>
      <c r="P59" s="34"/>
      <c r="Q59" s="33">
        <f>+N59+P59*$E59</f>
        <v>7</v>
      </c>
      <c r="R59" s="30">
        <v>7</v>
      </c>
      <c r="S59" s="32">
        <f>+Q59-R59</f>
        <v>0</v>
      </c>
      <c r="T59" s="31"/>
      <c r="U59" s="33">
        <f>+R59+T59*$E59</f>
        <v>7</v>
      </c>
      <c r="V59" s="30">
        <v>6</v>
      </c>
      <c r="W59" s="32">
        <f>+U59-V59</f>
        <v>1</v>
      </c>
      <c r="X59" s="31"/>
      <c r="Y59" s="33">
        <f>+V59+X59*$E59</f>
        <v>6</v>
      </c>
      <c r="Z59" s="30">
        <v>6</v>
      </c>
      <c r="AA59" s="32">
        <f t="shared" si="5"/>
        <v>0</v>
      </c>
      <c r="AB59" s="31"/>
      <c r="AC59" s="33">
        <f>+Z59+AB59*$E59</f>
        <v>6</v>
      </c>
      <c r="AD59" s="30">
        <v>6</v>
      </c>
      <c r="AE59" s="32">
        <f t="shared" si="7"/>
        <v>0</v>
      </c>
      <c r="AF59" s="31"/>
      <c r="AG59" s="33">
        <f>+AD59+AF59*$E59</f>
        <v>6</v>
      </c>
      <c r="AH59" s="30">
        <v>6</v>
      </c>
      <c r="AI59" s="32">
        <f>+AG59-AH59</f>
        <v>0</v>
      </c>
      <c r="AJ59" s="31"/>
      <c r="AK59" s="33">
        <f>+AH59+AJ59*$E59</f>
        <v>6</v>
      </c>
      <c r="AL59" s="30">
        <v>6</v>
      </c>
      <c r="AM59" s="32">
        <f>+AK59-AL59</f>
        <v>0</v>
      </c>
      <c r="AN59" s="31"/>
      <c r="AO59" s="33">
        <f>+AL59+AN59*$E59</f>
        <v>6</v>
      </c>
      <c r="AP59" s="30">
        <v>6</v>
      </c>
      <c r="AQ59" s="32">
        <f t="shared" si="26"/>
        <v>0</v>
      </c>
      <c r="AR59" s="31"/>
      <c r="AS59" s="33">
        <f>+AP59+AR59*$E59</f>
        <v>6</v>
      </c>
      <c r="AT59" s="30">
        <v>5</v>
      </c>
      <c r="AU59" s="32">
        <f t="shared" si="27"/>
        <v>1</v>
      </c>
      <c r="AV59" s="31"/>
      <c r="AW59" s="33">
        <f>+AT59+AV59*$E59</f>
        <v>5</v>
      </c>
      <c r="AX59" s="30">
        <v>5</v>
      </c>
      <c r="AY59" s="32">
        <f t="shared" si="55"/>
        <v>0</v>
      </c>
      <c r="AZ59" s="31"/>
      <c r="BA59" s="33">
        <f t="shared" si="93"/>
        <v>5</v>
      </c>
      <c r="BB59" s="30">
        <v>4.5</v>
      </c>
      <c r="BC59" s="32">
        <f t="shared" si="94"/>
        <v>0.5</v>
      </c>
      <c r="BD59" s="31"/>
      <c r="BE59" s="33">
        <f t="shared" si="95"/>
        <v>4.5</v>
      </c>
      <c r="BF59" s="30">
        <v>4</v>
      </c>
      <c r="BG59" s="32">
        <f t="shared" si="28"/>
        <v>0.5</v>
      </c>
      <c r="BH59" s="31"/>
      <c r="BI59" s="33">
        <f t="shared" si="96"/>
        <v>4</v>
      </c>
      <c r="BJ59" s="30">
        <v>4</v>
      </c>
      <c r="BK59" s="32">
        <f t="shared" si="29"/>
        <v>0</v>
      </c>
      <c r="BL59" s="31"/>
      <c r="BM59" s="33">
        <f t="shared" si="97"/>
        <v>4</v>
      </c>
      <c r="BN59" s="30"/>
      <c r="BO59" s="32">
        <f t="shared" si="98"/>
        <v>4</v>
      </c>
      <c r="BP59" s="31"/>
      <c r="BQ59" s="33">
        <f t="shared" si="99"/>
        <v>0</v>
      </c>
      <c r="BR59" s="30"/>
      <c r="BS59" s="32">
        <f t="shared" si="100"/>
        <v>0</v>
      </c>
      <c r="BT59" s="31"/>
      <c r="BU59" s="33">
        <f t="shared" si="101"/>
        <v>0</v>
      </c>
      <c r="BV59" s="30"/>
      <c r="BW59" s="32">
        <f t="shared" si="102"/>
        <v>0</v>
      </c>
      <c r="BX59" s="31"/>
      <c r="BY59" s="33">
        <f t="shared" si="103"/>
        <v>0</v>
      </c>
      <c r="BZ59" s="30"/>
      <c r="CA59" s="32">
        <f t="shared" si="104"/>
        <v>0</v>
      </c>
      <c r="CB59" s="31"/>
      <c r="CC59" s="33">
        <f t="shared" si="105"/>
        <v>0</v>
      </c>
    </row>
    <row r="60" spans="1:81" ht="20.100000000000001" hidden="1" customHeight="1" x14ac:dyDescent="0.2">
      <c r="A60" s="19" t="s">
        <v>288</v>
      </c>
      <c r="B60" s="9" t="s">
        <v>7</v>
      </c>
      <c r="C60" s="14">
        <v>12</v>
      </c>
      <c r="D60" s="9" t="s">
        <v>9</v>
      </c>
      <c r="E60" s="20">
        <v>12</v>
      </c>
      <c r="F60" s="30">
        <v>5</v>
      </c>
      <c r="G60" s="32">
        <v>0</v>
      </c>
      <c r="H60" s="31"/>
      <c r="I60" s="33">
        <f>+F60+H60*$E60</f>
        <v>5</v>
      </c>
      <c r="J60" s="30">
        <v>4</v>
      </c>
      <c r="K60" s="32">
        <f>+I60-J60</f>
        <v>1</v>
      </c>
      <c r="L60" s="31"/>
      <c r="M60" s="33">
        <f>+J60+L60*$E60</f>
        <v>4</v>
      </c>
      <c r="N60" s="30">
        <v>4</v>
      </c>
      <c r="O60" s="32">
        <f>+M60-N60</f>
        <v>0</v>
      </c>
      <c r="P60" s="34"/>
      <c r="Q60" s="33">
        <f>+N60+P60*$E60</f>
        <v>4</v>
      </c>
      <c r="R60" s="30">
        <v>4</v>
      </c>
      <c r="S60" s="32">
        <f>+Q60-R60</f>
        <v>0</v>
      </c>
      <c r="T60" s="31"/>
      <c r="U60" s="33">
        <f>+R60+T60*$E60</f>
        <v>4</v>
      </c>
      <c r="V60" s="30">
        <v>3</v>
      </c>
      <c r="W60" s="32">
        <f>+U60-V60</f>
        <v>1</v>
      </c>
      <c r="X60" s="31"/>
      <c r="Y60" s="33">
        <f>+V60+X60*$E60</f>
        <v>3</v>
      </c>
      <c r="Z60" s="30">
        <v>3</v>
      </c>
      <c r="AA60" s="32">
        <f t="shared" si="5"/>
        <v>0</v>
      </c>
      <c r="AB60" s="31"/>
      <c r="AC60" s="33">
        <f>+Z60+AB60*$E60</f>
        <v>3</v>
      </c>
      <c r="AD60" s="30">
        <v>3</v>
      </c>
      <c r="AE60" s="32">
        <f t="shared" si="7"/>
        <v>0</v>
      </c>
      <c r="AF60" s="31"/>
      <c r="AG60" s="33">
        <f>+AD60+AF60*$E60</f>
        <v>3</v>
      </c>
      <c r="AH60" s="30">
        <v>3</v>
      </c>
      <c r="AI60" s="32">
        <f>+AG60-AH60</f>
        <v>0</v>
      </c>
      <c r="AJ60" s="31"/>
      <c r="AK60" s="33">
        <f>+AH60+AJ60*$E60</f>
        <v>3</v>
      </c>
      <c r="AL60" s="30">
        <v>2</v>
      </c>
      <c r="AM60" s="32">
        <f>+AK60-AL60</f>
        <v>1</v>
      </c>
      <c r="AN60" s="31"/>
      <c r="AO60" s="33">
        <f>+AL60+AN60*$E60</f>
        <v>2</v>
      </c>
      <c r="AP60" s="30">
        <v>2</v>
      </c>
      <c r="AQ60" s="32">
        <f t="shared" si="26"/>
        <v>0</v>
      </c>
      <c r="AR60" s="31">
        <v>1</v>
      </c>
      <c r="AS60" s="33">
        <f>+AP60+AR60*$E60</f>
        <v>14</v>
      </c>
      <c r="AT60" s="30">
        <v>13</v>
      </c>
      <c r="AU60" s="32">
        <f t="shared" si="27"/>
        <v>1</v>
      </c>
      <c r="AV60" s="31"/>
      <c r="AW60" s="33">
        <f>+AT60+AV60*$E60</f>
        <v>13</v>
      </c>
      <c r="AX60" s="30">
        <v>13</v>
      </c>
      <c r="AY60" s="32">
        <f t="shared" si="55"/>
        <v>0</v>
      </c>
      <c r="AZ60" s="31"/>
      <c r="BA60" s="33">
        <f t="shared" si="93"/>
        <v>13</v>
      </c>
      <c r="BB60" s="30">
        <v>12</v>
      </c>
      <c r="BC60" s="32">
        <f t="shared" si="94"/>
        <v>1</v>
      </c>
      <c r="BD60" s="31"/>
      <c r="BE60" s="33">
        <f t="shared" si="95"/>
        <v>12</v>
      </c>
      <c r="BF60" s="30">
        <v>12</v>
      </c>
      <c r="BG60" s="32">
        <f t="shared" si="28"/>
        <v>0</v>
      </c>
      <c r="BH60" s="31"/>
      <c r="BI60" s="33">
        <f t="shared" si="96"/>
        <v>12</v>
      </c>
      <c r="BJ60" s="30">
        <v>11</v>
      </c>
      <c r="BK60" s="32">
        <f t="shared" si="29"/>
        <v>1</v>
      </c>
      <c r="BL60" s="31"/>
      <c r="BM60" s="33">
        <f t="shared" si="97"/>
        <v>11</v>
      </c>
      <c r="BN60" s="30"/>
      <c r="BO60" s="32">
        <f t="shared" si="98"/>
        <v>11</v>
      </c>
      <c r="BP60" s="31"/>
      <c r="BQ60" s="33">
        <f t="shared" si="99"/>
        <v>0</v>
      </c>
      <c r="BR60" s="30"/>
      <c r="BS60" s="32">
        <f t="shared" si="100"/>
        <v>0</v>
      </c>
      <c r="BT60" s="31"/>
      <c r="BU60" s="33">
        <f t="shared" si="101"/>
        <v>0</v>
      </c>
      <c r="BV60" s="30"/>
      <c r="BW60" s="32">
        <f t="shared" si="102"/>
        <v>0</v>
      </c>
      <c r="BX60" s="31"/>
      <c r="BY60" s="33">
        <f t="shared" si="103"/>
        <v>0</v>
      </c>
      <c r="BZ60" s="30"/>
      <c r="CA60" s="32">
        <f t="shared" si="104"/>
        <v>0</v>
      </c>
      <c r="CB60" s="31"/>
      <c r="CC60" s="33">
        <f t="shared" si="105"/>
        <v>0</v>
      </c>
    </row>
    <row r="61" spans="1:81" ht="20.100000000000001" hidden="1" customHeight="1" x14ac:dyDescent="0.2">
      <c r="A61" s="19" t="s">
        <v>352</v>
      </c>
      <c r="B61" s="9" t="s">
        <v>7</v>
      </c>
      <c r="C61" s="14">
        <v>200</v>
      </c>
      <c r="D61" s="9" t="s">
        <v>9</v>
      </c>
      <c r="E61" s="20">
        <f>8*25</f>
        <v>200</v>
      </c>
      <c r="F61" s="30">
        <v>200</v>
      </c>
      <c r="G61" s="32">
        <v>75</v>
      </c>
      <c r="H61" s="31"/>
      <c r="I61" s="33">
        <f>+F61+H61*$E61</f>
        <v>200</v>
      </c>
      <c r="J61" s="30">
        <f>6*25</f>
        <v>150</v>
      </c>
      <c r="K61" s="32">
        <f>+I61-J61</f>
        <v>50</v>
      </c>
      <c r="L61" s="31"/>
      <c r="M61" s="33">
        <f>+J61+L61*$E61</f>
        <v>150</v>
      </c>
      <c r="N61" s="30">
        <v>100</v>
      </c>
      <c r="O61" s="32">
        <f>+M61-N61</f>
        <v>50</v>
      </c>
      <c r="P61" s="34"/>
      <c r="Q61" s="33">
        <f>+N61+P61*$E61</f>
        <v>100</v>
      </c>
      <c r="R61" s="30">
        <v>50</v>
      </c>
      <c r="S61" s="32">
        <f>+Q61-R61</f>
        <v>50</v>
      </c>
      <c r="T61" s="31"/>
      <c r="U61" s="33">
        <f>+R61+T61*$E61</f>
        <v>50</v>
      </c>
      <c r="V61" s="30"/>
      <c r="W61" s="32">
        <f>+U61-V61</f>
        <v>50</v>
      </c>
      <c r="X61" s="34">
        <v>1</v>
      </c>
      <c r="Y61" s="33">
        <f>+V61+X61*$E61</f>
        <v>200</v>
      </c>
      <c r="Z61" s="30">
        <v>125</v>
      </c>
      <c r="AA61" s="32">
        <f>Y61-Z61</f>
        <v>75</v>
      </c>
      <c r="AB61" s="34">
        <v>1</v>
      </c>
      <c r="AC61" s="33">
        <f>+Z61+AB61*$E61</f>
        <v>325</v>
      </c>
      <c r="AD61" s="30">
        <f>12*25</f>
        <v>300</v>
      </c>
      <c r="AE61" s="32">
        <f>AC61-AD61</f>
        <v>25</v>
      </c>
      <c r="AF61" s="31"/>
      <c r="AG61" s="33">
        <f>+AD61+AF61*$E61</f>
        <v>300</v>
      </c>
      <c r="AH61" s="30">
        <v>250</v>
      </c>
      <c r="AI61" s="32">
        <f>+AG61-AH61</f>
        <v>50</v>
      </c>
      <c r="AJ61" s="31"/>
      <c r="AK61" s="33">
        <f>+AH61+AJ61*$E61</f>
        <v>250</v>
      </c>
      <c r="AL61" s="30">
        <f>9*25</f>
        <v>225</v>
      </c>
      <c r="AM61" s="32">
        <f>+AK61-AL61</f>
        <v>25</v>
      </c>
      <c r="AN61" s="31"/>
      <c r="AO61" s="33">
        <f>+AL61+AN61*$E61</f>
        <v>225</v>
      </c>
      <c r="AP61" s="30">
        <v>200</v>
      </c>
      <c r="AQ61" s="32">
        <f t="shared" si="26"/>
        <v>25</v>
      </c>
      <c r="AR61" s="31"/>
      <c r="AS61" s="33">
        <f>+AP61+AR61*$E61</f>
        <v>200</v>
      </c>
      <c r="AT61" s="30">
        <v>50</v>
      </c>
      <c r="AU61" s="32">
        <f t="shared" si="27"/>
        <v>150</v>
      </c>
      <c r="AV61" s="31">
        <v>1</v>
      </c>
      <c r="AW61" s="33">
        <f>+AT61+AV61*$E61</f>
        <v>250</v>
      </c>
      <c r="AX61" s="30">
        <f>7*25</f>
        <v>175</v>
      </c>
      <c r="AY61" s="32">
        <f t="shared" si="55"/>
        <v>75</v>
      </c>
      <c r="AZ61" s="31">
        <v>1</v>
      </c>
      <c r="BA61" s="33">
        <f t="shared" si="93"/>
        <v>375</v>
      </c>
      <c r="BB61" s="30">
        <f>13*25</f>
        <v>325</v>
      </c>
      <c r="BC61" s="32">
        <f t="shared" si="94"/>
        <v>50</v>
      </c>
      <c r="BD61" s="31"/>
      <c r="BE61" s="33">
        <f t="shared" si="95"/>
        <v>325</v>
      </c>
      <c r="BF61" s="30">
        <v>275</v>
      </c>
      <c r="BG61" s="32">
        <f t="shared" si="28"/>
        <v>50</v>
      </c>
      <c r="BH61" s="31">
        <v>1</v>
      </c>
      <c r="BI61" s="33">
        <f t="shared" si="96"/>
        <v>475</v>
      </c>
      <c r="BJ61" s="30">
        <v>425</v>
      </c>
      <c r="BK61" s="32">
        <f t="shared" si="29"/>
        <v>50</v>
      </c>
      <c r="BL61" s="31"/>
      <c r="BM61" s="33">
        <f t="shared" si="97"/>
        <v>425</v>
      </c>
      <c r="BN61" s="30"/>
      <c r="BO61" s="32">
        <f t="shared" si="98"/>
        <v>425</v>
      </c>
      <c r="BP61" s="31"/>
      <c r="BQ61" s="33">
        <f t="shared" si="99"/>
        <v>0</v>
      </c>
      <c r="BR61" s="30"/>
      <c r="BS61" s="32">
        <f t="shared" si="100"/>
        <v>0</v>
      </c>
      <c r="BT61" s="31"/>
      <c r="BU61" s="33">
        <f t="shared" si="101"/>
        <v>0</v>
      </c>
      <c r="BV61" s="30"/>
      <c r="BW61" s="32">
        <f t="shared" si="102"/>
        <v>0</v>
      </c>
      <c r="BX61" s="31"/>
      <c r="BY61" s="33">
        <f t="shared" si="103"/>
        <v>0</v>
      </c>
      <c r="BZ61" s="30"/>
      <c r="CA61" s="32">
        <f t="shared" si="104"/>
        <v>0</v>
      </c>
      <c r="CB61" s="31"/>
      <c r="CC61" s="33">
        <f t="shared" si="105"/>
        <v>0</v>
      </c>
    </row>
    <row r="62" spans="1:81" ht="20.100000000000001" hidden="1" customHeight="1" x14ac:dyDescent="0.2">
      <c r="A62" s="40" t="s">
        <v>351</v>
      </c>
      <c r="B62" s="149" t="s">
        <v>7</v>
      </c>
      <c r="C62" s="147">
        <v>200</v>
      </c>
      <c r="D62" s="149" t="s">
        <v>9</v>
      </c>
      <c r="E62" s="40">
        <v>200</v>
      </c>
      <c r="F62" s="30">
        <v>470</v>
      </c>
      <c r="G62" s="32">
        <v>10</v>
      </c>
      <c r="H62" s="31"/>
      <c r="I62" s="33">
        <f>+F62+H62*$E62</f>
        <v>470</v>
      </c>
      <c r="J62" s="30">
        <v>470</v>
      </c>
      <c r="K62" s="32">
        <f>+I62-J62</f>
        <v>0</v>
      </c>
      <c r="L62" s="31"/>
      <c r="M62" s="33">
        <f>+J62+L62*$E62</f>
        <v>470</v>
      </c>
      <c r="N62" s="30">
        <v>470</v>
      </c>
      <c r="O62" s="32">
        <f>+M62-N62</f>
        <v>0</v>
      </c>
      <c r="P62" s="34"/>
      <c r="Q62" s="33">
        <f>+N62+P62*$E62</f>
        <v>470</v>
      </c>
      <c r="R62" s="30">
        <v>460</v>
      </c>
      <c r="S62" s="32">
        <f>+Q62-R62</f>
        <v>10</v>
      </c>
      <c r="T62" s="31"/>
      <c r="U62" s="33">
        <f>+R62+T62*$E62</f>
        <v>460</v>
      </c>
      <c r="V62" s="30">
        <v>445</v>
      </c>
      <c r="W62" s="32">
        <f>+U62-V62</f>
        <v>15</v>
      </c>
      <c r="X62" s="31"/>
      <c r="Y62" s="33">
        <f>+V62+X62*$E62</f>
        <v>445</v>
      </c>
      <c r="Z62" s="30">
        <v>440</v>
      </c>
      <c r="AA62" s="32">
        <f>Y62-Z62</f>
        <v>5</v>
      </c>
      <c r="AB62" s="31"/>
      <c r="AC62" s="33">
        <f>+Z62+AB62*$E62</f>
        <v>440</v>
      </c>
      <c r="AD62" s="30">
        <v>430</v>
      </c>
      <c r="AE62" s="32">
        <f>AC62-AD62</f>
        <v>10</v>
      </c>
      <c r="AF62" s="31"/>
      <c r="AG62" s="33">
        <f>+AD62+AF62*$E62</f>
        <v>430</v>
      </c>
      <c r="AH62" s="30">
        <v>420</v>
      </c>
      <c r="AI62" s="32">
        <f>+AG62-AH62</f>
        <v>10</v>
      </c>
      <c r="AJ62" s="31"/>
      <c r="AK62" s="33">
        <f>+AH62+AJ62*$E62</f>
        <v>420</v>
      </c>
      <c r="AL62" s="30">
        <v>410</v>
      </c>
      <c r="AM62" s="32">
        <f>+AK62-AL62</f>
        <v>10</v>
      </c>
      <c r="AN62" s="31"/>
      <c r="AO62" s="33">
        <f>+AL62+AN62*$E62</f>
        <v>410</v>
      </c>
      <c r="AP62" s="30">
        <v>410</v>
      </c>
      <c r="AQ62" s="32">
        <f t="shared" si="26"/>
        <v>0</v>
      </c>
      <c r="AR62" s="31"/>
      <c r="AS62" s="33">
        <f>+AP62+AR62*$E62</f>
        <v>410</v>
      </c>
      <c r="AT62" s="30">
        <v>400</v>
      </c>
      <c r="AU62" s="32">
        <f t="shared" si="27"/>
        <v>10</v>
      </c>
      <c r="AV62" s="31"/>
      <c r="AW62" s="33">
        <f>+AT62+AV62*$E62</f>
        <v>400</v>
      </c>
      <c r="AX62" s="30">
        <v>390</v>
      </c>
      <c r="AY62" s="32">
        <f t="shared" si="55"/>
        <v>10</v>
      </c>
      <c r="AZ62" s="31"/>
      <c r="BA62" s="33">
        <f t="shared" si="93"/>
        <v>390</v>
      </c>
      <c r="BB62" s="30">
        <v>385</v>
      </c>
      <c r="BC62" s="32">
        <f t="shared" si="94"/>
        <v>5</v>
      </c>
      <c r="BD62" s="31"/>
      <c r="BE62" s="33">
        <f t="shared" si="95"/>
        <v>385</v>
      </c>
      <c r="BF62" s="30"/>
      <c r="BG62" s="32">
        <f t="shared" si="28"/>
        <v>385</v>
      </c>
      <c r="BH62" s="31"/>
      <c r="BI62" s="33">
        <f t="shared" si="96"/>
        <v>0</v>
      </c>
      <c r="BJ62" s="30"/>
      <c r="BK62" s="32">
        <f t="shared" si="29"/>
        <v>0</v>
      </c>
      <c r="BL62" s="31"/>
      <c r="BM62" s="33">
        <f t="shared" si="97"/>
        <v>0</v>
      </c>
      <c r="BN62" s="30"/>
      <c r="BO62" s="32">
        <f t="shared" si="98"/>
        <v>0</v>
      </c>
      <c r="BP62" s="31"/>
      <c r="BQ62" s="33">
        <f t="shared" si="99"/>
        <v>0</v>
      </c>
      <c r="BR62" s="30"/>
      <c r="BS62" s="32">
        <f t="shared" si="100"/>
        <v>0</v>
      </c>
      <c r="BT62" s="31"/>
      <c r="BU62" s="33">
        <f t="shared" si="101"/>
        <v>0</v>
      </c>
      <c r="BV62" s="30"/>
      <c r="BW62" s="32">
        <f t="shared" si="102"/>
        <v>0</v>
      </c>
      <c r="BX62" s="31"/>
      <c r="BY62" s="33">
        <f t="shared" si="103"/>
        <v>0</v>
      </c>
      <c r="BZ62" s="30"/>
      <c r="CA62" s="32">
        <f t="shared" si="104"/>
        <v>0</v>
      </c>
      <c r="CB62" s="31"/>
      <c r="CC62" s="33">
        <f t="shared" si="105"/>
        <v>0</v>
      </c>
    </row>
    <row r="63" spans="1:81" ht="20.100000000000001" hidden="1" customHeight="1" x14ac:dyDescent="0.2">
      <c r="A63" s="40" t="s">
        <v>350</v>
      </c>
      <c r="B63" s="149" t="s">
        <v>7</v>
      </c>
      <c r="C63" s="147">
        <v>4</v>
      </c>
      <c r="D63" s="149" t="s">
        <v>9</v>
      </c>
      <c r="E63" s="40">
        <v>4</v>
      </c>
      <c r="F63" s="30">
        <v>5</v>
      </c>
      <c r="G63" s="32">
        <v>1</v>
      </c>
      <c r="H63" s="31">
        <v>1</v>
      </c>
      <c r="I63" s="33">
        <f>+F63+H63*$E63</f>
        <v>9</v>
      </c>
      <c r="J63" s="30">
        <v>6</v>
      </c>
      <c r="K63" s="32">
        <f>+I63-J63</f>
        <v>3</v>
      </c>
      <c r="L63" s="31">
        <v>1</v>
      </c>
      <c r="M63" s="33">
        <f>+J63+L63*$E63</f>
        <v>10</v>
      </c>
      <c r="N63" s="30">
        <v>7</v>
      </c>
      <c r="O63" s="32">
        <f>+M63-N63</f>
        <v>3</v>
      </c>
      <c r="P63" s="34">
        <v>1</v>
      </c>
      <c r="Q63" s="33">
        <f>+N63+P63*$E63</f>
        <v>11</v>
      </c>
      <c r="R63" s="30">
        <v>8</v>
      </c>
      <c r="S63" s="32">
        <f>+Q63-R63</f>
        <v>3</v>
      </c>
      <c r="T63" s="31"/>
      <c r="U63" s="33">
        <f>+R63+T63*$E63</f>
        <v>8</v>
      </c>
      <c r="V63" s="30">
        <v>8</v>
      </c>
      <c r="W63" s="32">
        <f>+U63-V63</f>
        <v>0</v>
      </c>
      <c r="X63" s="31"/>
      <c r="Y63" s="33">
        <f>+V63+X63*$E63</f>
        <v>8</v>
      </c>
      <c r="Z63" s="30">
        <v>4</v>
      </c>
      <c r="AA63" s="32">
        <f>Y63-Z63</f>
        <v>4</v>
      </c>
      <c r="AB63" s="34">
        <v>1</v>
      </c>
      <c r="AC63" s="33">
        <f>+Z63+AB63*$E63</f>
        <v>8</v>
      </c>
      <c r="AD63" s="30">
        <v>6</v>
      </c>
      <c r="AE63" s="32">
        <f>AC63-AD63</f>
        <v>2</v>
      </c>
      <c r="AF63" s="31">
        <v>1</v>
      </c>
      <c r="AG63" s="33">
        <f>+AD63+AF63*$E63</f>
        <v>10</v>
      </c>
      <c r="AH63" s="30">
        <v>8</v>
      </c>
      <c r="AI63" s="32">
        <f>+AG63-AH63</f>
        <v>2</v>
      </c>
      <c r="AJ63" s="31"/>
      <c r="AK63" s="33">
        <f>+AH63+AJ63*$E63</f>
        <v>8</v>
      </c>
      <c r="AL63" s="30">
        <v>4</v>
      </c>
      <c r="AM63" s="32">
        <f>+AK63-AL63</f>
        <v>4</v>
      </c>
      <c r="AN63" s="31">
        <v>1</v>
      </c>
      <c r="AO63" s="33">
        <f>+AL63+AN63*$E63</f>
        <v>8</v>
      </c>
      <c r="AP63" s="30">
        <v>8</v>
      </c>
      <c r="AQ63" s="32">
        <f t="shared" si="26"/>
        <v>0</v>
      </c>
      <c r="AR63" s="31"/>
      <c r="AS63" s="33">
        <f>+AP63+AR63*$E63</f>
        <v>8</v>
      </c>
      <c r="AT63" s="30">
        <v>4</v>
      </c>
      <c r="AU63" s="32">
        <f t="shared" si="27"/>
        <v>4</v>
      </c>
      <c r="AV63" s="31">
        <v>1</v>
      </c>
      <c r="AW63" s="33">
        <f>+AT63+AV63*$E63</f>
        <v>8</v>
      </c>
      <c r="AX63" s="30">
        <v>6</v>
      </c>
      <c r="AY63" s="32">
        <f>+AW63-AX63</f>
        <v>2</v>
      </c>
      <c r="AZ63" s="31">
        <v>1</v>
      </c>
      <c r="BA63" s="33">
        <f t="shared" si="93"/>
        <v>10</v>
      </c>
      <c r="BB63" s="30">
        <v>8</v>
      </c>
      <c r="BC63" s="32">
        <f t="shared" si="94"/>
        <v>2</v>
      </c>
      <c r="BD63" s="31">
        <v>1</v>
      </c>
      <c r="BE63" s="33">
        <f t="shared" si="95"/>
        <v>12</v>
      </c>
      <c r="BF63" s="30">
        <v>10</v>
      </c>
      <c r="BG63" s="32">
        <f t="shared" si="28"/>
        <v>2</v>
      </c>
      <c r="BH63" s="31"/>
      <c r="BI63" s="33">
        <f t="shared" si="96"/>
        <v>10</v>
      </c>
      <c r="BJ63" s="30">
        <v>8</v>
      </c>
      <c r="BK63" s="32">
        <f t="shared" si="29"/>
        <v>2</v>
      </c>
      <c r="BL63" s="31"/>
      <c r="BM63" s="33">
        <f t="shared" si="97"/>
        <v>8</v>
      </c>
      <c r="BN63" s="30"/>
      <c r="BO63" s="32">
        <f t="shared" si="98"/>
        <v>8</v>
      </c>
      <c r="BP63" s="31"/>
      <c r="BQ63" s="33">
        <f t="shared" si="99"/>
        <v>0</v>
      </c>
      <c r="BR63" s="30"/>
      <c r="BS63" s="32">
        <f t="shared" si="100"/>
        <v>0</v>
      </c>
      <c r="BT63" s="31"/>
      <c r="BU63" s="33">
        <f t="shared" si="101"/>
        <v>0</v>
      </c>
      <c r="BV63" s="30"/>
      <c r="BW63" s="32">
        <f t="shared" si="102"/>
        <v>0</v>
      </c>
      <c r="BX63" s="31"/>
      <c r="BY63" s="33">
        <f t="shared" si="103"/>
        <v>0</v>
      </c>
      <c r="BZ63" s="30"/>
      <c r="CA63" s="32">
        <f t="shared" si="104"/>
        <v>0</v>
      </c>
      <c r="CB63" s="31"/>
      <c r="CC63" s="33">
        <f t="shared" si="105"/>
        <v>0</v>
      </c>
    </row>
  </sheetData>
  <autoFilter ref="A1:CC63" xr:uid="{F8768FD1-E8AE-44AC-BE10-0602B416440A}">
    <filterColumn colId="63">
      <customFilters>
        <customFilter operator="notEqual" val=" "/>
      </customFilters>
    </filterColumn>
  </autoFilter>
  <mergeCells count="20">
    <mergeCell ref="AP2:AS2"/>
    <mergeCell ref="AT2:AW2"/>
    <mergeCell ref="A58:E58"/>
    <mergeCell ref="R2:U2"/>
    <mergeCell ref="V2:Y2"/>
    <mergeCell ref="Z2:AC2"/>
    <mergeCell ref="AD2:AG2"/>
    <mergeCell ref="AH2:AK2"/>
    <mergeCell ref="AL2:AO2"/>
    <mergeCell ref="F2:I2"/>
    <mergeCell ref="J2:M2"/>
    <mergeCell ref="N2:Q2"/>
    <mergeCell ref="BR2:BU2"/>
    <mergeCell ref="BV2:BY2"/>
    <mergeCell ref="BZ2:CC2"/>
    <mergeCell ref="AX2:BA2"/>
    <mergeCell ref="BB2:BE2"/>
    <mergeCell ref="BF2:BI2"/>
    <mergeCell ref="BJ2:BM2"/>
    <mergeCell ref="BN2:BQ2"/>
  </mergeCells>
  <pageMargins left="0.7" right="0.7" top="0.75" bottom="0.75" header="0.3" footer="0.3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6D72-1E29-4016-8405-F0826C81ECE1}">
  <sheetPr filterMode="1">
    <tabColor theme="9"/>
  </sheetPr>
  <dimension ref="A1:CC70"/>
  <sheetViews>
    <sheetView zoomScale="80" zoomScaleNormal="80" workbookViewId="0">
      <pane xSplit="5" ySplit="2" topLeftCell="BB3" activePane="bottomRight" state="frozen"/>
      <selection pane="topRight" activeCell="F1" sqref="F1"/>
      <selection pane="bottomLeft" activeCell="A3" sqref="A3"/>
      <selection pane="bottomRight" activeCell="A85" sqref="A85"/>
    </sheetView>
  </sheetViews>
  <sheetFormatPr baseColWidth="10" defaultColWidth="11.42578125" defaultRowHeight="20.100000000000001" customHeight="1" x14ac:dyDescent="0.25"/>
  <cols>
    <col min="1" max="1" width="47.85546875" style="89" customWidth="1"/>
    <col min="2" max="16384" width="11.42578125" style="89"/>
  </cols>
  <sheetData>
    <row r="1" spans="1:81" ht="20.100000000000001" customHeight="1" thickBot="1" x14ac:dyDescent="0.3">
      <c r="A1" s="229" t="s">
        <v>289</v>
      </c>
      <c r="B1" s="229"/>
      <c r="C1" s="229"/>
      <c r="D1" s="229"/>
      <c r="E1" s="229"/>
    </row>
    <row r="2" spans="1:81" ht="20.100000000000001" hidden="1" customHeight="1" thickBot="1" x14ac:dyDescent="0.3">
      <c r="A2" s="230"/>
      <c r="B2" s="230"/>
      <c r="C2" s="230"/>
      <c r="D2" s="231"/>
      <c r="E2" s="6"/>
      <c r="F2" s="218">
        <v>46181</v>
      </c>
      <c r="G2" s="227"/>
      <c r="H2" s="227"/>
      <c r="I2" s="228"/>
      <c r="J2" s="218">
        <v>46188</v>
      </c>
      <c r="K2" s="227"/>
      <c r="L2" s="227"/>
      <c r="M2" s="228"/>
      <c r="N2" s="218">
        <v>46195</v>
      </c>
      <c r="O2" s="227"/>
      <c r="P2" s="227"/>
      <c r="Q2" s="228"/>
      <c r="R2" s="218">
        <v>46202</v>
      </c>
      <c r="S2" s="227"/>
      <c r="T2" s="227"/>
      <c r="U2" s="228"/>
      <c r="V2" s="218">
        <v>46209</v>
      </c>
      <c r="W2" s="227"/>
      <c r="X2" s="227"/>
      <c r="Y2" s="228"/>
      <c r="Z2" s="218">
        <v>46216</v>
      </c>
      <c r="AA2" s="227"/>
      <c r="AB2" s="227"/>
      <c r="AC2" s="228"/>
      <c r="AD2" s="218">
        <v>46223</v>
      </c>
      <c r="AE2" s="227"/>
      <c r="AF2" s="227"/>
      <c r="AG2" s="228"/>
      <c r="AH2" s="218">
        <v>46230</v>
      </c>
      <c r="AI2" s="227"/>
      <c r="AJ2" s="227"/>
      <c r="AK2" s="228"/>
      <c r="AL2" s="218">
        <v>46237</v>
      </c>
      <c r="AM2" s="227"/>
      <c r="AN2" s="227"/>
      <c r="AO2" s="228"/>
      <c r="AP2" s="218">
        <v>46244</v>
      </c>
      <c r="AQ2" s="227"/>
      <c r="AR2" s="227"/>
      <c r="AS2" s="228"/>
      <c r="AT2" s="218">
        <v>46251</v>
      </c>
      <c r="AU2" s="227"/>
      <c r="AV2" s="227"/>
      <c r="AW2" s="228"/>
      <c r="AX2" s="218">
        <v>46258</v>
      </c>
      <c r="AY2" s="227"/>
      <c r="AZ2" s="227"/>
      <c r="BA2" s="228"/>
      <c r="BB2" s="218">
        <v>46265</v>
      </c>
      <c r="BC2" s="227"/>
      <c r="BD2" s="227"/>
      <c r="BE2" s="228"/>
      <c r="BF2" s="218">
        <v>46272</v>
      </c>
      <c r="BG2" s="227"/>
      <c r="BH2" s="227"/>
      <c r="BI2" s="228"/>
      <c r="BJ2" s="218">
        <v>46279</v>
      </c>
      <c r="BK2" s="227"/>
      <c r="BL2" s="227"/>
      <c r="BM2" s="228"/>
      <c r="BN2" s="218"/>
      <c r="BO2" s="227"/>
      <c r="BP2" s="227"/>
      <c r="BQ2" s="228"/>
      <c r="BR2" s="218"/>
      <c r="BS2" s="227"/>
      <c r="BT2" s="227"/>
      <c r="BU2" s="228"/>
      <c r="BV2" s="218"/>
      <c r="BW2" s="227"/>
      <c r="BX2" s="227"/>
      <c r="BY2" s="228"/>
      <c r="BZ2" s="218"/>
      <c r="CA2" s="227"/>
      <c r="CB2" s="227"/>
      <c r="CC2" s="228"/>
    </row>
    <row r="3" spans="1:81" ht="33.75" customHeight="1" x14ac:dyDescent="0.25">
      <c r="A3" s="59" t="s">
        <v>1</v>
      </c>
      <c r="B3" s="138" t="s">
        <v>345</v>
      </c>
      <c r="C3" s="137" t="s">
        <v>348</v>
      </c>
      <c r="D3" s="139" t="s">
        <v>347</v>
      </c>
      <c r="E3" s="60"/>
      <c r="F3" s="168" t="s">
        <v>3</v>
      </c>
      <c r="G3" s="169" t="s">
        <v>4</v>
      </c>
      <c r="H3" s="49" t="s">
        <v>5</v>
      </c>
      <c r="I3" s="170" t="s">
        <v>6</v>
      </c>
      <c r="J3" s="168" t="s">
        <v>3</v>
      </c>
      <c r="K3" s="169" t="s">
        <v>4</v>
      </c>
      <c r="L3" s="49" t="s">
        <v>5</v>
      </c>
      <c r="M3" s="170" t="s">
        <v>6</v>
      </c>
      <c r="N3" s="168" t="s">
        <v>3</v>
      </c>
      <c r="O3" s="169" t="s">
        <v>4</v>
      </c>
      <c r="P3" s="49" t="s">
        <v>5</v>
      </c>
      <c r="Q3" s="170" t="s">
        <v>6</v>
      </c>
      <c r="R3" s="168" t="s">
        <v>3</v>
      </c>
      <c r="S3" s="169" t="s">
        <v>4</v>
      </c>
      <c r="T3" s="49" t="s">
        <v>5</v>
      </c>
      <c r="U3" s="170" t="s">
        <v>6</v>
      </c>
      <c r="V3" s="168" t="s">
        <v>3</v>
      </c>
      <c r="W3" s="169" t="s">
        <v>4</v>
      </c>
      <c r="X3" s="49" t="s">
        <v>5</v>
      </c>
      <c r="Y3" s="170" t="s">
        <v>6</v>
      </c>
      <c r="Z3" s="168" t="s">
        <v>3</v>
      </c>
      <c r="AA3" s="169" t="s">
        <v>4</v>
      </c>
      <c r="AB3" s="49" t="s">
        <v>5</v>
      </c>
      <c r="AC3" s="170" t="s">
        <v>6</v>
      </c>
      <c r="AD3" s="168" t="s">
        <v>3</v>
      </c>
      <c r="AE3" s="169" t="s">
        <v>4</v>
      </c>
      <c r="AF3" s="49" t="s">
        <v>5</v>
      </c>
      <c r="AG3" s="170" t="s">
        <v>6</v>
      </c>
      <c r="AH3" s="168" t="s">
        <v>3</v>
      </c>
      <c r="AI3" s="169" t="s">
        <v>4</v>
      </c>
      <c r="AJ3" s="49" t="s">
        <v>5</v>
      </c>
      <c r="AK3" s="170" t="s">
        <v>6</v>
      </c>
      <c r="AL3" s="168" t="s">
        <v>3</v>
      </c>
      <c r="AM3" s="169" t="s">
        <v>4</v>
      </c>
      <c r="AN3" s="49" t="s">
        <v>5</v>
      </c>
      <c r="AO3" s="170" t="s">
        <v>6</v>
      </c>
      <c r="AP3" s="168" t="s">
        <v>3</v>
      </c>
      <c r="AQ3" s="169" t="s">
        <v>4</v>
      </c>
      <c r="AR3" s="49" t="s">
        <v>5</v>
      </c>
      <c r="AS3" s="170" t="s">
        <v>6</v>
      </c>
      <c r="AT3" s="168" t="s">
        <v>3</v>
      </c>
      <c r="AU3" s="169" t="s">
        <v>4</v>
      </c>
      <c r="AV3" s="49" t="s">
        <v>5</v>
      </c>
      <c r="AW3" s="170" t="s">
        <v>6</v>
      </c>
      <c r="AX3" s="168" t="s">
        <v>3</v>
      </c>
      <c r="AY3" s="169" t="s">
        <v>4</v>
      </c>
      <c r="AZ3" s="49" t="s">
        <v>5</v>
      </c>
      <c r="BA3" s="170" t="s">
        <v>6</v>
      </c>
      <c r="BB3" s="168" t="s">
        <v>3</v>
      </c>
      <c r="BC3" s="169" t="s">
        <v>4</v>
      </c>
      <c r="BD3" s="49" t="s">
        <v>5</v>
      </c>
      <c r="BE3" s="170" t="s">
        <v>6</v>
      </c>
      <c r="BF3" s="168" t="s">
        <v>3</v>
      </c>
      <c r="BG3" s="169" t="s">
        <v>4</v>
      </c>
      <c r="BH3" s="49" t="s">
        <v>5</v>
      </c>
      <c r="BI3" s="170" t="s">
        <v>6</v>
      </c>
      <c r="BJ3" s="168" t="s">
        <v>3</v>
      </c>
      <c r="BK3" s="169" t="s">
        <v>4</v>
      </c>
      <c r="BL3" s="49" t="s">
        <v>5</v>
      </c>
      <c r="BM3" s="170" t="s">
        <v>6</v>
      </c>
      <c r="BN3" s="168" t="s">
        <v>3</v>
      </c>
      <c r="BO3" s="169" t="s">
        <v>4</v>
      </c>
      <c r="BP3" s="49" t="s">
        <v>5</v>
      </c>
      <c r="BQ3" s="170" t="s">
        <v>6</v>
      </c>
      <c r="BR3" s="168" t="s">
        <v>3</v>
      </c>
      <c r="BS3" s="169" t="s">
        <v>4</v>
      </c>
      <c r="BT3" s="49" t="s">
        <v>5</v>
      </c>
      <c r="BU3" s="170" t="s">
        <v>6</v>
      </c>
      <c r="BV3" s="168" t="s">
        <v>3</v>
      </c>
      <c r="BW3" s="169" t="s">
        <v>4</v>
      </c>
      <c r="BX3" s="49" t="s">
        <v>5</v>
      </c>
      <c r="BY3" s="170" t="s">
        <v>6</v>
      </c>
      <c r="BZ3" s="168" t="s">
        <v>3</v>
      </c>
      <c r="CA3" s="169" t="s">
        <v>4</v>
      </c>
      <c r="CB3" s="49" t="s">
        <v>5</v>
      </c>
      <c r="CC3" s="170" t="s">
        <v>6</v>
      </c>
    </row>
    <row r="4" spans="1:81" s="171" customFormat="1" ht="20.100000000000001" hidden="1" customHeight="1" x14ac:dyDescent="0.25">
      <c r="A4" s="61" t="s">
        <v>103</v>
      </c>
      <c r="B4" s="51" t="s">
        <v>106</v>
      </c>
      <c r="C4" s="52">
        <v>1000</v>
      </c>
      <c r="D4" s="51" t="s">
        <v>9</v>
      </c>
      <c r="E4" s="62">
        <v>1000</v>
      </c>
      <c r="F4" s="30">
        <v>850</v>
      </c>
      <c r="G4" s="32">
        <v>36</v>
      </c>
      <c r="H4" s="31"/>
      <c r="I4" s="33">
        <f t="shared" ref="I4:I13" si="0">+F4+H4*$E4</f>
        <v>850</v>
      </c>
      <c r="J4" s="30">
        <v>800</v>
      </c>
      <c r="K4" s="32">
        <f>+I4-J4</f>
        <v>50</v>
      </c>
      <c r="L4" s="31"/>
      <c r="M4" s="33">
        <f t="shared" ref="M4:M13" si="1">+J4+L4*$E4</f>
        <v>800</v>
      </c>
      <c r="N4" s="30">
        <v>800</v>
      </c>
      <c r="O4" s="32">
        <f>+M4-N4</f>
        <v>0</v>
      </c>
      <c r="P4" s="31"/>
      <c r="Q4" s="33">
        <f t="shared" ref="Q4:Q13" si="2">+N4+P4*$E4</f>
        <v>800</v>
      </c>
      <c r="R4" s="30">
        <v>750</v>
      </c>
      <c r="S4" s="32">
        <f t="shared" ref="S4:S13" si="3">+Q4-R4</f>
        <v>50</v>
      </c>
      <c r="T4" s="31"/>
      <c r="U4" s="33">
        <f t="shared" ref="U4:U13" si="4">+R4+T4*$E4</f>
        <v>750</v>
      </c>
      <c r="V4" s="30">
        <v>700</v>
      </c>
      <c r="W4" s="32">
        <f>+U4-V4</f>
        <v>50</v>
      </c>
      <c r="X4" s="31"/>
      <c r="Y4" s="33">
        <f t="shared" ref="Y4:Y13" si="5">+V4+X4*$E4</f>
        <v>700</v>
      </c>
      <c r="Z4" s="30">
        <v>650</v>
      </c>
      <c r="AA4" s="47">
        <f>Y4-Z4</f>
        <v>50</v>
      </c>
      <c r="AB4" s="31"/>
      <c r="AC4" s="33">
        <f t="shared" ref="AC4:AC13" si="6">+Z4+AB4*$E4</f>
        <v>650</v>
      </c>
      <c r="AD4" s="30">
        <v>620</v>
      </c>
      <c r="AE4" s="32">
        <f>+AC4-AD4</f>
        <v>30</v>
      </c>
      <c r="AF4" s="31"/>
      <c r="AG4" s="33">
        <f t="shared" ref="AG4:AG13" si="7">+AD4+AF4*$E4</f>
        <v>620</v>
      </c>
      <c r="AH4" s="30">
        <v>600</v>
      </c>
      <c r="AI4" s="32">
        <f>+AG4-AH4</f>
        <v>20</v>
      </c>
      <c r="AJ4" s="31"/>
      <c r="AK4" s="33">
        <f t="shared" ref="AK4:AK13" si="8">+AH4+AJ4*$E4</f>
        <v>600</v>
      </c>
      <c r="AL4" s="30">
        <v>580</v>
      </c>
      <c r="AM4" s="32">
        <f>+AK4-AL4</f>
        <v>20</v>
      </c>
      <c r="AN4" s="31"/>
      <c r="AO4" s="33">
        <f t="shared" ref="AO4:AO13" si="9">+AL4+AN4*$E4</f>
        <v>580</v>
      </c>
      <c r="AP4" s="30">
        <v>570</v>
      </c>
      <c r="AQ4" s="32">
        <f t="shared" ref="AQ4:AQ13" si="10">+AO4-AP4</f>
        <v>10</v>
      </c>
      <c r="AR4" s="31"/>
      <c r="AS4" s="33">
        <f t="shared" ref="AS4:AS13" si="11">+AP4+AR4*$E4</f>
        <v>570</v>
      </c>
      <c r="AT4" s="30">
        <v>550</v>
      </c>
      <c r="AU4" s="32">
        <f>+AS4-AT4</f>
        <v>20</v>
      </c>
      <c r="AV4" s="31"/>
      <c r="AW4" s="33">
        <f t="shared" ref="AW4:AW13" si="12">+AT4+AV4*$E4</f>
        <v>550</v>
      </c>
      <c r="AX4" s="30">
        <v>530</v>
      </c>
      <c r="AY4" s="32">
        <f t="shared" ref="AY4:AY6" si="13">+AW4-AX4</f>
        <v>20</v>
      </c>
      <c r="AZ4" s="31"/>
      <c r="BA4" s="33">
        <f t="shared" ref="BA4:BA13" si="14">+AX4+AZ4*$E4</f>
        <v>530</v>
      </c>
      <c r="BB4" s="30">
        <v>520</v>
      </c>
      <c r="BC4" s="32">
        <f>+BA4-BB4</f>
        <v>10</v>
      </c>
      <c r="BD4" s="31"/>
      <c r="BE4" s="33">
        <f t="shared" ref="BE4:BE13" si="15">+BB4+BD4*$E4</f>
        <v>520</v>
      </c>
      <c r="BF4" s="30"/>
      <c r="BG4" s="32">
        <f>+BE4-BF4</f>
        <v>520</v>
      </c>
      <c r="BH4" s="31"/>
      <c r="BI4" s="33">
        <f t="shared" ref="BI4:BI13" si="16">+BF4+BH4*$E4</f>
        <v>0</v>
      </c>
      <c r="BJ4" s="30"/>
      <c r="BK4" s="32">
        <f>+BI4-BJ4</f>
        <v>0</v>
      </c>
      <c r="BL4" s="31"/>
      <c r="BM4" s="33">
        <f t="shared" ref="BM4:BM13" si="17">+BJ4+BL4*$E4</f>
        <v>0</v>
      </c>
      <c r="BN4" s="30"/>
      <c r="BO4" s="32">
        <f>+BM4-BN4</f>
        <v>0</v>
      </c>
      <c r="BP4" s="31"/>
      <c r="BQ4" s="33">
        <f t="shared" ref="BQ4:BQ13" si="18">+BN4+BP4*$E4</f>
        <v>0</v>
      </c>
      <c r="BR4" s="30"/>
      <c r="BS4" s="32">
        <f>+BQ4-BR4</f>
        <v>0</v>
      </c>
      <c r="BT4" s="31"/>
      <c r="BU4" s="33">
        <f t="shared" ref="BU4:BU13" si="19">+BR4+BT4*$E4</f>
        <v>0</v>
      </c>
      <c r="BV4" s="30"/>
      <c r="BW4" s="32">
        <f>+BU4-BV4</f>
        <v>0</v>
      </c>
      <c r="BX4" s="31"/>
      <c r="BY4" s="33">
        <f t="shared" ref="BY4:BY13" si="20">+BV4+BX4*$E4</f>
        <v>0</v>
      </c>
      <c r="BZ4" s="30"/>
      <c r="CA4" s="32">
        <f>+BY4-BZ4</f>
        <v>0</v>
      </c>
      <c r="CB4" s="31"/>
      <c r="CC4" s="33">
        <f t="shared" ref="CC4:CC13" si="21">+BZ4+CB4*$E4</f>
        <v>0</v>
      </c>
    </row>
    <row r="5" spans="1:81" s="171" customFormat="1" ht="19.5" hidden="1" customHeight="1" x14ac:dyDescent="0.25">
      <c r="A5" s="61" t="s">
        <v>290</v>
      </c>
      <c r="B5" s="51" t="s">
        <v>106</v>
      </c>
      <c r="C5" s="52">
        <v>1</v>
      </c>
      <c r="D5" s="51" t="s">
        <v>9</v>
      </c>
      <c r="E5" s="62">
        <v>1</v>
      </c>
      <c r="F5" s="30"/>
      <c r="G5" s="32">
        <v>0</v>
      </c>
      <c r="H5" s="31"/>
      <c r="I5" s="33">
        <f t="shared" si="0"/>
        <v>0</v>
      </c>
      <c r="J5" s="30"/>
      <c r="K5" s="32">
        <f>+I5-J5</f>
        <v>0</v>
      </c>
      <c r="L5" s="31"/>
      <c r="M5" s="33">
        <f t="shared" si="1"/>
        <v>0</v>
      </c>
      <c r="N5" s="30">
        <v>0</v>
      </c>
      <c r="O5" s="32">
        <f>+M5-N5</f>
        <v>0</v>
      </c>
      <c r="P5" s="31"/>
      <c r="Q5" s="33">
        <f t="shared" si="2"/>
        <v>0</v>
      </c>
      <c r="R5" s="30"/>
      <c r="S5" s="32">
        <f t="shared" si="3"/>
        <v>0</v>
      </c>
      <c r="T5" s="31"/>
      <c r="U5" s="33">
        <f t="shared" si="4"/>
        <v>0</v>
      </c>
      <c r="V5" s="30"/>
      <c r="W5" s="32">
        <f>+U5-V5</f>
        <v>0</v>
      </c>
      <c r="X5" s="31"/>
      <c r="Y5" s="33">
        <f t="shared" si="5"/>
        <v>0</v>
      </c>
      <c r="Z5" s="30"/>
      <c r="AA5" s="47">
        <f>Y5-Z5</f>
        <v>0</v>
      </c>
      <c r="AB5" s="31"/>
      <c r="AC5" s="33">
        <f t="shared" si="6"/>
        <v>0</v>
      </c>
      <c r="AD5" s="30"/>
      <c r="AE5" s="32">
        <f t="shared" ref="AE5:AE68" si="22">+AC5-AD5</f>
        <v>0</v>
      </c>
      <c r="AF5" s="31"/>
      <c r="AG5" s="33">
        <f t="shared" si="7"/>
        <v>0</v>
      </c>
      <c r="AH5" s="30"/>
      <c r="AI5" s="32">
        <f t="shared" ref="AI5:AI68" si="23">+AG5-AH5</f>
        <v>0</v>
      </c>
      <c r="AJ5" s="31"/>
      <c r="AK5" s="33">
        <f t="shared" si="8"/>
        <v>0</v>
      </c>
      <c r="AL5" s="30"/>
      <c r="AM5" s="32">
        <f t="shared" ref="AM5:AM68" si="24">+AK5-AL5</f>
        <v>0</v>
      </c>
      <c r="AN5" s="31"/>
      <c r="AO5" s="33">
        <f t="shared" si="9"/>
        <v>0</v>
      </c>
      <c r="AP5" s="30"/>
      <c r="AQ5" s="32">
        <f t="shared" si="10"/>
        <v>0</v>
      </c>
      <c r="AR5" s="31"/>
      <c r="AS5" s="33">
        <f t="shared" si="11"/>
        <v>0</v>
      </c>
      <c r="AT5" s="30"/>
      <c r="AU5" s="32">
        <f t="shared" ref="AU5:AU13" si="25">+AS5-AT5</f>
        <v>0</v>
      </c>
      <c r="AV5" s="31"/>
      <c r="AW5" s="33">
        <f t="shared" si="12"/>
        <v>0</v>
      </c>
      <c r="AX5" s="30"/>
      <c r="AY5" s="32">
        <f t="shared" si="13"/>
        <v>0</v>
      </c>
      <c r="AZ5" s="31"/>
      <c r="BA5" s="33">
        <f t="shared" si="14"/>
        <v>0</v>
      </c>
      <c r="BB5" s="30"/>
      <c r="BC5" s="32">
        <f t="shared" ref="BC5:BC68" si="26">+BA5-BB5</f>
        <v>0</v>
      </c>
      <c r="BD5" s="31"/>
      <c r="BE5" s="33">
        <f t="shared" si="15"/>
        <v>0</v>
      </c>
      <c r="BF5" s="30"/>
      <c r="BG5" s="32">
        <f>+BE5-BF5</f>
        <v>0</v>
      </c>
      <c r="BH5" s="31"/>
      <c r="BI5" s="33">
        <f t="shared" si="16"/>
        <v>0</v>
      </c>
      <c r="BJ5" s="30"/>
      <c r="BK5" s="32">
        <f>+BI5-BJ5</f>
        <v>0</v>
      </c>
      <c r="BL5" s="31"/>
      <c r="BM5" s="33">
        <f t="shared" si="17"/>
        <v>0</v>
      </c>
      <c r="BN5" s="30"/>
      <c r="BO5" s="32">
        <f>+BM5-BN5</f>
        <v>0</v>
      </c>
      <c r="BP5" s="31"/>
      <c r="BQ5" s="33">
        <f t="shared" si="18"/>
        <v>0</v>
      </c>
      <c r="BR5" s="30"/>
      <c r="BS5" s="32">
        <f>+BQ5-BR5</f>
        <v>0</v>
      </c>
      <c r="BT5" s="31"/>
      <c r="BU5" s="33">
        <f t="shared" si="19"/>
        <v>0</v>
      </c>
      <c r="BV5" s="30"/>
      <c r="BW5" s="32">
        <f>+BU5-BV5</f>
        <v>0</v>
      </c>
      <c r="BX5" s="31"/>
      <c r="BY5" s="33">
        <f t="shared" si="20"/>
        <v>0</v>
      </c>
      <c r="BZ5" s="30"/>
      <c r="CA5" s="32">
        <f>+BY5-BZ5</f>
        <v>0</v>
      </c>
      <c r="CB5" s="31"/>
      <c r="CC5" s="33">
        <f t="shared" si="21"/>
        <v>0</v>
      </c>
    </row>
    <row r="6" spans="1:81" s="171" customFormat="1" ht="20.100000000000001" hidden="1" customHeight="1" x14ac:dyDescent="0.25">
      <c r="A6" s="61" t="s">
        <v>291</v>
      </c>
      <c r="B6" s="51" t="s">
        <v>106</v>
      </c>
      <c r="C6" s="52">
        <v>1</v>
      </c>
      <c r="D6" s="51" t="s">
        <v>9</v>
      </c>
      <c r="E6" s="62">
        <v>1</v>
      </c>
      <c r="F6" s="30"/>
      <c r="G6" s="32">
        <v>0</v>
      </c>
      <c r="H6" s="31"/>
      <c r="I6" s="33">
        <f t="shared" si="0"/>
        <v>0</v>
      </c>
      <c r="J6" s="30"/>
      <c r="K6" s="32">
        <f>+I6-J6</f>
        <v>0</v>
      </c>
      <c r="L6" s="31"/>
      <c r="M6" s="33">
        <f t="shared" si="1"/>
        <v>0</v>
      </c>
      <c r="N6" s="30">
        <v>0</v>
      </c>
      <c r="O6" s="32">
        <f>+M6-N6</f>
        <v>0</v>
      </c>
      <c r="P6" s="31"/>
      <c r="Q6" s="33">
        <f t="shared" si="2"/>
        <v>0</v>
      </c>
      <c r="R6" s="30"/>
      <c r="S6" s="32">
        <f t="shared" si="3"/>
        <v>0</v>
      </c>
      <c r="T6" s="31"/>
      <c r="U6" s="33">
        <f t="shared" si="4"/>
        <v>0</v>
      </c>
      <c r="V6" s="30"/>
      <c r="W6" s="32">
        <f>+U6-V6</f>
        <v>0</v>
      </c>
      <c r="X6" s="31"/>
      <c r="Y6" s="33">
        <f t="shared" si="5"/>
        <v>0</v>
      </c>
      <c r="Z6" s="30"/>
      <c r="AA6" s="47">
        <f>Y6-Z6</f>
        <v>0</v>
      </c>
      <c r="AB6" s="31"/>
      <c r="AC6" s="33">
        <f t="shared" si="6"/>
        <v>0</v>
      </c>
      <c r="AD6" s="30"/>
      <c r="AE6" s="32">
        <f t="shared" si="22"/>
        <v>0</v>
      </c>
      <c r="AF6" s="31"/>
      <c r="AG6" s="33">
        <f t="shared" si="7"/>
        <v>0</v>
      </c>
      <c r="AH6" s="30"/>
      <c r="AI6" s="32">
        <f t="shared" si="23"/>
        <v>0</v>
      </c>
      <c r="AJ6" s="31"/>
      <c r="AK6" s="33">
        <f t="shared" si="8"/>
        <v>0</v>
      </c>
      <c r="AL6" s="30"/>
      <c r="AM6" s="32">
        <f t="shared" si="24"/>
        <v>0</v>
      </c>
      <c r="AN6" s="31"/>
      <c r="AO6" s="33">
        <f t="shared" si="9"/>
        <v>0</v>
      </c>
      <c r="AP6" s="30"/>
      <c r="AQ6" s="32">
        <f t="shared" si="10"/>
        <v>0</v>
      </c>
      <c r="AR6" s="31"/>
      <c r="AS6" s="33">
        <f t="shared" si="11"/>
        <v>0</v>
      </c>
      <c r="AT6" s="30"/>
      <c r="AU6" s="32">
        <f t="shared" si="25"/>
        <v>0</v>
      </c>
      <c r="AV6" s="31"/>
      <c r="AW6" s="33">
        <f t="shared" si="12"/>
        <v>0</v>
      </c>
      <c r="AX6" s="30"/>
      <c r="AY6" s="32">
        <f t="shared" si="13"/>
        <v>0</v>
      </c>
      <c r="AZ6" s="31"/>
      <c r="BA6" s="33">
        <f t="shared" si="14"/>
        <v>0</v>
      </c>
      <c r="BB6" s="30"/>
      <c r="BC6" s="32">
        <f t="shared" si="26"/>
        <v>0</v>
      </c>
      <c r="BD6" s="31"/>
      <c r="BE6" s="33">
        <f t="shared" si="15"/>
        <v>0</v>
      </c>
      <c r="BF6" s="30"/>
      <c r="BG6" s="32">
        <f>+BE6-BF6</f>
        <v>0</v>
      </c>
      <c r="BH6" s="31"/>
      <c r="BI6" s="33">
        <f t="shared" si="16"/>
        <v>0</v>
      </c>
      <c r="BJ6" s="30"/>
      <c r="BK6" s="32">
        <f>+BI6-BJ6</f>
        <v>0</v>
      </c>
      <c r="BL6" s="31"/>
      <c r="BM6" s="33">
        <f t="shared" si="17"/>
        <v>0</v>
      </c>
      <c r="BN6" s="30"/>
      <c r="BO6" s="32">
        <f>+BM6-BN6</f>
        <v>0</v>
      </c>
      <c r="BP6" s="31"/>
      <c r="BQ6" s="33">
        <f t="shared" si="18"/>
        <v>0</v>
      </c>
      <c r="BR6" s="30"/>
      <c r="BS6" s="32">
        <f>+BQ6-BR6</f>
        <v>0</v>
      </c>
      <c r="BT6" s="31"/>
      <c r="BU6" s="33">
        <f t="shared" si="19"/>
        <v>0</v>
      </c>
      <c r="BV6" s="30"/>
      <c r="BW6" s="32">
        <f>+BU6-BV6</f>
        <v>0</v>
      </c>
      <c r="BX6" s="31"/>
      <c r="BY6" s="33">
        <f t="shared" si="20"/>
        <v>0</v>
      </c>
      <c r="BZ6" s="30"/>
      <c r="CA6" s="32">
        <f>+BY6-BZ6</f>
        <v>0</v>
      </c>
      <c r="CB6" s="31"/>
      <c r="CC6" s="33">
        <f t="shared" si="21"/>
        <v>0</v>
      </c>
    </row>
    <row r="7" spans="1:81" s="171" customFormat="1" ht="20.100000000000001" hidden="1" customHeight="1" x14ac:dyDescent="0.25">
      <c r="A7" s="61" t="s">
        <v>104</v>
      </c>
      <c r="B7" s="51" t="s">
        <v>106</v>
      </c>
      <c r="C7" s="52">
        <v>10</v>
      </c>
      <c r="D7" s="51" t="s">
        <v>9</v>
      </c>
      <c r="E7" s="62">
        <v>10</v>
      </c>
      <c r="F7" s="30">
        <v>18</v>
      </c>
      <c r="G7" s="32">
        <v>2</v>
      </c>
      <c r="H7" s="31"/>
      <c r="I7" s="33">
        <f t="shared" si="0"/>
        <v>18</v>
      </c>
      <c r="J7" s="30">
        <v>16</v>
      </c>
      <c r="K7" s="32">
        <f>+I7-J7</f>
        <v>2</v>
      </c>
      <c r="L7" s="31"/>
      <c r="M7" s="33">
        <f t="shared" si="1"/>
        <v>16</v>
      </c>
      <c r="N7" s="30">
        <v>20</v>
      </c>
      <c r="O7" s="32">
        <f>+M7-N7</f>
        <v>-4</v>
      </c>
      <c r="P7" s="31"/>
      <c r="Q7" s="33">
        <f t="shared" si="2"/>
        <v>20</v>
      </c>
      <c r="R7" s="30"/>
      <c r="S7" s="32">
        <f t="shared" si="3"/>
        <v>20</v>
      </c>
      <c r="T7" s="31"/>
      <c r="U7" s="33">
        <f t="shared" si="4"/>
        <v>0</v>
      </c>
      <c r="V7" s="30"/>
      <c r="W7" s="32">
        <f t="shared" ref="W7:W16" si="27">+U7-V7</f>
        <v>0</v>
      </c>
      <c r="X7" s="31"/>
      <c r="Y7" s="33">
        <f t="shared" si="5"/>
        <v>0</v>
      </c>
      <c r="Z7" s="30"/>
      <c r="AA7" s="47">
        <f>Y7-Z7</f>
        <v>0</v>
      </c>
      <c r="AB7" s="31"/>
      <c r="AC7" s="33">
        <f t="shared" si="6"/>
        <v>0</v>
      </c>
      <c r="AD7" s="30"/>
      <c r="AE7" s="32">
        <f t="shared" si="22"/>
        <v>0</v>
      </c>
      <c r="AF7" s="31"/>
      <c r="AG7" s="33">
        <f t="shared" si="7"/>
        <v>0</v>
      </c>
      <c r="AH7" s="30">
        <v>15</v>
      </c>
      <c r="AI7" s="32">
        <f t="shared" si="23"/>
        <v>-15</v>
      </c>
      <c r="AJ7" s="31"/>
      <c r="AK7" s="33">
        <f t="shared" si="8"/>
        <v>15</v>
      </c>
      <c r="AL7" s="30">
        <v>15</v>
      </c>
      <c r="AM7" s="32">
        <f t="shared" si="24"/>
        <v>0</v>
      </c>
      <c r="AN7" s="31"/>
      <c r="AO7" s="33">
        <f t="shared" si="9"/>
        <v>15</v>
      </c>
      <c r="AP7" s="30">
        <v>10</v>
      </c>
      <c r="AQ7" s="32">
        <f t="shared" si="10"/>
        <v>5</v>
      </c>
      <c r="AR7" s="31">
        <v>2</v>
      </c>
      <c r="AS7" s="33">
        <f t="shared" si="11"/>
        <v>30</v>
      </c>
      <c r="AT7" s="30">
        <v>25</v>
      </c>
      <c r="AU7" s="32">
        <f t="shared" si="25"/>
        <v>5</v>
      </c>
      <c r="AV7" s="31"/>
      <c r="AW7" s="33">
        <f t="shared" si="12"/>
        <v>25</v>
      </c>
      <c r="AX7" s="30">
        <v>20</v>
      </c>
      <c r="AY7" s="32">
        <f>+AW7-AX7</f>
        <v>5</v>
      </c>
      <c r="AZ7" s="31"/>
      <c r="BA7" s="33">
        <f t="shared" si="14"/>
        <v>20</v>
      </c>
      <c r="BB7" s="30">
        <v>20</v>
      </c>
      <c r="BC7" s="32">
        <f t="shared" si="26"/>
        <v>0</v>
      </c>
      <c r="BD7" s="31"/>
      <c r="BE7" s="33">
        <f t="shared" si="15"/>
        <v>20</v>
      </c>
      <c r="BF7" s="30"/>
      <c r="BG7" s="32">
        <f>+BE7-BF7</f>
        <v>20</v>
      </c>
      <c r="BH7" s="31"/>
      <c r="BI7" s="33">
        <f t="shared" si="16"/>
        <v>0</v>
      </c>
      <c r="BJ7" s="30"/>
      <c r="BK7" s="32">
        <f>+BI7-BJ7</f>
        <v>0</v>
      </c>
      <c r="BL7" s="31"/>
      <c r="BM7" s="33">
        <f t="shared" si="17"/>
        <v>0</v>
      </c>
      <c r="BN7" s="30"/>
      <c r="BO7" s="32">
        <f>+BM7-BN7</f>
        <v>0</v>
      </c>
      <c r="BP7" s="31"/>
      <c r="BQ7" s="33">
        <f t="shared" si="18"/>
        <v>0</v>
      </c>
      <c r="BR7" s="30"/>
      <c r="BS7" s="32">
        <f>+BQ7-BR7</f>
        <v>0</v>
      </c>
      <c r="BT7" s="31"/>
      <c r="BU7" s="33">
        <f t="shared" si="19"/>
        <v>0</v>
      </c>
      <c r="BV7" s="30"/>
      <c r="BW7" s="32">
        <f>+BU7-BV7</f>
        <v>0</v>
      </c>
      <c r="BX7" s="31"/>
      <c r="BY7" s="33">
        <f t="shared" si="20"/>
        <v>0</v>
      </c>
      <c r="BZ7" s="30"/>
      <c r="CA7" s="32">
        <f>+BY7-BZ7</f>
        <v>0</v>
      </c>
      <c r="CB7" s="31"/>
      <c r="CC7" s="33">
        <f t="shared" si="21"/>
        <v>0</v>
      </c>
    </row>
    <row r="8" spans="1:81" ht="20.100000000000001" hidden="1" customHeight="1" x14ac:dyDescent="0.25">
      <c r="A8" s="12" t="s">
        <v>292</v>
      </c>
      <c r="B8" s="9" t="s">
        <v>106</v>
      </c>
      <c r="C8" s="136">
        <v>1</v>
      </c>
      <c r="D8" s="9" t="s">
        <v>9</v>
      </c>
      <c r="E8" s="13">
        <v>1</v>
      </c>
      <c r="F8" s="43">
        <v>1</v>
      </c>
      <c r="G8" s="32">
        <v>0</v>
      </c>
      <c r="H8" s="45"/>
      <c r="I8" s="48">
        <f t="shared" si="0"/>
        <v>1</v>
      </c>
      <c r="J8" s="43">
        <v>1</v>
      </c>
      <c r="K8" s="32">
        <f t="shared" ref="K8:K13" si="28">+I8-J8</f>
        <v>0</v>
      </c>
      <c r="L8" s="45">
        <v>1</v>
      </c>
      <c r="M8" s="48">
        <f t="shared" si="1"/>
        <v>2</v>
      </c>
      <c r="N8" s="43">
        <v>2</v>
      </c>
      <c r="O8" s="47">
        <v>0</v>
      </c>
      <c r="P8" s="45"/>
      <c r="Q8" s="48">
        <f t="shared" si="2"/>
        <v>2</v>
      </c>
      <c r="R8" s="43">
        <v>2</v>
      </c>
      <c r="S8" s="32">
        <f t="shared" si="3"/>
        <v>0</v>
      </c>
      <c r="T8" s="45"/>
      <c r="U8" s="48">
        <f t="shared" si="4"/>
        <v>2</v>
      </c>
      <c r="V8" s="43">
        <v>2</v>
      </c>
      <c r="W8" s="32">
        <f t="shared" si="27"/>
        <v>0</v>
      </c>
      <c r="X8" s="49">
        <v>1</v>
      </c>
      <c r="Y8" s="48">
        <f t="shared" si="5"/>
        <v>3</v>
      </c>
      <c r="Z8" s="43">
        <v>3</v>
      </c>
      <c r="AA8" s="47">
        <f>Y8-Z8</f>
        <v>0</v>
      </c>
      <c r="AB8" s="45"/>
      <c r="AC8" s="48">
        <f t="shared" si="6"/>
        <v>3</v>
      </c>
      <c r="AD8" s="43">
        <v>3</v>
      </c>
      <c r="AE8" s="32">
        <f t="shared" si="22"/>
        <v>0</v>
      </c>
      <c r="AF8" s="45"/>
      <c r="AG8" s="48">
        <f t="shared" si="7"/>
        <v>3</v>
      </c>
      <c r="AH8" s="43">
        <v>2</v>
      </c>
      <c r="AI8" s="32">
        <f t="shared" si="23"/>
        <v>1</v>
      </c>
      <c r="AJ8" s="45"/>
      <c r="AK8" s="48">
        <f t="shared" si="8"/>
        <v>2</v>
      </c>
      <c r="AL8" s="43">
        <v>2</v>
      </c>
      <c r="AM8" s="32">
        <f t="shared" si="24"/>
        <v>0</v>
      </c>
      <c r="AN8" s="45"/>
      <c r="AO8" s="48">
        <f t="shared" si="9"/>
        <v>2</v>
      </c>
      <c r="AP8" s="43">
        <v>2</v>
      </c>
      <c r="AQ8" s="32">
        <f t="shared" si="10"/>
        <v>0</v>
      </c>
      <c r="AR8" s="45"/>
      <c r="AS8" s="48">
        <f t="shared" si="11"/>
        <v>2</v>
      </c>
      <c r="AT8" s="43">
        <v>2</v>
      </c>
      <c r="AU8" s="32">
        <f t="shared" si="25"/>
        <v>0</v>
      </c>
      <c r="AV8" s="45"/>
      <c r="AW8" s="48">
        <f t="shared" si="12"/>
        <v>2</v>
      </c>
      <c r="AX8" s="43">
        <v>2</v>
      </c>
      <c r="AY8" s="32">
        <f t="shared" ref="AY8:AY13" si="29">+AW8-AX8</f>
        <v>0</v>
      </c>
      <c r="AZ8" s="45"/>
      <c r="BA8" s="48">
        <f t="shared" si="14"/>
        <v>2</v>
      </c>
      <c r="BB8" s="43">
        <v>1</v>
      </c>
      <c r="BC8" s="32">
        <f t="shared" si="26"/>
        <v>1</v>
      </c>
      <c r="BD8" s="45">
        <v>1</v>
      </c>
      <c r="BE8" s="48">
        <f t="shared" si="15"/>
        <v>2</v>
      </c>
      <c r="BF8" s="43">
        <v>3</v>
      </c>
      <c r="BG8" s="47">
        <v>0</v>
      </c>
      <c r="BH8" s="45"/>
      <c r="BI8" s="48">
        <f t="shared" si="16"/>
        <v>3</v>
      </c>
      <c r="BJ8" s="43"/>
      <c r="BK8" s="47">
        <v>0</v>
      </c>
      <c r="BL8" s="45"/>
      <c r="BM8" s="48">
        <f t="shared" si="17"/>
        <v>0</v>
      </c>
      <c r="BN8" s="43"/>
      <c r="BO8" s="47">
        <v>0</v>
      </c>
      <c r="BP8" s="45"/>
      <c r="BQ8" s="48">
        <f t="shared" si="18"/>
        <v>0</v>
      </c>
      <c r="BR8" s="43"/>
      <c r="BS8" s="47">
        <v>0</v>
      </c>
      <c r="BT8" s="45"/>
      <c r="BU8" s="48">
        <f t="shared" si="19"/>
        <v>0</v>
      </c>
      <c r="BV8" s="43"/>
      <c r="BW8" s="47">
        <v>0</v>
      </c>
      <c r="BX8" s="45"/>
      <c r="BY8" s="48">
        <f t="shared" si="20"/>
        <v>0</v>
      </c>
      <c r="BZ8" s="43"/>
      <c r="CA8" s="47">
        <v>0</v>
      </c>
      <c r="CB8" s="45"/>
      <c r="CC8" s="48">
        <f t="shared" si="21"/>
        <v>0</v>
      </c>
    </row>
    <row r="9" spans="1:81" ht="20.100000000000001" hidden="1" customHeight="1" x14ac:dyDescent="0.25">
      <c r="A9" s="63" t="s">
        <v>293</v>
      </c>
      <c r="B9" s="53" t="s">
        <v>7</v>
      </c>
      <c r="C9" s="54">
        <v>1</v>
      </c>
      <c r="D9" s="53" t="s">
        <v>9</v>
      </c>
      <c r="E9" s="64"/>
      <c r="F9" s="43"/>
      <c r="G9" s="32">
        <v>0</v>
      </c>
      <c r="H9" s="45"/>
      <c r="I9" s="48">
        <f t="shared" si="0"/>
        <v>0</v>
      </c>
      <c r="J9" s="43"/>
      <c r="K9" s="32">
        <f t="shared" si="28"/>
        <v>0</v>
      </c>
      <c r="L9" s="45"/>
      <c r="M9" s="48">
        <f t="shared" si="1"/>
        <v>0</v>
      </c>
      <c r="N9" s="43"/>
      <c r="O9" s="47">
        <f>+M9-N9</f>
        <v>0</v>
      </c>
      <c r="P9" s="45"/>
      <c r="Q9" s="48">
        <f t="shared" si="2"/>
        <v>0</v>
      </c>
      <c r="R9" s="43"/>
      <c r="S9" s="32">
        <f t="shared" si="3"/>
        <v>0</v>
      </c>
      <c r="T9" s="45"/>
      <c r="U9" s="48">
        <f t="shared" si="4"/>
        <v>0</v>
      </c>
      <c r="V9" s="43"/>
      <c r="W9" s="32">
        <f t="shared" si="27"/>
        <v>0</v>
      </c>
      <c r="X9" s="45"/>
      <c r="Y9" s="48">
        <f t="shared" si="5"/>
        <v>0</v>
      </c>
      <c r="Z9" s="43"/>
      <c r="AA9" s="47">
        <f t="shared" ref="AA9:AA70" si="30">Y9-Z9</f>
        <v>0</v>
      </c>
      <c r="AB9" s="45"/>
      <c r="AC9" s="48">
        <f t="shared" si="6"/>
        <v>0</v>
      </c>
      <c r="AD9" s="43"/>
      <c r="AE9" s="32">
        <f t="shared" si="22"/>
        <v>0</v>
      </c>
      <c r="AF9" s="45"/>
      <c r="AG9" s="48">
        <f t="shared" si="7"/>
        <v>0</v>
      </c>
      <c r="AH9" s="43"/>
      <c r="AI9" s="32">
        <f t="shared" si="23"/>
        <v>0</v>
      </c>
      <c r="AJ9" s="45"/>
      <c r="AK9" s="48">
        <f t="shared" si="8"/>
        <v>0</v>
      </c>
      <c r="AL9" s="43"/>
      <c r="AM9" s="32">
        <f t="shared" si="24"/>
        <v>0</v>
      </c>
      <c r="AN9" s="45"/>
      <c r="AO9" s="48">
        <f t="shared" si="9"/>
        <v>0</v>
      </c>
      <c r="AP9" s="43"/>
      <c r="AQ9" s="47">
        <f t="shared" si="10"/>
        <v>0</v>
      </c>
      <c r="AR9" s="45"/>
      <c r="AS9" s="48">
        <f t="shared" si="11"/>
        <v>0</v>
      </c>
      <c r="AT9" s="43"/>
      <c r="AU9" s="32">
        <f t="shared" si="25"/>
        <v>0</v>
      </c>
      <c r="AV9" s="45"/>
      <c r="AW9" s="48">
        <f t="shared" si="12"/>
        <v>0</v>
      </c>
      <c r="AX9" s="43"/>
      <c r="AY9" s="32">
        <f t="shared" si="29"/>
        <v>0</v>
      </c>
      <c r="AZ9" s="45"/>
      <c r="BA9" s="48">
        <f t="shared" si="14"/>
        <v>0</v>
      </c>
      <c r="BB9" s="43"/>
      <c r="BC9" s="32">
        <f t="shared" si="26"/>
        <v>0</v>
      </c>
      <c r="BD9" s="45"/>
      <c r="BE9" s="48">
        <f t="shared" si="15"/>
        <v>0</v>
      </c>
      <c r="BF9" s="43"/>
      <c r="BG9" s="47">
        <f>+BE9-BF9</f>
        <v>0</v>
      </c>
      <c r="BH9" s="45"/>
      <c r="BI9" s="48">
        <f t="shared" si="16"/>
        <v>0</v>
      </c>
      <c r="BJ9" s="43"/>
      <c r="BK9" s="47">
        <f>+BI9-BJ9</f>
        <v>0</v>
      </c>
      <c r="BL9" s="45"/>
      <c r="BM9" s="48">
        <f t="shared" si="17"/>
        <v>0</v>
      </c>
      <c r="BN9" s="43"/>
      <c r="BO9" s="47">
        <f>+BM9-BN9</f>
        <v>0</v>
      </c>
      <c r="BP9" s="45"/>
      <c r="BQ9" s="48">
        <f t="shared" si="18"/>
        <v>0</v>
      </c>
      <c r="BR9" s="43"/>
      <c r="BS9" s="47">
        <f>+BQ9-BR9</f>
        <v>0</v>
      </c>
      <c r="BT9" s="45"/>
      <c r="BU9" s="48">
        <f t="shared" si="19"/>
        <v>0</v>
      </c>
      <c r="BV9" s="43"/>
      <c r="BW9" s="47">
        <f>+BU9-BV9</f>
        <v>0</v>
      </c>
      <c r="BX9" s="45"/>
      <c r="BY9" s="48">
        <f t="shared" si="20"/>
        <v>0</v>
      </c>
      <c r="BZ9" s="43"/>
      <c r="CA9" s="47">
        <f>+BY9-BZ9</f>
        <v>0</v>
      </c>
      <c r="CB9" s="45"/>
      <c r="CC9" s="48">
        <f t="shared" si="21"/>
        <v>0</v>
      </c>
    </row>
    <row r="10" spans="1:81" ht="20.100000000000001" hidden="1" customHeight="1" x14ac:dyDescent="0.25">
      <c r="A10" s="12" t="s">
        <v>226</v>
      </c>
      <c r="B10" s="9" t="s">
        <v>7</v>
      </c>
      <c r="C10" s="136">
        <v>100</v>
      </c>
      <c r="D10" s="9" t="s">
        <v>9</v>
      </c>
      <c r="E10" s="13">
        <v>100</v>
      </c>
      <c r="F10" s="43">
        <v>105</v>
      </c>
      <c r="G10" s="47">
        <v>7</v>
      </c>
      <c r="H10" s="45"/>
      <c r="I10" s="48">
        <f t="shared" si="0"/>
        <v>105</v>
      </c>
      <c r="J10" s="43">
        <v>100</v>
      </c>
      <c r="K10" s="32">
        <f t="shared" si="28"/>
        <v>5</v>
      </c>
      <c r="L10" s="45"/>
      <c r="M10" s="48">
        <f t="shared" si="1"/>
        <v>100</v>
      </c>
      <c r="N10" s="43">
        <v>100</v>
      </c>
      <c r="O10" s="47">
        <f>+M10-N10</f>
        <v>0</v>
      </c>
      <c r="P10" s="45"/>
      <c r="Q10" s="48">
        <f t="shared" si="2"/>
        <v>100</v>
      </c>
      <c r="R10" s="43">
        <v>100</v>
      </c>
      <c r="S10" s="47">
        <f t="shared" si="3"/>
        <v>0</v>
      </c>
      <c r="T10" s="45"/>
      <c r="U10" s="48">
        <f t="shared" si="4"/>
        <v>100</v>
      </c>
      <c r="V10" s="43">
        <v>100</v>
      </c>
      <c r="W10" s="32">
        <f t="shared" si="27"/>
        <v>0</v>
      </c>
      <c r="X10" s="45"/>
      <c r="Y10" s="48">
        <f t="shared" si="5"/>
        <v>100</v>
      </c>
      <c r="Z10" s="43">
        <v>100</v>
      </c>
      <c r="AA10" s="47">
        <f t="shared" si="30"/>
        <v>0</v>
      </c>
      <c r="AB10" s="45"/>
      <c r="AC10" s="48">
        <f t="shared" si="6"/>
        <v>100</v>
      </c>
      <c r="AD10" s="43">
        <v>100</v>
      </c>
      <c r="AE10" s="32">
        <f t="shared" si="22"/>
        <v>0</v>
      </c>
      <c r="AF10" s="45"/>
      <c r="AG10" s="48">
        <f t="shared" si="7"/>
        <v>100</v>
      </c>
      <c r="AH10" s="43">
        <v>100</v>
      </c>
      <c r="AI10" s="32">
        <f t="shared" si="23"/>
        <v>0</v>
      </c>
      <c r="AJ10" s="45"/>
      <c r="AK10" s="48">
        <f t="shared" si="8"/>
        <v>100</v>
      </c>
      <c r="AL10" s="43">
        <v>100</v>
      </c>
      <c r="AM10" s="32">
        <f t="shared" si="24"/>
        <v>0</v>
      </c>
      <c r="AN10" s="45"/>
      <c r="AO10" s="48">
        <f t="shared" si="9"/>
        <v>100</v>
      </c>
      <c r="AP10" s="43">
        <v>90</v>
      </c>
      <c r="AQ10" s="47">
        <f t="shared" si="10"/>
        <v>10</v>
      </c>
      <c r="AR10" s="45"/>
      <c r="AS10" s="48">
        <f t="shared" si="11"/>
        <v>90</v>
      </c>
      <c r="AT10" s="43">
        <v>90</v>
      </c>
      <c r="AU10" s="32">
        <f t="shared" si="25"/>
        <v>0</v>
      </c>
      <c r="AV10" s="45"/>
      <c r="AW10" s="48">
        <f t="shared" si="12"/>
        <v>90</v>
      </c>
      <c r="AX10" s="43">
        <v>90</v>
      </c>
      <c r="AY10" s="32">
        <f t="shared" si="29"/>
        <v>0</v>
      </c>
      <c r="AZ10" s="45"/>
      <c r="BA10" s="48">
        <f t="shared" si="14"/>
        <v>90</v>
      </c>
      <c r="BB10" s="43">
        <v>90</v>
      </c>
      <c r="BC10" s="32">
        <f t="shared" si="26"/>
        <v>0</v>
      </c>
      <c r="BD10" s="45"/>
      <c r="BE10" s="48">
        <f t="shared" si="15"/>
        <v>90</v>
      </c>
      <c r="BF10" s="43">
        <v>57</v>
      </c>
      <c r="BG10" s="47">
        <f>+BE10-BF10</f>
        <v>33</v>
      </c>
      <c r="BH10" s="45">
        <v>1</v>
      </c>
      <c r="BI10" s="48">
        <f t="shared" si="16"/>
        <v>157</v>
      </c>
      <c r="BJ10" s="43"/>
      <c r="BK10" s="47">
        <f>+BI10-BJ10</f>
        <v>157</v>
      </c>
      <c r="BL10" s="45"/>
      <c r="BM10" s="48">
        <f t="shared" si="17"/>
        <v>0</v>
      </c>
      <c r="BN10" s="43"/>
      <c r="BO10" s="47">
        <f>+BM10-BN10</f>
        <v>0</v>
      </c>
      <c r="BP10" s="45"/>
      <c r="BQ10" s="48">
        <f t="shared" si="18"/>
        <v>0</v>
      </c>
      <c r="BR10" s="43"/>
      <c r="BS10" s="47">
        <f>+BQ10-BR10</f>
        <v>0</v>
      </c>
      <c r="BT10" s="45"/>
      <c r="BU10" s="48">
        <f t="shared" si="19"/>
        <v>0</v>
      </c>
      <c r="BV10" s="43"/>
      <c r="BW10" s="47">
        <f>+BU10-BV10</f>
        <v>0</v>
      </c>
      <c r="BX10" s="45"/>
      <c r="BY10" s="48">
        <f t="shared" si="20"/>
        <v>0</v>
      </c>
      <c r="BZ10" s="43"/>
      <c r="CA10" s="47">
        <f>+BY10-BZ10</f>
        <v>0</v>
      </c>
      <c r="CB10" s="45"/>
      <c r="CC10" s="48">
        <f t="shared" si="21"/>
        <v>0</v>
      </c>
    </row>
    <row r="11" spans="1:81" ht="20.100000000000001" hidden="1" customHeight="1" x14ac:dyDescent="0.25">
      <c r="A11" s="63" t="s">
        <v>294</v>
      </c>
      <c r="B11" s="53" t="s">
        <v>7</v>
      </c>
      <c r="C11" s="141">
        <v>1</v>
      </c>
      <c r="D11" s="9" t="s">
        <v>9</v>
      </c>
      <c r="E11" s="64"/>
      <c r="F11" s="43"/>
      <c r="G11" s="47">
        <v>0</v>
      </c>
      <c r="H11" s="45"/>
      <c r="I11" s="48">
        <f t="shared" si="0"/>
        <v>0</v>
      </c>
      <c r="J11" s="43"/>
      <c r="K11" s="32">
        <f t="shared" si="28"/>
        <v>0</v>
      </c>
      <c r="L11" s="45"/>
      <c r="M11" s="48">
        <f t="shared" si="1"/>
        <v>0</v>
      </c>
      <c r="N11" s="43"/>
      <c r="O11" s="47">
        <f>+M11-N11</f>
        <v>0</v>
      </c>
      <c r="P11" s="45"/>
      <c r="Q11" s="48">
        <f t="shared" si="2"/>
        <v>0</v>
      </c>
      <c r="R11" s="43"/>
      <c r="S11" s="47">
        <f t="shared" si="3"/>
        <v>0</v>
      </c>
      <c r="T11" s="45"/>
      <c r="U11" s="48">
        <f t="shared" si="4"/>
        <v>0</v>
      </c>
      <c r="V11" s="43"/>
      <c r="W11" s="32">
        <f t="shared" si="27"/>
        <v>0</v>
      </c>
      <c r="X11" s="45"/>
      <c r="Y11" s="48">
        <f t="shared" si="5"/>
        <v>0</v>
      </c>
      <c r="Z11" s="43"/>
      <c r="AA11" s="47">
        <f t="shared" si="30"/>
        <v>0</v>
      </c>
      <c r="AB11" s="45"/>
      <c r="AC11" s="48">
        <f t="shared" si="6"/>
        <v>0</v>
      </c>
      <c r="AD11" s="43"/>
      <c r="AE11" s="32">
        <f t="shared" si="22"/>
        <v>0</v>
      </c>
      <c r="AF11" s="45"/>
      <c r="AG11" s="48">
        <f t="shared" si="7"/>
        <v>0</v>
      </c>
      <c r="AH11" s="43"/>
      <c r="AI11" s="32">
        <f t="shared" si="23"/>
        <v>0</v>
      </c>
      <c r="AJ11" s="45"/>
      <c r="AK11" s="48">
        <f t="shared" si="8"/>
        <v>0</v>
      </c>
      <c r="AL11" s="43"/>
      <c r="AM11" s="32">
        <f t="shared" si="24"/>
        <v>0</v>
      </c>
      <c r="AN11" s="45"/>
      <c r="AO11" s="48">
        <f t="shared" si="9"/>
        <v>0</v>
      </c>
      <c r="AP11" s="43"/>
      <c r="AQ11" s="47">
        <f t="shared" si="10"/>
        <v>0</v>
      </c>
      <c r="AR11" s="45"/>
      <c r="AS11" s="48">
        <f t="shared" si="11"/>
        <v>0</v>
      </c>
      <c r="AT11" s="43"/>
      <c r="AU11" s="32">
        <f t="shared" si="25"/>
        <v>0</v>
      </c>
      <c r="AV11" s="45"/>
      <c r="AW11" s="48">
        <f t="shared" si="12"/>
        <v>0</v>
      </c>
      <c r="AX11" s="43"/>
      <c r="AY11" s="32">
        <f t="shared" si="29"/>
        <v>0</v>
      </c>
      <c r="AZ11" s="45"/>
      <c r="BA11" s="48">
        <f t="shared" si="14"/>
        <v>0</v>
      </c>
      <c r="BB11" s="43"/>
      <c r="BC11" s="32">
        <f t="shared" si="26"/>
        <v>0</v>
      </c>
      <c r="BD11" s="45"/>
      <c r="BE11" s="48">
        <f t="shared" si="15"/>
        <v>0</v>
      </c>
      <c r="BF11" s="43"/>
      <c r="BG11" s="47">
        <f>+BE11-BF11</f>
        <v>0</v>
      </c>
      <c r="BH11" s="45"/>
      <c r="BI11" s="48">
        <f t="shared" si="16"/>
        <v>0</v>
      </c>
      <c r="BJ11" s="43"/>
      <c r="BK11" s="47">
        <f>+BI11-BJ11</f>
        <v>0</v>
      </c>
      <c r="BL11" s="45"/>
      <c r="BM11" s="48">
        <f t="shared" si="17"/>
        <v>0</v>
      </c>
      <c r="BN11" s="43"/>
      <c r="BO11" s="47">
        <f>+BM11-BN11</f>
        <v>0</v>
      </c>
      <c r="BP11" s="45"/>
      <c r="BQ11" s="48">
        <f t="shared" si="18"/>
        <v>0</v>
      </c>
      <c r="BR11" s="43"/>
      <c r="BS11" s="47">
        <f>+BQ11-BR11</f>
        <v>0</v>
      </c>
      <c r="BT11" s="45"/>
      <c r="BU11" s="48">
        <f t="shared" si="19"/>
        <v>0</v>
      </c>
      <c r="BV11" s="43"/>
      <c r="BW11" s="47">
        <f>+BU11-BV11</f>
        <v>0</v>
      </c>
      <c r="BX11" s="45"/>
      <c r="BY11" s="48">
        <f t="shared" si="20"/>
        <v>0</v>
      </c>
      <c r="BZ11" s="43"/>
      <c r="CA11" s="47">
        <f>+BY11-BZ11</f>
        <v>0</v>
      </c>
      <c r="CB11" s="45"/>
      <c r="CC11" s="48">
        <f t="shared" si="21"/>
        <v>0</v>
      </c>
    </row>
    <row r="12" spans="1:81" ht="20.100000000000001" customHeight="1" x14ac:dyDescent="0.25">
      <c r="A12" s="12" t="s">
        <v>295</v>
      </c>
      <c r="B12" s="9" t="s">
        <v>106</v>
      </c>
      <c r="C12" s="136">
        <v>1</v>
      </c>
      <c r="D12" s="9" t="s">
        <v>9</v>
      </c>
      <c r="E12" s="13">
        <v>1</v>
      </c>
      <c r="F12" s="43">
        <v>2</v>
      </c>
      <c r="G12" s="47">
        <v>0</v>
      </c>
      <c r="H12" s="45"/>
      <c r="I12" s="48">
        <f t="shared" si="0"/>
        <v>2</v>
      </c>
      <c r="J12" s="43">
        <v>2</v>
      </c>
      <c r="K12" s="32">
        <f t="shared" si="28"/>
        <v>0</v>
      </c>
      <c r="L12" s="45"/>
      <c r="M12" s="48">
        <f t="shared" si="1"/>
        <v>2</v>
      </c>
      <c r="N12" s="43">
        <v>2</v>
      </c>
      <c r="O12" s="47">
        <f>+M12-N12</f>
        <v>0</v>
      </c>
      <c r="P12" s="45"/>
      <c r="Q12" s="48">
        <f t="shared" si="2"/>
        <v>2</v>
      </c>
      <c r="R12" s="43">
        <v>1</v>
      </c>
      <c r="S12" s="47">
        <f t="shared" si="3"/>
        <v>1</v>
      </c>
      <c r="T12" s="45">
        <v>1</v>
      </c>
      <c r="U12" s="48">
        <f t="shared" si="4"/>
        <v>2</v>
      </c>
      <c r="V12" s="43">
        <v>2</v>
      </c>
      <c r="W12" s="32">
        <f t="shared" si="27"/>
        <v>0</v>
      </c>
      <c r="X12" s="45"/>
      <c r="Y12" s="48">
        <f t="shared" si="5"/>
        <v>2</v>
      </c>
      <c r="Z12" s="43">
        <v>2</v>
      </c>
      <c r="AA12" s="47">
        <f t="shared" si="30"/>
        <v>0</v>
      </c>
      <c r="AB12" s="45"/>
      <c r="AC12" s="48">
        <f t="shared" si="6"/>
        <v>2</v>
      </c>
      <c r="AD12" s="43">
        <v>2</v>
      </c>
      <c r="AE12" s="32">
        <f t="shared" si="22"/>
        <v>0</v>
      </c>
      <c r="AF12" s="45"/>
      <c r="AG12" s="48">
        <f t="shared" si="7"/>
        <v>2</v>
      </c>
      <c r="AH12" s="43">
        <v>1</v>
      </c>
      <c r="AI12" s="32">
        <f t="shared" si="23"/>
        <v>1</v>
      </c>
      <c r="AJ12" s="45">
        <v>1</v>
      </c>
      <c r="AK12" s="48">
        <f t="shared" si="8"/>
        <v>2</v>
      </c>
      <c r="AL12" s="43">
        <v>2</v>
      </c>
      <c r="AM12" s="32">
        <f t="shared" si="24"/>
        <v>0</v>
      </c>
      <c r="AN12" s="45"/>
      <c r="AO12" s="48">
        <f t="shared" si="9"/>
        <v>2</v>
      </c>
      <c r="AP12" s="43">
        <v>2</v>
      </c>
      <c r="AQ12" s="47">
        <f t="shared" si="10"/>
        <v>0</v>
      </c>
      <c r="AR12" s="45"/>
      <c r="AS12" s="48">
        <f t="shared" si="11"/>
        <v>2</v>
      </c>
      <c r="AT12" s="43">
        <v>2</v>
      </c>
      <c r="AU12" s="32">
        <f t="shared" si="25"/>
        <v>0</v>
      </c>
      <c r="AV12" s="45"/>
      <c r="AW12" s="48">
        <f t="shared" si="12"/>
        <v>2</v>
      </c>
      <c r="AX12" s="43">
        <v>1</v>
      </c>
      <c r="AY12" s="32">
        <f t="shared" si="29"/>
        <v>1</v>
      </c>
      <c r="AZ12" s="45">
        <v>1</v>
      </c>
      <c r="BA12" s="48">
        <f t="shared" si="14"/>
        <v>2</v>
      </c>
      <c r="BB12" s="43">
        <v>2</v>
      </c>
      <c r="BC12" s="32">
        <f t="shared" si="26"/>
        <v>0</v>
      </c>
      <c r="BD12" s="45"/>
      <c r="BE12" s="48">
        <f t="shared" si="15"/>
        <v>2</v>
      </c>
      <c r="BF12" s="43">
        <v>2</v>
      </c>
      <c r="BG12" s="47">
        <f>+BE12-BF12</f>
        <v>0</v>
      </c>
      <c r="BH12" s="45"/>
      <c r="BI12" s="48">
        <f t="shared" si="16"/>
        <v>2</v>
      </c>
      <c r="BJ12" s="43">
        <v>2</v>
      </c>
      <c r="BK12" s="47">
        <f>+BI12-BJ12</f>
        <v>0</v>
      </c>
      <c r="BL12" s="45">
        <v>1</v>
      </c>
      <c r="BM12" s="48">
        <f t="shared" si="17"/>
        <v>3</v>
      </c>
      <c r="BN12" s="43"/>
      <c r="BO12" s="47">
        <f>+BM12-BN12</f>
        <v>3</v>
      </c>
      <c r="BP12" s="45"/>
      <c r="BQ12" s="48">
        <f t="shared" si="18"/>
        <v>0</v>
      </c>
      <c r="BR12" s="43"/>
      <c r="BS12" s="47">
        <f>+BQ12-BR12</f>
        <v>0</v>
      </c>
      <c r="BT12" s="45"/>
      <c r="BU12" s="48">
        <f t="shared" si="19"/>
        <v>0</v>
      </c>
      <c r="BV12" s="43"/>
      <c r="BW12" s="47">
        <f>+BU12-BV12</f>
        <v>0</v>
      </c>
      <c r="BX12" s="45"/>
      <c r="BY12" s="48">
        <f t="shared" si="20"/>
        <v>0</v>
      </c>
      <c r="BZ12" s="43"/>
      <c r="CA12" s="47">
        <f>+BY12-BZ12</f>
        <v>0</v>
      </c>
      <c r="CB12" s="45"/>
      <c r="CC12" s="48">
        <f t="shared" si="21"/>
        <v>0</v>
      </c>
    </row>
    <row r="13" spans="1:81" ht="20.100000000000001" customHeight="1" x14ac:dyDescent="0.25">
      <c r="A13" s="12" t="s">
        <v>105</v>
      </c>
      <c r="B13" s="9" t="s">
        <v>106</v>
      </c>
      <c r="C13" s="136">
        <v>1</v>
      </c>
      <c r="D13" s="9" t="s">
        <v>9</v>
      </c>
      <c r="E13" s="13">
        <v>1</v>
      </c>
      <c r="F13" s="43">
        <v>3</v>
      </c>
      <c r="G13" s="47">
        <v>1</v>
      </c>
      <c r="H13" s="45"/>
      <c r="I13" s="48">
        <f t="shared" si="0"/>
        <v>3</v>
      </c>
      <c r="J13" s="43">
        <v>3</v>
      </c>
      <c r="K13" s="32">
        <f t="shared" si="28"/>
        <v>0</v>
      </c>
      <c r="L13" s="45"/>
      <c r="M13" s="48">
        <f t="shared" si="1"/>
        <v>3</v>
      </c>
      <c r="N13" s="43">
        <v>2</v>
      </c>
      <c r="O13" s="47">
        <f>+M13-N13</f>
        <v>1</v>
      </c>
      <c r="P13" s="45"/>
      <c r="Q13" s="48">
        <f t="shared" si="2"/>
        <v>2</v>
      </c>
      <c r="R13" s="43">
        <v>1</v>
      </c>
      <c r="S13" s="47">
        <f t="shared" si="3"/>
        <v>1</v>
      </c>
      <c r="T13" s="45">
        <v>1</v>
      </c>
      <c r="U13" s="48">
        <f t="shared" si="4"/>
        <v>2</v>
      </c>
      <c r="V13" s="43">
        <v>1</v>
      </c>
      <c r="W13" s="32">
        <f t="shared" si="27"/>
        <v>1</v>
      </c>
      <c r="X13" s="49">
        <v>1</v>
      </c>
      <c r="Y13" s="48">
        <f t="shared" si="5"/>
        <v>2</v>
      </c>
      <c r="Z13" s="43">
        <v>2</v>
      </c>
      <c r="AA13" s="47">
        <f t="shared" si="30"/>
        <v>0</v>
      </c>
      <c r="AB13" s="45"/>
      <c r="AC13" s="48">
        <f t="shared" si="6"/>
        <v>2</v>
      </c>
      <c r="AD13" s="43"/>
      <c r="AE13" s="32">
        <f t="shared" si="22"/>
        <v>2</v>
      </c>
      <c r="AF13" s="45">
        <v>2</v>
      </c>
      <c r="AG13" s="48">
        <f t="shared" si="7"/>
        <v>2</v>
      </c>
      <c r="AH13" s="43">
        <v>1</v>
      </c>
      <c r="AI13" s="32">
        <f t="shared" si="23"/>
        <v>1</v>
      </c>
      <c r="AJ13" s="45">
        <v>1</v>
      </c>
      <c r="AK13" s="48">
        <f t="shared" si="8"/>
        <v>2</v>
      </c>
      <c r="AL13" s="43">
        <v>1</v>
      </c>
      <c r="AM13" s="32">
        <f t="shared" si="24"/>
        <v>1</v>
      </c>
      <c r="AN13" s="45">
        <v>1</v>
      </c>
      <c r="AO13" s="48">
        <f t="shared" si="9"/>
        <v>2</v>
      </c>
      <c r="AP13" s="43">
        <v>1</v>
      </c>
      <c r="AQ13" s="47">
        <f t="shared" si="10"/>
        <v>1</v>
      </c>
      <c r="AR13" s="45">
        <v>2</v>
      </c>
      <c r="AS13" s="48">
        <f t="shared" si="11"/>
        <v>3</v>
      </c>
      <c r="AT13" s="43">
        <v>3</v>
      </c>
      <c r="AU13" s="32">
        <f t="shared" si="25"/>
        <v>0</v>
      </c>
      <c r="AV13" s="45"/>
      <c r="AW13" s="48">
        <f t="shared" si="12"/>
        <v>3</v>
      </c>
      <c r="AX13" s="43">
        <v>1</v>
      </c>
      <c r="AY13" s="32">
        <f t="shared" si="29"/>
        <v>2</v>
      </c>
      <c r="AZ13" s="45">
        <v>1</v>
      </c>
      <c r="BA13" s="48">
        <f t="shared" si="14"/>
        <v>2</v>
      </c>
      <c r="BB13" s="43">
        <v>2</v>
      </c>
      <c r="BC13" s="32">
        <f t="shared" si="26"/>
        <v>0</v>
      </c>
      <c r="BD13" s="45"/>
      <c r="BE13" s="48">
        <f t="shared" si="15"/>
        <v>2</v>
      </c>
      <c r="BF13" s="43">
        <v>1</v>
      </c>
      <c r="BG13" s="47">
        <f>+BE13-BF13</f>
        <v>1</v>
      </c>
      <c r="BH13" s="45">
        <v>1</v>
      </c>
      <c r="BI13" s="48">
        <f t="shared" si="16"/>
        <v>2</v>
      </c>
      <c r="BJ13" s="43">
        <v>2</v>
      </c>
      <c r="BK13" s="47">
        <f>+BI13-BJ13</f>
        <v>0</v>
      </c>
      <c r="BL13" s="45">
        <v>1</v>
      </c>
      <c r="BM13" s="48">
        <f t="shared" si="17"/>
        <v>3</v>
      </c>
      <c r="BN13" s="43"/>
      <c r="BO13" s="47">
        <f>+BM13-BN13</f>
        <v>3</v>
      </c>
      <c r="BP13" s="45"/>
      <c r="BQ13" s="48">
        <f t="shared" si="18"/>
        <v>0</v>
      </c>
      <c r="BR13" s="43"/>
      <c r="BS13" s="47">
        <f>+BQ13-BR13</f>
        <v>0</v>
      </c>
      <c r="BT13" s="45"/>
      <c r="BU13" s="48">
        <f t="shared" si="19"/>
        <v>0</v>
      </c>
      <c r="BV13" s="43"/>
      <c r="BW13" s="47">
        <f>+BU13-BV13</f>
        <v>0</v>
      </c>
      <c r="BX13" s="45"/>
      <c r="BY13" s="48">
        <f t="shared" si="20"/>
        <v>0</v>
      </c>
      <c r="BZ13" s="43"/>
      <c r="CA13" s="47">
        <f>+BY13-BZ13</f>
        <v>0</v>
      </c>
      <c r="CB13" s="45"/>
      <c r="CC13" s="48">
        <f t="shared" si="21"/>
        <v>0</v>
      </c>
    </row>
    <row r="14" spans="1:81" ht="20.100000000000001" hidden="1" customHeight="1" x14ac:dyDescent="0.25">
      <c r="W14" s="32"/>
      <c r="AA14" s="47"/>
      <c r="AE14" s="32">
        <f t="shared" si="22"/>
        <v>0</v>
      </c>
      <c r="AI14" s="32">
        <f t="shared" si="23"/>
        <v>0</v>
      </c>
      <c r="AM14" s="32"/>
      <c r="BC14" s="32">
        <f t="shared" si="26"/>
        <v>0</v>
      </c>
    </row>
    <row r="15" spans="1:81" ht="20.100000000000001" customHeight="1" x14ac:dyDescent="0.25">
      <c r="A15" s="12" t="s">
        <v>296</v>
      </c>
      <c r="B15" s="9" t="s">
        <v>106</v>
      </c>
      <c r="C15" s="10">
        <v>500</v>
      </c>
      <c r="D15" s="9" t="s">
        <v>9</v>
      </c>
      <c r="E15" s="13">
        <v>500</v>
      </c>
      <c r="F15" s="43">
        <v>750</v>
      </c>
      <c r="G15" s="47">
        <v>83</v>
      </c>
      <c r="H15" s="45"/>
      <c r="I15" s="48">
        <f>+F15+H15*$E15</f>
        <v>750</v>
      </c>
      <c r="J15" s="43">
        <v>600</v>
      </c>
      <c r="K15" s="47">
        <f t="shared" ref="K15:K44" si="31">+I15-J15</f>
        <v>150</v>
      </c>
      <c r="L15" s="45"/>
      <c r="M15" s="48">
        <f>+J15+L15*$E15</f>
        <v>600</v>
      </c>
      <c r="N15" s="43">
        <v>550</v>
      </c>
      <c r="O15" s="47">
        <f t="shared" ref="O15:O44" si="32">+M15-N15</f>
        <v>50</v>
      </c>
      <c r="P15" s="45"/>
      <c r="Q15" s="48">
        <f>+N15+P15*$E15</f>
        <v>550</v>
      </c>
      <c r="R15" s="43">
        <v>500</v>
      </c>
      <c r="S15" s="47">
        <f t="shared" ref="S15:S44" si="33">+Q15-R15</f>
        <v>50</v>
      </c>
      <c r="T15" s="45"/>
      <c r="U15" s="48">
        <f>+R15+T15*$E15</f>
        <v>500</v>
      </c>
      <c r="V15" s="43">
        <v>400</v>
      </c>
      <c r="W15" s="32">
        <f t="shared" si="27"/>
        <v>100</v>
      </c>
      <c r="X15" s="49">
        <v>1</v>
      </c>
      <c r="Y15" s="48">
        <f>+V15+X15*$E15</f>
        <v>900</v>
      </c>
      <c r="Z15" s="43">
        <v>800</v>
      </c>
      <c r="AA15" s="47">
        <f t="shared" si="30"/>
        <v>100</v>
      </c>
      <c r="AB15" s="45"/>
      <c r="AC15" s="48">
        <f>+Z15+AB15*$E15</f>
        <v>800</v>
      </c>
      <c r="AD15" s="43">
        <v>750</v>
      </c>
      <c r="AE15" s="32">
        <f t="shared" si="22"/>
        <v>50</v>
      </c>
      <c r="AF15" s="45"/>
      <c r="AG15" s="48">
        <f>+AD15+AF15*$E15</f>
        <v>750</v>
      </c>
      <c r="AH15" s="43">
        <v>580</v>
      </c>
      <c r="AI15" s="32">
        <f t="shared" si="23"/>
        <v>170</v>
      </c>
      <c r="AJ15" s="45"/>
      <c r="AK15" s="48">
        <f>+AH15+AJ15*$E15</f>
        <v>580</v>
      </c>
      <c r="AL15" s="43">
        <v>500</v>
      </c>
      <c r="AM15" s="32">
        <f t="shared" si="24"/>
        <v>80</v>
      </c>
      <c r="AN15" s="45"/>
      <c r="AO15" s="48">
        <f>+AL15+AN15*$E15</f>
        <v>500</v>
      </c>
      <c r="AP15" s="43">
        <v>300</v>
      </c>
      <c r="AQ15" s="47">
        <f t="shared" ref="AQ15:AQ44" si="34">+AO15-AP15</f>
        <v>200</v>
      </c>
      <c r="AR15" s="45">
        <v>1</v>
      </c>
      <c r="AS15" s="48">
        <f>+AP15+AR15*$E15</f>
        <v>800</v>
      </c>
      <c r="AT15" s="43">
        <v>700</v>
      </c>
      <c r="AU15" s="47">
        <f t="shared" ref="AU15:AU70" si="35">+AS15-AT15</f>
        <v>100</v>
      </c>
      <c r="AV15" s="45"/>
      <c r="AW15" s="48">
        <f>+AT15+AV15*$E15</f>
        <v>700</v>
      </c>
      <c r="AX15" s="43">
        <v>700</v>
      </c>
      <c r="AY15" s="47">
        <f t="shared" ref="AY15:AY70" si="36">+AW15-AX15</f>
        <v>0</v>
      </c>
      <c r="AZ15" s="45"/>
      <c r="BA15" s="48">
        <f>+AX15+AZ15*$E15</f>
        <v>700</v>
      </c>
      <c r="BB15" s="43">
        <v>620</v>
      </c>
      <c r="BC15" s="32">
        <f t="shared" si="26"/>
        <v>80</v>
      </c>
      <c r="BD15" s="45"/>
      <c r="BE15" s="48">
        <f>+BB15+BD15*$E15</f>
        <v>620</v>
      </c>
      <c r="BF15" s="43">
        <v>525</v>
      </c>
      <c r="BG15" s="47">
        <f t="shared" ref="BG15:BG44" si="37">+BE15-BF15</f>
        <v>95</v>
      </c>
      <c r="BH15" s="45"/>
      <c r="BI15" s="48">
        <f>+BF15+BH15*$E15</f>
        <v>525</v>
      </c>
      <c r="BJ15" s="43">
        <v>395</v>
      </c>
      <c r="BK15" s="47">
        <f t="shared" ref="BK15:BK44" si="38">+BI15-BJ15</f>
        <v>130</v>
      </c>
      <c r="BL15" s="45">
        <v>1</v>
      </c>
      <c r="BM15" s="48">
        <f>+BJ15+BL15*$E15</f>
        <v>895</v>
      </c>
      <c r="BN15" s="43"/>
      <c r="BO15" s="47">
        <f t="shared" ref="BO15:BO44" si="39">+BM15-BN15</f>
        <v>895</v>
      </c>
      <c r="BP15" s="45"/>
      <c r="BQ15" s="48">
        <f>+BN15+BP15*$E15</f>
        <v>0</v>
      </c>
      <c r="BR15" s="43"/>
      <c r="BS15" s="47">
        <f t="shared" ref="BS15:BS44" si="40">+BQ15-BR15</f>
        <v>0</v>
      </c>
      <c r="BT15" s="45"/>
      <c r="BU15" s="48">
        <f>+BR15+BT15*$E15</f>
        <v>0</v>
      </c>
      <c r="BV15" s="43"/>
      <c r="BW15" s="47">
        <f t="shared" ref="BW15:BW44" si="41">+BU15-BV15</f>
        <v>0</v>
      </c>
      <c r="BX15" s="45"/>
      <c r="BY15" s="48">
        <f>+BV15+BX15*$E15</f>
        <v>0</v>
      </c>
      <c r="BZ15" s="43"/>
      <c r="CA15" s="47">
        <f t="shared" ref="CA15:CA44" si="42">+BY15-BZ15</f>
        <v>0</v>
      </c>
      <c r="CB15" s="45"/>
      <c r="CC15" s="48">
        <f>+BZ15+CB15*$E15</f>
        <v>0</v>
      </c>
    </row>
    <row r="16" spans="1:81" ht="20.100000000000001" hidden="1" customHeight="1" x14ac:dyDescent="0.25">
      <c r="A16" s="12" t="s">
        <v>107</v>
      </c>
      <c r="B16" s="9" t="s">
        <v>7</v>
      </c>
      <c r="C16" s="10">
        <v>6</v>
      </c>
      <c r="D16" s="9" t="s">
        <v>9</v>
      </c>
      <c r="E16" s="13">
        <v>6</v>
      </c>
      <c r="F16" s="43">
        <v>3</v>
      </c>
      <c r="G16" s="47">
        <v>0</v>
      </c>
      <c r="H16" s="45"/>
      <c r="I16" s="48">
        <f t="shared" ref="I16:I50" si="43">+F16+H16*$E16</f>
        <v>3</v>
      </c>
      <c r="J16" s="43">
        <v>2</v>
      </c>
      <c r="K16" s="47">
        <f t="shared" si="31"/>
        <v>1</v>
      </c>
      <c r="L16" s="45"/>
      <c r="M16" s="48">
        <f t="shared" ref="M16:M50" si="44">+J16+L16*$E16</f>
        <v>2</v>
      </c>
      <c r="N16" s="43">
        <v>7</v>
      </c>
      <c r="O16" s="47">
        <f t="shared" si="32"/>
        <v>-5</v>
      </c>
      <c r="P16" s="45"/>
      <c r="Q16" s="48">
        <f t="shared" ref="Q16:Q50" si="45">+N16+P16*$E16</f>
        <v>7</v>
      </c>
      <c r="R16" s="43">
        <v>6</v>
      </c>
      <c r="S16" s="47">
        <f t="shared" si="33"/>
        <v>1</v>
      </c>
      <c r="T16" s="45"/>
      <c r="U16" s="48">
        <f t="shared" ref="U16:U50" si="46">+R16+T16*$E16</f>
        <v>6</v>
      </c>
      <c r="V16" s="43">
        <v>5</v>
      </c>
      <c r="W16" s="32">
        <f t="shared" si="27"/>
        <v>1</v>
      </c>
      <c r="X16" s="45"/>
      <c r="Y16" s="48">
        <f t="shared" ref="Y16:Y50" si="47">+V16+X16*$E16</f>
        <v>5</v>
      </c>
      <c r="Z16" s="43">
        <v>5</v>
      </c>
      <c r="AA16" s="47">
        <f t="shared" si="30"/>
        <v>0</v>
      </c>
      <c r="AB16" s="45"/>
      <c r="AC16" s="48">
        <f t="shared" ref="AC16:AC50" si="48">+Z16+AB16*$E16</f>
        <v>5</v>
      </c>
      <c r="AD16" s="43">
        <v>3</v>
      </c>
      <c r="AE16" s="32">
        <f t="shared" si="22"/>
        <v>2</v>
      </c>
      <c r="AF16" s="45">
        <v>1</v>
      </c>
      <c r="AG16" s="48">
        <f t="shared" ref="AG16:AG50" si="49">+AD16+AF16*$E16</f>
        <v>9</v>
      </c>
      <c r="AH16" s="43">
        <v>8</v>
      </c>
      <c r="AI16" s="32">
        <f t="shared" si="23"/>
        <v>1</v>
      </c>
      <c r="AJ16" s="45"/>
      <c r="AK16" s="48">
        <f t="shared" ref="AK16:AK50" si="50">+AH16+AJ16*$E16</f>
        <v>8</v>
      </c>
      <c r="AL16" s="43">
        <v>7</v>
      </c>
      <c r="AM16" s="32">
        <f t="shared" si="24"/>
        <v>1</v>
      </c>
      <c r="AN16" s="45"/>
      <c r="AO16" s="48">
        <f t="shared" ref="AO16:AO50" si="51">+AL16+AN16*$E16</f>
        <v>7</v>
      </c>
      <c r="AP16" s="43">
        <v>5</v>
      </c>
      <c r="AQ16" s="47">
        <f t="shared" si="34"/>
        <v>2</v>
      </c>
      <c r="AR16" s="45"/>
      <c r="AS16" s="48">
        <f t="shared" ref="AS16:AS50" si="52">+AP16+AR16*$E16</f>
        <v>5</v>
      </c>
      <c r="AT16" s="43">
        <v>2</v>
      </c>
      <c r="AU16" s="47">
        <f t="shared" si="35"/>
        <v>3</v>
      </c>
      <c r="AV16" s="45">
        <v>1</v>
      </c>
      <c r="AW16" s="48">
        <f t="shared" ref="AW16:AW50" si="53">+AT16+AV16*$E16</f>
        <v>8</v>
      </c>
      <c r="AX16" s="43">
        <v>7</v>
      </c>
      <c r="AY16" s="47">
        <f t="shared" si="36"/>
        <v>1</v>
      </c>
      <c r="AZ16" s="45"/>
      <c r="BA16" s="48">
        <f t="shared" ref="BA16:BA50" si="54">+AX16+AZ16*$E16</f>
        <v>7</v>
      </c>
      <c r="BB16" s="43">
        <v>4</v>
      </c>
      <c r="BC16" s="32">
        <f t="shared" si="26"/>
        <v>3</v>
      </c>
      <c r="BD16" s="45">
        <v>1</v>
      </c>
      <c r="BE16" s="48">
        <f t="shared" ref="BE16:BE50" si="55">+BB16+BD16*$E16</f>
        <v>10</v>
      </c>
      <c r="BF16" s="43">
        <v>8</v>
      </c>
      <c r="BG16" s="47">
        <f t="shared" si="37"/>
        <v>2</v>
      </c>
      <c r="BH16" s="45">
        <v>1</v>
      </c>
      <c r="BI16" s="48">
        <f t="shared" ref="BI16:BI50" si="56">+BF16+BH16*$E16</f>
        <v>14</v>
      </c>
      <c r="BJ16" s="43">
        <v>13</v>
      </c>
      <c r="BK16" s="47">
        <f t="shared" si="38"/>
        <v>1</v>
      </c>
      <c r="BL16" s="45"/>
      <c r="BM16" s="48">
        <f t="shared" ref="BM16:BM50" si="57">+BJ16+BL16*$E16</f>
        <v>13</v>
      </c>
      <c r="BN16" s="43"/>
      <c r="BO16" s="47">
        <f t="shared" si="39"/>
        <v>13</v>
      </c>
      <c r="BP16" s="45"/>
      <c r="BQ16" s="48">
        <f t="shared" ref="BQ16:BQ50" si="58">+BN16+BP16*$E16</f>
        <v>0</v>
      </c>
      <c r="BR16" s="43"/>
      <c r="BS16" s="47">
        <f t="shared" si="40"/>
        <v>0</v>
      </c>
      <c r="BT16" s="45"/>
      <c r="BU16" s="48">
        <f t="shared" ref="BU16:BU50" si="59">+BR16+BT16*$E16</f>
        <v>0</v>
      </c>
      <c r="BV16" s="43"/>
      <c r="BW16" s="47">
        <f t="shared" si="41"/>
        <v>0</v>
      </c>
      <c r="BX16" s="45"/>
      <c r="BY16" s="48">
        <f t="shared" ref="BY16:BY50" si="60">+BV16+BX16*$E16</f>
        <v>0</v>
      </c>
      <c r="BZ16" s="43"/>
      <c r="CA16" s="47">
        <f t="shared" si="42"/>
        <v>0</v>
      </c>
      <c r="CB16" s="45"/>
      <c r="CC16" s="48">
        <f t="shared" ref="CC16:CC50" si="61">+BZ16+CB16*$E16</f>
        <v>0</v>
      </c>
    </row>
    <row r="17" spans="1:81" ht="20.100000000000001" hidden="1" customHeight="1" x14ac:dyDescent="0.25">
      <c r="A17" s="12" t="s">
        <v>108</v>
      </c>
      <c r="B17" s="9" t="s">
        <v>7</v>
      </c>
      <c r="C17" s="10">
        <v>2</v>
      </c>
      <c r="D17" s="9" t="s">
        <v>9</v>
      </c>
      <c r="E17" s="13">
        <v>2</v>
      </c>
      <c r="F17" s="43">
        <v>3</v>
      </c>
      <c r="G17" s="47">
        <v>0</v>
      </c>
      <c r="H17" s="45"/>
      <c r="I17" s="48">
        <f t="shared" si="43"/>
        <v>3</v>
      </c>
      <c r="J17" s="43">
        <v>3</v>
      </c>
      <c r="K17" s="47">
        <f t="shared" si="31"/>
        <v>0</v>
      </c>
      <c r="L17" s="45"/>
      <c r="M17" s="48">
        <f t="shared" si="44"/>
        <v>3</v>
      </c>
      <c r="N17" s="43">
        <v>3</v>
      </c>
      <c r="O17" s="47">
        <f t="shared" si="32"/>
        <v>0</v>
      </c>
      <c r="P17" s="45"/>
      <c r="Q17" s="48">
        <f t="shared" si="45"/>
        <v>3</v>
      </c>
      <c r="R17" s="43">
        <v>3</v>
      </c>
      <c r="S17" s="47">
        <f t="shared" si="33"/>
        <v>0</v>
      </c>
      <c r="T17" s="45"/>
      <c r="U17" s="48">
        <f t="shared" si="46"/>
        <v>3</v>
      </c>
      <c r="V17" s="43">
        <v>2</v>
      </c>
      <c r="W17" s="47">
        <f t="shared" ref="W17:W44" si="62">+U17-V17</f>
        <v>1</v>
      </c>
      <c r="X17" s="49">
        <v>1</v>
      </c>
      <c r="Y17" s="48">
        <f t="shared" si="47"/>
        <v>4</v>
      </c>
      <c r="Z17" s="43">
        <v>4</v>
      </c>
      <c r="AA17" s="47">
        <f t="shared" si="30"/>
        <v>0</v>
      </c>
      <c r="AB17" s="45"/>
      <c r="AC17" s="48">
        <f t="shared" si="48"/>
        <v>4</v>
      </c>
      <c r="AD17" s="43">
        <v>4</v>
      </c>
      <c r="AE17" s="32">
        <f t="shared" si="22"/>
        <v>0</v>
      </c>
      <c r="AF17" s="45"/>
      <c r="AG17" s="48">
        <f t="shared" si="49"/>
        <v>4</v>
      </c>
      <c r="AH17" s="43">
        <v>4</v>
      </c>
      <c r="AI17" s="32">
        <f t="shared" si="23"/>
        <v>0</v>
      </c>
      <c r="AJ17" s="45"/>
      <c r="AK17" s="48">
        <f t="shared" si="50"/>
        <v>4</v>
      </c>
      <c r="AL17" s="43">
        <v>4</v>
      </c>
      <c r="AM17" s="32">
        <f t="shared" si="24"/>
        <v>0</v>
      </c>
      <c r="AN17" s="45"/>
      <c r="AO17" s="48">
        <f t="shared" si="51"/>
        <v>4</v>
      </c>
      <c r="AP17" s="43">
        <v>4</v>
      </c>
      <c r="AQ17" s="47">
        <f t="shared" si="34"/>
        <v>0</v>
      </c>
      <c r="AR17" s="45"/>
      <c r="AS17" s="48">
        <f t="shared" si="52"/>
        <v>4</v>
      </c>
      <c r="AT17" s="43">
        <v>4</v>
      </c>
      <c r="AU17" s="47">
        <f t="shared" si="35"/>
        <v>0</v>
      </c>
      <c r="AV17" s="45"/>
      <c r="AW17" s="48">
        <f t="shared" si="53"/>
        <v>4</v>
      </c>
      <c r="AX17" s="43">
        <v>3</v>
      </c>
      <c r="AY17" s="47">
        <f t="shared" si="36"/>
        <v>1</v>
      </c>
      <c r="AZ17" s="45"/>
      <c r="BA17" s="48">
        <f t="shared" si="54"/>
        <v>3</v>
      </c>
      <c r="BB17" s="43">
        <v>3</v>
      </c>
      <c r="BC17" s="32">
        <f t="shared" si="26"/>
        <v>0</v>
      </c>
      <c r="BD17" s="45"/>
      <c r="BE17" s="48">
        <f t="shared" si="55"/>
        <v>3</v>
      </c>
      <c r="BF17" s="43">
        <v>2</v>
      </c>
      <c r="BG17" s="47">
        <f t="shared" si="37"/>
        <v>1</v>
      </c>
      <c r="BH17" s="45"/>
      <c r="BI17" s="48">
        <f t="shared" si="56"/>
        <v>2</v>
      </c>
      <c r="BJ17" s="43">
        <v>2</v>
      </c>
      <c r="BK17" s="47">
        <f t="shared" si="38"/>
        <v>0</v>
      </c>
      <c r="BL17" s="45"/>
      <c r="BM17" s="48">
        <f t="shared" si="57"/>
        <v>2</v>
      </c>
      <c r="BN17" s="43"/>
      <c r="BO17" s="47">
        <f t="shared" si="39"/>
        <v>2</v>
      </c>
      <c r="BP17" s="45"/>
      <c r="BQ17" s="48">
        <f t="shared" si="58"/>
        <v>0</v>
      </c>
      <c r="BR17" s="43"/>
      <c r="BS17" s="47">
        <f t="shared" si="40"/>
        <v>0</v>
      </c>
      <c r="BT17" s="45"/>
      <c r="BU17" s="48">
        <f t="shared" si="59"/>
        <v>0</v>
      </c>
      <c r="BV17" s="43"/>
      <c r="BW17" s="47">
        <f t="shared" si="41"/>
        <v>0</v>
      </c>
      <c r="BX17" s="45"/>
      <c r="BY17" s="48">
        <f t="shared" si="60"/>
        <v>0</v>
      </c>
      <c r="BZ17" s="43"/>
      <c r="CA17" s="47">
        <f t="shared" si="42"/>
        <v>0</v>
      </c>
      <c r="CB17" s="45"/>
      <c r="CC17" s="48">
        <f t="shared" si="61"/>
        <v>0</v>
      </c>
    </row>
    <row r="18" spans="1:81" ht="20.100000000000001" hidden="1" customHeight="1" x14ac:dyDescent="0.25">
      <c r="A18" s="65" t="s">
        <v>109</v>
      </c>
      <c r="B18" s="55" t="s">
        <v>7</v>
      </c>
      <c r="C18" s="56">
        <v>6</v>
      </c>
      <c r="D18" s="55" t="s">
        <v>9</v>
      </c>
      <c r="E18" s="66">
        <v>6</v>
      </c>
      <c r="F18" s="43"/>
      <c r="G18" s="47">
        <v>0</v>
      </c>
      <c r="H18" s="45"/>
      <c r="I18" s="48">
        <f t="shared" si="43"/>
        <v>0</v>
      </c>
      <c r="J18" s="43"/>
      <c r="K18" s="47">
        <f t="shared" si="31"/>
        <v>0</v>
      </c>
      <c r="L18" s="45"/>
      <c r="M18" s="48">
        <f t="shared" si="44"/>
        <v>0</v>
      </c>
      <c r="N18" s="43"/>
      <c r="O18" s="47">
        <f t="shared" si="32"/>
        <v>0</v>
      </c>
      <c r="P18" s="45"/>
      <c r="Q18" s="48">
        <f t="shared" si="45"/>
        <v>0</v>
      </c>
      <c r="R18" s="43"/>
      <c r="S18" s="47">
        <f t="shared" si="33"/>
        <v>0</v>
      </c>
      <c r="T18" s="45"/>
      <c r="U18" s="48">
        <f t="shared" si="46"/>
        <v>0</v>
      </c>
      <c r="V18" s="43"/>
      <c r="W18" s="47">
        <f t="shared" si="62"/>
        <v>0</v>
      </c>
      <c r="X18" s="45"/>
      <c r="Y18" s="48">
        <f t="shared" si="47"/>
        <v>0</v>
      </c>
      <c r="Z18" s="43"/>
      <c r="AA18" s="47">
        <f t="shared" si="30"/>
        <v>0</v>
      </c>
      <c r="AB18" s="45"/>
      <c r="AC18" s="48">
        <f t="shared" si="48"/>
        <v>0</v>
      </c>
      <c r="AD18" s="43"/>
      <c r="AE18" s="32">
        <f t="shared" si="22"/>
        <v>0</v>
      </c>
      <c r="AF18" s="45"/>
      <c r="AG18" s="48">
        <f t="shared" si="49"/>
        <v>0</v>
      </c>
      <c r="AH18" s="43"/>
      <c r="AI18" s="32">
        <f t="shared" si="23"/>
        <v>0</v>
      </c>
      <c r="AJ18" s="45"/>
      <c r="AK18" s="48">
        <f t="shared" si="50"/>
        <v>0</v>
      </c>
      <c r="AL18" s="43"/>
      <c r="AM18" s="32">
        <f t="shared" si="24"/>
        <v>0</v>
      </c>
      <c r="AN18" s="45"/>
      <c r="AO18" s="48">
        <f t="shared" si="51"/>
        <v>0</v>
      </c>
      <c r="AP18" s="43"/>
      <c r="AQ18" s="47">
        <f t="shared" si="34"/>
        <v>0</v>
      </c>
      <c r="AR18" s="45"/>
      <c r="AS18" s="48">
        <f t="shared" si="52"/>
        <v>0</v>
      </c>
      <c r="AT18" s="43"/>
      <c r="AU18" s="47">
        <f t="shared" si="35"/>
        <v>0</v>
      </c>
      <c r="AV18" s="45"/>
      <c r="AW18" s="48">
        <f t="shared" si="53"/>
        <v>0</v>
      </c>
      <c r="AX18" s="43"/>
      <c r="AY18" s="47">
        <f t="shared" si="36"/>
        <v>0</v>
      </c>
      <c r="AZ18" s="45"/>
      <c r="BA18" s="48">
        <f t="shared" si="54"/>
        <v>0</v>
      </c>
      <c r="BB18" s="43"/>
      <c r="BC18" s="32">
        <f t="shared" si="26"/>
        <v>0</v>
      </c>
      <c r="BD18" s="45"/>
      <c r="BE18" s="48">
        <f t="shared" si="55"/>
        <v>0</v>
      </c>
      <c r="BF18" s="43"/>
      <c r="BG18" s="47">
        <f t="shared" si="37"/>
        <v>0</v>
      </c>
      <c r="BH18" s="45"/>
      <c r="BI18" s="48">
        <f t="shared" si="56"/>
        <v>0</v>
      </c>
      <c r="BJ18" s="43"/>
      <c r="BK18" s="47">
        <f t="shared" si="38"/>
        <v>0</v>
      </c>
      <c r="BL18" s="45"/>
      <c r="BM18" s="48">
        <f t="shared" si="57"/>
        <v>0</v>
      </c>
      <c r="BN18" s="43"/>
      <c r="BO18" s="47">
        <f t="shared" si="39"/>
        <v>0</v>
      </c>
      <c r="BP18" s="45"/>
      <c r="BQ18" s="48">
        <f t="shared" si="58"/>
        <v>0</v>
      </c>
      <c r="BR18" s="43"/>
      <c r="BS18" s="47">
        <f t="shared" si="40"/>
        <v>0</v>
      </c>
      <c r="BT18" s="45"/>
      <c r="BU18" s="48">
        <f t="shared" si="59"/>
        <v>0</v>
      </c>
      <c r="BV18" s="43"/>
      <c r="BW18" s="47">
        <f t="shared" si="41"/>
        <v>0</v>
      </c>
      <c r="BX18" s="45"/>
      <c r="BY18" s="48">
        <f t="shared" si="60"/>
        <v>0</v>
      </c>
      <c r="BZ18" s="43"/>
      <c r="CA18" s="47">
        <f t="shared" si="42"/>
        <v>0</v>
      </c>
      <c r="CB18" s="45"/>
      <c r="CC18" s="48">
        <f t="shared" si="61"/>
        <v>0</v>
      </c>
    </row>
    <row r="19" spans="1:81" ht="20.100000000000001" hidden="1" customHeight="1" x14ac:dyDescent="0.25">
      <c r="A19" s="65" t="s">
        <v>110</v>
      </c>
      <c r="B19" s="55" t="s">
        <v>7</v>
      </c>
      <c r="C19" s="56">
        <v>4</v>
      </c>
      <c r="D19" s="55" t="s">
        <v>9</v>
      </c>
      <c r="E19" s="66">
        <v>4</v>
      </c>
      <c r="F19" s="43"/>
      <c r="G19" s="47">
        <v>0</v>
      </c>
      <c r="H19" s="45"/>
      <c r="I19" s="48">
        <f t="shared" si="43"/>
        <v>0</v>
      </c>
      <c r="J19" s="43"/>
      <c r="K19" s="47">
        <f t="shared" si="31"/>
        <v>0</v>
      </c>
      <c r="L19" s="45"/>
      <c r="M19" s="48">
        <f t="shared" si="44"/>
        <v>0</v>
      </c>
      <c r="N19" s="43"/>
      <c r="O19" s="47">
        <f t="shared" si="32"/>
        <v>0</v>
      </c>
      <c r="P19" s="45"/>
      <c r="Q19" s="48">
        <f t="shared" si="45"/>
        <v>0</v>
      </c>
      <c r="R19" s="43"/>
      <c r="S19" s="47">
        <f t="shared" si="33"/>
        <v>0</v>
      </c>
      <c r="T19" s="45"/>
      <c r="U19" s="48">
        <f t="shared" si="46"/>
        <v>0</v>
      </c>
      <c r="V19" s="43"/>
      <c r="W19" s="47">
        <f t="shared" si="62"/>
        <v>0</v>
      </c>
      <c r="X19" s="45"/>
      <c r="Y19" s="48">
        <f t="shared" si="47"/>
        <v>0</v>
      </c>
      <c r="Z19" s="43"/>
      <c r="AA19" s="47">
        <f t="shared" si="30"/>
        <v>0</v>
      </c>
      <c r="AB19" s="45"/>
      <c r="AC19" s="48">
        <f t="shared" si="48"/>
        <v>0</v>
      </c>
      <c r="AD19" s="43"/>
      <c r="AE19" s="32">
        <f t="shared" si="22"/>
        <v>0</v>
      </c>
      <c r="AF19" s="45"/>
      <c r="AG19" s="48">
        <f t="shared" si="49"/>
        <v>0</v>
      </c>
      <c r="AH19" s="43"/>
      <c r="AI19" s="32">
        <f t="shared" si="23"/>
        <v>0</v>
      </c>
      <c r="AJ19" s="45"/>
      <c r="AK19" s="48">
        <f t="shared" si="50"/>
        <v>0</v>
      </c>
      <c r="AL19" s="43"/>
      <c r="AM19" s="32">
        <f t="shared" si="24"/>
        <v>0</v>
      </c>
      <c r="AN19" s="45"/>
      <c r="AO19" s="48">
        <f t="shared" si="51"/>
        <v>0</v>
      </c>
      <c r="AP19" s="43"/>
      <c r="AQ19" s="47">
        <f t="shared" si="34"/>
        <v>0</v>
      </c>
      <c r="AR19" s="45"/>
      <c r="AS19" s="48">
        <f t="shared" si="52"/>
        <v>0</v>
      </c>
      <c r="AT19" s="43"/>
      <c r="AU19" s="47">
        <f t="shared" si="35"/>
        <v>0</v>
      </c>
      <c r="AV19" s="45"/>
      <c r="AW19" s="48">
        <f t="shared" si="53"/>
        <v>0</v>
      </c>
      <c r="AX19" s="43"/>
      <c r="AY19" s="47">
        <f t="shared" si="36"/>
        <v>0</v>
      </c>
      <c r="AZ19" s="45"/>
      <c r="BA19" s="48">
        <f t="shared" si="54"/>
        <v>0</v>
      </c>
      <c r="BB19" s="43"/>
      <c r="BC19" s="32">
        <f t="shared" si="26"/>
        <v>0</v>
      </c>
      <c r="BD19" s="45"/>
      <c r="BE19" s="48">
        <f t="shared" si="55"/>
        <v>0</v>
      </c>
      <c r="BF19" s="43"/>
      <c r="BG19" s="47">
        <f t="shared" si="37"/>
        <v>0</v>
      </c>
      <c r="BH19" s="45"/>
      <c r="BI19" s="48">
        <f t="shared" si="56"/>
        <v>0</v>
      </c>
      <c r="BJ19" s="43"/>
      <c r="BK19" s="47">
        <f t="shared" si="38"/>
        <v>0</v>
      </c>
      <c r="BL19" s="45"/>
      <c r="BM19" s="48">
        <f t="shared" si="57"/>
        <v>0</v>
      </c>
      <c r="BN19" s="43"/>
      <c r="BO19" s="47">
        <f t="shared" si="39"/>
        <v>0</v>
      </c>
      <c r="BP19" s="45"/>
      <c r="BQ19" s="48">
        <f t="shared" si="58"/>
        <v>0</v>
      </c>
      <c r="BR19" s="43"/>
      <c r="BS19" s="47">
        <f t="shared" si="40"/>
        <v>0</v>
      </c>
      <c r="BT19" s="45"/>
      <c r="BU19" s="48">
        <f t="shared" si="59"/>
        <v>0</v>
      </c>
      <c r="BV19" s="43"/>
      <c r="BW19" s="47">
        <f t="shared" si="41"/>
        <v>0</v>
      </c>
      <c r="BX19" s="45"/>
      <c r="BY19" s="48">
        <f t="shared" si="60"/>
        <v>0</v>
      </c>
      <c r="BZ19" s="43"/>
      <c r="CA19" s="47">
        <f t="shared" si="42"/>
        <v>0</v>
      </c>
      <c r="CB19" s="45"/>
      <c r="CC19" s="48">
        <f t="shared" si="61"/>
        <v>0</v>
      </c>
    </row>
    <row r="20" spans="1:81" ht="20.100000000000001" hidden="1" customHeight="1" x14ac:dyDescent="0.25">
      <c r="A20" s="12" t="s">
        <v>111</v>
      </c>
      <c r="B20" s="9" t="s">
        <v>7</v>
      </c>
      <c r="C20" s="10">
        <v>12</v>
      </c>
      <c r="D20" s="9" t="s">
        <v>9</v>
      </c>
      <c r="E20" s="13">
        <v>12</v>
      </c>
      <c r="F20" s="43">
        <v>13</v>
      </c>
      <c r="G20" s="47">
        <v>1</v>
      </c>
      <c r="H20" s="45"/>
      <c r="I20" s="48">
        <f t="shared" si="43"/>
        <v>13</v>
      </c>
      <c r="J20" s="43">
        <v>13</v>
      </c>
      <c r="K20" s="47">
        <f t="shared" si="31"/>
        <v>0</v>
      </c>
      <c r="L20" s="45"/>
      <c r="M20" s="48">
        <f t="shared" si="44"/>
        <v>13</v>
      </c>
      <c r="N20" s="43">
        <v>11</v>
      </c>
      <c r="O20" s="47">
        <f t="shared" si="32"/>
        <v>2</v>
      </c>
      <c r="P20" s="45"/>
      <c r="Q20" s="48">
        <f t="shared" si="45"/>
        <v>11</v>
      </c>
      <c r="R20" s="43">
        <v>10</v>
      </c>
      <c r="S20" s="47">
        <f t="shared" si="33"/>
        <v>1</v>
      </c>
      <c r="T20" s="45"/>
      <c r="U20" s="48">
        <f t="shared" si="46"/>
        <v>10</v>
      </c>
      <c r="V20" s="43">
        <v>8</v>
      </c>
      <c r="W20" s="47">
        <f t="shared" si="62"/>
        <v>2</v>
      </c>
      <c r="X20" s="45"/>
      <c r="Y20" s="48">
        <f t="shared" si="47"/>
        <v>8</v>
      </c>
      <c r="Z20" s="43">
        <v>7</v>
      </c>
      <c r="AA20" s="47">
        <f t="shared" si="30"/>
        <v>1</v>
      </c>
      <c r="AB20" s="45"/>
      <c r="AC20" s="48">
        <f t="shared" si="48"/>
        <v>7</v>
      </c>
      <c r="AD20" s="43">
        <v>6</v>
      </c>
      <c r="AE20" s="32">
        <f t="shared" si="22"/>
        <v>1</v>
      </c>
      <c r="AF20" s="45"/>
      <c r="AG20" s="48">
        <f t="shared" si="49"/>
        <v>6</v>
      </c>
      <c r="AH20" s="43">
        <v>5</v>
      </c>
      <c r="AI20" s="32">
        <f t="shared" si="23"/>
        <v>1</v>
      </c>
      <c r="AJ20" s="45"/>
      <c r="AK20" s="48">
        <f t="shared" si="50"/>
        <v>5</v>
      </c>
      <c r="AL20" s="43">
        <v>4</v>
      </c>
      <c r="AM20" s="32">
        <f t="shared" si="24"/>
        <v>1</v>
      </c>
      <c r="AN20" s="45"/>
      <c r="AO20" s="48">
        <f t="shared" si="51"/>
        <v>4</v>
      </c>
      <c r="AP20" s="43">
        <v>3</v>
      </c>
      <c r="AQ20" s="47">
        <f t="shared" si="34"/>
        <v>1</v>
      </c>
      <c r="AR20" s="45"/>
      <c r="AS20" s="48">
        <f t="shared" si="52"/>
        <v>3</v>
      </c>
      <c r="AT20" s="43">
        <v>1</v>
      </c>
      <c r="AU20" s="47">
        <f t="shared" si="35"/>
        <v>2</v>
      </c>
      <c r="AV20" s="45">
        <v>1</v>
      </c>
      <c r="AW20" s="48">
        <f t="shared" si="53"/>
        <v>13</v>
      </c>
      <c r="AX20" s="43">
        <v>12</v>
      </c>
      <c r="AY20" s="47">
        <f t="shared" si="36"/>
        <v>1</v>
      </c>
      <c r="AZ20" s="45"/>
      <c r="BA20" s="48">
        <f t="shared" si="54"/>
        <v>12</v>
      </c>
      <c r="BB20" s="43">
        <v>11</v>
      </c>
      <c r="BC20" s="32">
        <f t="shared" si="26"/>
        <v>1</v>
      </c>
      <c r="BD20" s="45"/>
      <c r="BE20" s="48">
        <f t="shared" si="55"/>
        <v>11</v>
      </c>
      <c r="BF20" s="43">
        <v>11</v>
      </c>
      <c r="BG20" s="47">
        <f t="shared" si="37"/>
        <v>0</v>
      </c>
      <c r="BH20" s="45"/>
      <c r="BI20" s="48">
        <f t="shared" si="56"/>
        <v>11</v>
      </c>
      <c r="BJ20" s="43">
        <v>10</v>
      </c>
      <c r="BK20" s="47">
        <f t="shared" si="38"/>
        <v>1</v>
      </c>
      <c r="BL20" s="45"/>
      <c r="BM20" s="48">
        <f t="shared" si="57"/>
        <v>10</v>
      </c>
      <c r="BN20" s="43"/>
      <c r="BO20" s="47">
        <f t="shared" si="39"/>
        <v>10</v>
      </c>
      <c r="BP20" s="45"/>
      <c r="BQ20" s="48">
        <f t="shared" si="58"/>
        <v>0</v>
      </c>
      <c r="BR20" s="43"/>
      <c r="BS20" s="47">
        <f t="shared" si="40"/>
        <v>0</v>
      </c>
      <c r="BT20" s="45"/>
      <c r="BU20" s="48">
        <f t="shared" si="59"/>
        <v>0</v>
      </c>
      <c r="BV20" s="43"/>
      <c r="BW20" s="47">
        <f t="shared" si="41"/>
        <v>0</v>
      </c>
      <c r="BX20" s="45"/>
      <c r="BY20" s="48">
        <f t="shared" si="60"/>
        <v>0</v>
      </c>
      <c r="BZ20" s="43"/>
      <c r="CA20" s="47">
        <f t="shared" si="42"/>
        <v>0</v>
      </c>
      <c r="CB20" s="45"/>
      <c r="CC20" s="48">
        <f t="shared" si="61"/>
        <v>0</v>
      </c>
    </row>
    <row r="21" spans="1:81" ht="20.100000000000001" hidden="1" customHeight="1" x14ac:dyDescent="0.25">
      <c r="A21" s="12" t="s">
        <v>112</v>
      </c>
      <c r="B21" s="9" t="s">
        <v>7</v>
      </c>
      <c r="C21" s="10">
        <v>6</v>
      </c>
      <c r="D21" s="9" t="s">
        <v>9</v>
      </c>
      <c r="E21" s="13">
        <v>6</v>
      </c>
      <c r="F21" s="43">
        <v>10</v>
      </c>
      <c r="G21" s="47">
        <v>1</v>
      </c>
      <c r="H21" s="45"/>
      <c r="I21" s="48">
        <f t="shared" si="43"/>
        <v>10</v>
      </c>
      <c r="J21" s="43">
        <v>9</v>
      </c>
      <c r="K21" s="47">
        <f t="shared" si="31"/>
        <v>1</v>
      </c>
      <c r="L21" s="45"/>
      <c r="M21" s="48">
        <f t="shared" si="44"/>
        <v>9</v>
      </c>
      <c r="N21" s="43">
        <v>7</v>
      </c>
      <c r="O21" s="47">
        <f t="shared" si="32"/>
        <v>2</v>
      </c>
      <c r="P21" s="45"/>
      <c r="Q21" s="48">
        <f t="shared" si="45"/>
        <v>7</v>
      </c>
      <c r="R21" s="43">
        <v>7</v>
      </c>
      <c r="S21" s="47">
        <f t="shared" si="33"/>
        <v>0</v>
      </c>
      <c r="T21" s="45"/>
      <c r="U21" s="48">
        <f t="shared" si="46"/>
        <v>7</v>
      </c>
      <c r="V21" s="43">
        <v>7</v>
      </c>
      <c r="W21" s="47">
        <f t="shared" si="62"/>
        <v>0</v>
      </c>
      <c r="X21" s="45"/>
      <c r="Y21" s="48">
        <f t="shared" si="47"/>
        <v>7</v>
      </c>
      <c r="Z21" s="43">
        <v>6</v>
      </c>
      <c r="AA21" s="47">
        <f t="shared" si="30"/>
        <v>1</v>
      </c>
      <c r="AB21" s="45"/>
      <c r="AC21" s="48">
        <f t="shared" si="48"/>
        <v>6</v>
      </c>
      <c r="AD21" s="43">
        <v>4</v>
      </c>
      <c r="AE21" s="32">
        <f t="shared" si="22"/>
        <v>2</v>
      </c>
      <c r="AF21" s="45">
        <v>1</v>
      </c>
      <c r="AG21" s="48">
        <f t="shared" si="49"/>
        <v>10</v>
      </c>
      <c r="AH21" s="43">
        <v>10</v>
      </c>
      <c r="AI21" s="32">
        <f t="shared" si="23"/>
        <v>0</v>
      </c>
      <c r="AJ21" s="45">
        <v>1</v>
      </c>
      <c r="AK21" s="48">
        <f t="shared" si="50"/>
        <v>16</v>
      </c>
      <c r="AL21" s="43">
        <v>16</v>
      </c>
      <c r="AM21" s="32">
        <f t="shared" si="24"/>
        <v>0</v>
      </c>
      <c r="AN21" s="45"/>
      <c r="AO21" s="48">
        <f t="shared" si="51"/>
        <v>16</v>
      </c>
      <c r="AP21" s="43">
        <v>16</v>
      </c>
      <c r="AQ21" s="47">
        <f t="shared" si="34"/>
        <v>0</v>
      </c>
      <c r="AR21" s="45"/>
      <c r="AS21" s="48">
        <f t="shared" si="52"/>
        <v>16</v>
      </c>
      <c r="AT21" s="43">
        <v>15</v>
      </c>
      <c r="AU21" s="47">
        <f t="shared" si="35"/>
        <v>1</v>
      </c>
      <c r="AV21" s="45"/>
      <c r="AW21" s="48">
        <f t="shared" si="53"/>
        <v>15</v>
      </c>
      <c r="AX21" s="43">
        <v>15</v>
      </c>
      <c r="AY21" s="47">
        <f t="shared" si="36"/>
        <v>0</v>
      </c>
      <c r="AZ21" s="45"/>
      <c r="BA21" s="48">
        <f t="shared" si="54"/>
        <v>15</v>
      </c>
      <c r="BB21" s="43">
        <v>15</v>
      </c>
      <c r="BC21" s="32">
        <f t="shared" si="26"/>
        <v>0</v>
      </c>
      <c r="BD21" s="45"/>
      <c r="BE21" s="48">
        <f t="shared" si="55"/>
        <v>15</v>
      </c>
      <c r="BF21" s="43">
        <v>12</v>
      </c>
      <c r="BG21" s="47">
        <f t="shared" si="37"/>
        <v>3</v>
      </c>
      <c r="BH21" s="45"/>
      <c r="BI21" s="48">
        <f t="shared" si="56"/>
        <v>12</v>
      </c>
      <c r="BJ21" s="43">
        <v>12</v>
      </c>
      <c r="BK21" s="47">
        <f t="shared" si="38"/>
        <v>0</v>
      </c>
      <c r="BL21" s="45"/>
      <c r="BM21" s="48">
        <f t="shared" si="57"/>
        <v>12</v>
      </c>
      <c r="BN21" s="43"/>
      <c r="BO21" s="47">
        <f t="shared" si="39"/>
        <v>12</v>
      </c>
      <c r="BP21" s="45"/>
      <c r="BQ21" s="48">
        <f t="shared" si="58"/>
        <v>0</v>
      </c>
      <c r="BR21" s="43"/>
      <c r="BS21" s="47">
        <f t="shared" si="40"/>
        <v>0</v>
      </c>
      <c r="BT21" s="45"/>
      <c r="BU21" s="48">
        <f t="shared" si="59"/>
        <v>0</v>
      </c>
      <c r="BV21" s="43"/>
      <c r="BW21" s="47">
        <f t="shared" si="41"/>
        <v>0</v>
      </c>
      <c r="BX21" s="45"/>
      <c r="BY21" s="48">
        <f t="shared" si="60"/>
        <v>0</v>
      </c>
      <c r="BZ21" s="43"/>
      <c r="CA21" s="47">
        <f t="shared" si="42"/>
        <v>0</v>
      </c>
      <c r="CB21" s="45"/>
      <c r="CC21" s="48">
        <f t="shared" si="61"/>
        <v>0</v>
      </c>
    </row>
    <row r="22" spans="1:81" ht="20.100000000000001" hidden="1" customHeight="1" x14ac:dyDescent="0.25">
      <c r="A22" s="12" t="s">
        <v>113</v>
      </c>
      <c r="B22" s="9" t="s">
        <v>7</v>
      </c>
      <c r="C22" s="10">
        <v>6</v>
      </c>
      <c r="D22" s="9" t="s">
        <v>9</v>
      </c>
      <c r="E22" s="13">
        <v>6</v>
      </c>
      <c r="F22" s="43">
        <v>6</v>
      </c>
      <c r="G22" s="47">
        <v>0</v>
      </c>
      <c r="H22" s="45"/>
      <c r="I22" s="48">
        <f t="shared" si="43"/>
        <v>6</v>
      </c>
      <c r="J22" s="43">
        <v>6</v>
      </c>
      <c r="K22" s="47">
        <f t="shared" si="31"/>
        <v>0</v>
      </c>
      <c r="L22" s="45"/>
      <c r="M22" s="48">
        <f t="shared" si="44"/>
        <v>6</v>
      </c>
      <c r="N22" s="43">
        <v>6</v>
      </c>
      <c r="O22" s="47">
        <f t="shared" si="32"/>
        <v>0</v>
      </c>
      <c r="P22" s="45"/>
      <c r="Q22" s="48">
        <f t="shared" si="45"/>
        <v>6</v>
      </c>
      <c r="R22" s="43">
        <v>5</v>
      </c>
      <c r="S22" s="47">
        <f t="shared" si="33"/>
        <v>1</v>
      </c>
      <c r="T22" s="45"/>
      <c r="U22" s="48">
        <f t="shared" si="46"/>
        <v>5</v>
      </c>
      <c r="V22" s="43">
        <v>5</v>
      </c>
      <c r="W22" s="47">
        <f t="shared" si="62"/>
        <v>0</v>
      </c>
      <c r="X22" s="45">
        <v>1</v>
      </c>
      <c r="Y22" s="48">
        <f t="shared" si="47"/>
        <v>11</v>
      </c>
      <c r="Z22" s="43">
        <v>10</v>
      </c>
      <c r="AA22" s="47">
        <f t="shared" si="30"/>
        <v>1</v>
      </c>
      <c r="AB22" s="45"/>
      <c r="AC22" s="48">
        <f t="shared" si="48"/>
        <v>10</v>
      </c>
      <c r="AD22" s="43">
        <v>6</v>
      </c>
      <c r="AE22" s="32">
        <f t="shared" si="22"/>
        <v>4</v>
      </c>
      <c r="AF22" s="45">
        <v>1</v>
      </c>
      <c r="AG22" s="48">
        <f t="shared" si="49"/>
        <v>12</v>
      </c>
      <c r="AH22" s="43">
        <v>12</v>
      </c>
      <c r="AI22" s="32">
        <f t="shared" si="23"/>
        <v>0</v>
      </c>
      <c r="AJ22" s="45">
        <v>1</v>
      </c>
      <c r="AK22" s="48">
        <f t="shared" si="50"/>
        <v>18</v>
      </c>
      <c r="AL22" s="43">
        <v>17</v>
      </c>
      <c r="AM22" s="32">
        <f t="shared" si="24"/>
        <v>1</v>
      </c>
      <c r="AN22" s="45"/>
      <c r="AO22" s="48">
        <f t="shared" si="51"/>
        <v>17</v>
      </c>
      <c r="AP22" s="43">
        <v>17</v>
      </c>
      <c r="AQ22" s="47">
        <f t="shared" si="34"/>
        <v>0</v>
      </c>
      <c r="AR22" s="45"/>
      <c r="AS22" s="48">
        <f t="shared" si="52"/>
        <v>17</v>
      </c>
      <c r="AT22" s="43">
        <v>17</v>
      </c>
      <c r="AU22" s="47">
        <f t="shared" si="35"/>
        <v>0</v>
      </c>
      <c r="AV22" s="45"/>
      <c r="AW22" s="48">
        <f t="shared" si="53"/>
        <v>17</v>
      </c>
      <c r="AX22" s="43">
        <v>16</v>
      </c>
      <c r="AY22" s="47">
        <f t="shared" si="36"/>
        <v>1</v>
      </c>
      <c r="AZ22" s="45"/>
      <c r="BA22" s="48">
        <f t="shared" si="54"/>
        <v>16</v>
      </c>
      <c r="BB22" s="43">
        <v>16</v>
      </c>
      <c r="BC22" s="32">
        <f t="shared" si="26"/>
        <v>0</v>
      </c>
      <c r="BD22" s="45"/>
      <c r="BE22" s="48">
        <f t="shared" si="55"/>
        <v>16</v>
      </c>
      <c r="BF22" s="43">
        <v>16</v>
      </c>
      <c r="BG22" s="47">
        <f t="shared" si="37"/>
        <v>0</v>
      </c>
      <c r="BH22" s="45"/>
      <c r="BI22" s="48">
        <f t="shared" si="56"/>
        <v>16</v>
      </c>
      <c r="BJ22" s="43">
        <v>15</v>
      </c>
      <c r="BK22" s="47">
        <f t="shared" si="38"/>
        <v>1</v>
      </c>
      <c r="BL22" s="45"/>
      <c r="BM22" s="48">
        <f t="shared" si="57"/>
        <v>15</v>
      </c>
      <c r="BN22" s="43"/>
      <c r="BO22" s="47">
        <f t="shared" si="39"/>
        <v>15</v>
      </c>
      <c r="BP22" s="45"/>
      <c r="BQ22" s="48">
        <f t="shared" si="58"/>
        <v>0</v>
      </c>
      <c r="BR22" s="43"/>
      <c r="BS22" s="47">
        <f t="shared" si="40"/>
        <v>0</v>
      </c>
      <c r="BT22" s="45"/>
      <c r="BU22" s="48">
        <f t="shared" si="59"/>
        <v>0</v>
      </c>
      <c r="BV22" s="43"/>
      <c r="BW22" s="47">
        <f t="shared" si="41"/>
        <v>0</v>
      </c>
      <c r="BX22" s="45"/>
      <c r="BY22" s="48">
        <f t="shared" si="60"/>
        <v>0</v>
      </c>
      <c r="BZ22" s="43"/>
      <c r="CA22" s="47">
        <f t="shared" si="42"/>
        <v>0</v>
      </c>
      <c r="CB22" s="45"/>
      <c r="CC22" s="48">
        <f t="shared" si="61"/>
        <v>0</v>
      </c>
    </row>
    <row r="23" spans="1:81" ht="20.100000000000001" hidden="1" customHeight="1" x14ac:dyDescent="0.25">
      <c r="A23" s="65" t="s">
        <v>114</v>
      </c>
      <c r="B23" s="55" t="s">
        <v>7</v>
      </c>
      <c r="C23" s="56">
        <v>2</v>
      </c>
      <c r="D23" s="55" t="s">
        <v>9</v>
      </c>
      <c r="E23" s="66">
        <v>2</v>
      </c>
      <c r="F23" s="43"/>
      <c r="G23" s="47">
        <v>0</v>
      </c>
      <c r="H23" s="45"/>
      <c r="I23" s="48">
        <f t="shared" si="43"/>
        <v>0</v>
      </c>
      <c r="J23" s="43"/>
      <c r="K23" s="47">
        <f t="shared" si="31"/>
        <v>0</v>
      </c>
      <c r="L23" s="45"/>
      <c r="M23" s="48">
        <f t="shared" si="44"/>
        <v>0</v>
      </c>
      <c r="N23" s="43"/>
      <c r="O23" s="47">
        <f t="shared" si="32"/>
        <v>0</v>
      </c>
      <c r="P23" s="45"/>
      <c r="Q23" s="48">
        <f t="shared" si="45"/>
        <v>0</v>
      </c>
      <c r="R23" s="43"/>
      <c r="S23" s="47">
        <f t="shared" si="33"/>
        <v>0</v>
      </c>
      <c r="T23" s="45"/>
      <c r="U23" s="48">
        <f t="shared" si="46"/>
        <v>0</v>
      </c>
      <c r="V23" s="43"/>
      <c r="W23" s="47">
        <f t="shared" si="62"/>
        <v>0</v>
      </c>
      <c r="X23" s="45"/>
      <c r="Y23" s="48">
        <f t="shared" si="47"/>
        <v>0</v>
      </c>
      <c r="Z23" s="43"/>
      <c r="AA23" s="47">
        <f t="shared" si="30"/>
        <v>0</v>
      </c>
      <c r="AB23" s="45"/>
      <c r="AC23" s="48">
        <f t="shared" si="48"/>
        <v>0</v>
      </c>
      <c r="AD23" s="43"/>
      <c r="AE23" s="32">
        <f t="shared" si="22"/>
        <v>0</v>
      </c>
      <c r="AF23" s="45"/>
      <c r="AG23" s="48">
        <f t="shared" si="49"/>
        <v>0</v>
      </c>
      <c r="AH23" s="43"/>
      <c r="AI23" s="32">
        <f t="shared" si="23"/>
        <v>0</v>
      </c>
      <c r="AJ23" s="45"/>
      <c r="AK23" s="48">
        <f t="shared" si="50"/>
        <v>0</v>
      </c>
      <c r="AL23" s="43"/>
      <c r="AM23" s="32">
        <f t="shared" si="24"/>
        <v>0</v>
      </c>
      <c r="AN23" s="45"/>
      <c r="AO23" s="48">
        <f t="shared" si="51"/>
        <v>0</v>
      </c>
      <c r="AP23" s="43"/>
      <c r="AQ23" s="47">
        <f t="shared" si="34"/>
        <v>0</v>
      </c>
      <c r="AR23" s="45"/>
      <c r="AS23" s="48">
        <f t="shared" si="52"/>
        <v>0</v>
      </c>
      <c r="AT23" s="43"/>
      <c r="AU23" s="47">
        <f t="shared" si="35"/>
        <v>0</v>
      </c>
      <c r="AV23" s="45"/>
      <c r="AW23" s="48">
        <f t="shared" si="53"/>
        <v>0</v>
      </c>
      <c r="AX23" s="43"/>
      <c r="AY23" s="47">
        <f t="shared" si="36"/>
        <v>0</v>
      </c>
      <c r="AZ23" s="45"/>
      <c r="BA23" s="48">
        <f t="shared" si="54"/>
        <v>0</v>
      </c>
      <c r="BB23" s="43"/>
      <c r="BC23" s="32">
        <f t="shared" si="26"/>
        <v>0</v>
      </c>
      <c r="BD23" s="45"/>
      <c r="BE23" s="48">
        <f t="shared" si="55"/>
        <v>0</v>
      </c>
      <c r="BF23" s="43"/>
      <c r="BG23" s="47">
        <f t="shared" si="37"/>
        <v>0</v>
      </c>
      <c r="BH23" s="45"/>
      <c r="BI23" s="48">
        <f t="shared" si="56"/>
        <v>0</v>
      </c>
      <c r="BJ23" s="43"/>
      <c r="BK23" s="47">
        <f t="shared" si="38"/>
        <v>0</v>
      </c>
      <c r="BL23" s="45"/>
      <c r="BM23" s="48">
        <f t="shared" si="57"/>
        <v>0</v>
      </c>
      <c r="BN23" s="43"/>
      <c r="BO23" s="47">
        <f t="shared" si="39"/>
        <v>0</v>
      </c>
      <c r="BP23" s="45"/>
      <c r="BQ23" s="48">
        <f t="shared" si="58"/>
        <v>0</v>
      </c>
      <c r="BR23" s="43"/>
      <c r="BS23" s="47">
        <f t="shared" si="40"/>
        <v>0</v>
      </c>
      <c r="BT23" s="45"/>
      <c r="BU23" s="48">
        <f t="shared" si="59"/>
        <v>0</v>
      </c>
      <c r="BV23" s="43"/>
      <c r="BW23" s="47">
        <f t="shared" si="41"/>
        <v>0</v>
      </c>
      <c r="BX23" s="45"/>
      <c r="BY23" s="48">
        <f t="shared" si="60"/>
        <v>0</v>
      </c>
      <c r="BZ23" s="43"/>
      <c r="CA23" s="47">
        <f t="shared" si="42"/>
        <v>0</v>
      </c>
      <c r="CB23" s="45"/>
      <c r="CC23" s="48">
        <f t="shared" si="61"/>
        <v>0</v>
      </c>
    </row>
    <row r="24" spans="1:81" ht="20.100000000000001" hidden="1" customHeight="1" x14ac:dyDescent="0.25">
      <c r="A24" s="12" t="s">
        <v>115</v>
      </c>
      <c r="B24" s="9" t="s">
        <v>7</v>
      </c>
      <c r="C24" s="10">
        <v>6</v>
      </c>
      <c r="D24" s="9" t="s">
        <v>9</v>
      </c>
      <c r="E24" s="13">
        <v>6</v>
      </c>
      <c r="F24" s="43">
        <v>4</v>
      </c>
      <c r="G24" s="47">
        <v>1</v>
      </c>
      <c r="H24" s="45"/>
      <c r="I24" s="48">
        <f t="shared" si="43"/>
        <v>4</v>
      </c>
      <c r="J24" s="43">
        <v>4</v>
      </c>
      <c r="K24" s="47">
        <f t="shared" si="31"/>
        <v>0</v>
      </c>
      <c r="L24" s="45"/>
      <c r="M24" s="48">
        <f t="shared" si="44"/>
        <v>4</v>
      </c>
      <c r="N24" s="43">
        <v>4</v>
      </c>
      <c r="O24" s="47">
        <f t="shared" si="32"/>
        <v>0</v>
      </c>
      <c r="P24" s="45"/>
      <c r="Q24" s="48">
        <f t="shared" si="45"/>
        <v>4</v>
      </c>
      <c r="R24" s="43">
        <v>3</v>
      </c>
      <c r="S24" s="47">
        <f t="shared" si="33"/>
        <v>1</v>
      </c>
      <c r="T24" s="45"/>
      <c r="U24" s="48">
        <f t="shared" si="46"/>
        <v>3</v>
      </c>
      <c r="V24" s="43">
        <v>3</v>
      </c>
      <c r="W24" s="47">
        <f t="shared" si="62"/>
        <v>0</v>
      </c>
      <c r="X24" s="45"/>
      <c r="Y24" s="48">
        <f t="shared" si="47"/>
        <v>3</v>
      </c>
      <c r="Z24" s="43">
        <v>2</v>
      </c>
      <c r="AA24" s="47">
        <f t="shared" si="30"/>
        <v>1</v>
      </c>
      <c r="AB24" s="49">
        <v>1</v>
      </c>
      <c r="AC24" s="48">
        <f t="shared" si="48"/>
        <v>8</v>
      </c>
      <c r="AD24" s="43">
        <v>8</v>
      </c>
      <c r="AE24" s="32">
        <f t="shared" si="22"/>
        <v>0</v>
      </c>
      <c r="AF24" s="45"/>
      <c r="AG24" s="48">
        <f t="shared" si="49"/>
        <v>8</v>
      </c>
      <c r="AH24" s="43">
        <v>8</v>
      </c>
      <c r="AI24" s="32">
        <f t="shared" si="23"/>
        <v>0</v>
      </c>
      <c r="AJ24" s="45"/>
      <c r="AK24" s="48">
        <f t="shared" si="50"/>
        <v>8</v>
      </c>
      <c r="AL24" s="43">
        <v>8</v>
      </c>
      <c r="AM24" s="32">
        <f t="shared" si="24"/>
        <v>0</v>
      </c>
      <c r="AN24" s="45"/>
      <c r="AO24" s="48">
        <f t="shared" si="51"/>
        <v>8</v>
      </c>
      <c r="AP24" s="43">
        <v>8</v>
      </c>
      <c r="AQ24" s="47">
        <f t="shared" si="34"/>
        <v>0</v>
      </c>
      <c r="AR24" s="45"/>
      <c r="AS24" s="48">
        <f t="shared" si="52"/>
        <v>8</v>
      </c>
      <c r="AT24" s="43">
        <v>8</v>
      </c>
      <c r="AU24" s="47">
        <f t="shared" si="35"/>
        <v>0</v>
      </c>
      <c r="AV24" s="45"/>
      <c r="AW24" s="48">
        <f t="shared" si="53"/>
        <v>8</v>
      </c>
      <c r="AX24" s="43">
        <v>8</v>
      </c>
      <c r="AY24" s="47">
        <f t="shared" si="36"/>
        <v>0</v>
      </c>
      <c r="AZ24" s="45"/>
      <c r="BA24" s="48">
        <f t="shared" si="54"/>
        <v>8</v>
      </c>
      <c r="BB24" s="43">
        <v>8</v>
      </c>
      <c r="BC24" s="32">
        <f t="shared" si="26"/>
        <v>0</v>
      </c>
      <c r="BD24" s="45"/>
      <c r="BE24" s="48">
        <f t="shared" si="55"/>
        <v>8</v>
      </c>
      <c r="BF24" s="43">
        <v>6</v>
      </c>
      <c r="BG24" s="47">
        <f t="shared" si="37"/>
        <v>2</v>
      </c>
      <c r="BH24" s="45"/>
      <c r="BI24" s="48">
        <f t="shared" si="56"/>
        <v>6</v>
      </c>
      <c r="BJ24" s="43">
        <v>4</v>
      </c>
      <c r="BK24" s="47">
        <f t="shared" si="38"/>
        <v>2</v>
      </c>
      <c r="BL24" s="45"/>
      <c r="BM24" s="48">
        <f t="shared" si="57"/>
        <v>4</v>
      </c>
      <c r="BN24" s="43"/>
      <c r="BO24" s="47">
        <f t="shared" si="39"/>
        <v>4</v>
      </c>
      <c r="BP24" s="45"/>
      <c r="BQ24" s="48">
        <f t="shared" si="58"/>
        <v>0</v>
      </c>
      <c r="BR24" s="43"/>
      <c r="BS24" s="47">
        <f t="shared" si="40"/>
        <v>0</v>
      </c>
      <c r="BT24" s="45"/>
      <c r="BU24" s="48">
        <f t="shared" si="59"/>
        <v>0</v>
      </c>
      <c r="BV24" s="43"/>
      <c r="BW24" s="47">
        <f t="shared" si="41"/>
        <v>0</v>
      </c>
      <c r="BX24" s="45"/>
      <c r="BY24" s="48">
        <f t="shared" si="60"/>
        <v>0</v>
      </c>
      <c r="BZ24" s="43"/>
      <c r="CA24" s="47">
        <f t="shared" si="42"/>
        <v>0</v>
      </c>
      <c r="CB24" s="45"/>
      <c r="CC24" s="48">
        <f t="shared" si="61"/>
        <v>0</v>
      </c>
    </row>
    <row r="25" spans="1:81" ht="20.100000000000001" hidden="1" customHeight="1" x14ac:dyDescent="0.25">
      <c r="A25" s="12" t="s">
        <v>116</v>
      </c>
      <c r="B25" s="9" t="s">
        <v>7</v>
      </c>
      <c r="C25" s="10">
        <v>2</v>
      </c>
      <c r="D25" s="9" t="s">
        <v>9</v>
      </c>
      <c r="E25" s="13">
        <v>2</v>
      </c>
      <c r="F25" s="43">
        <v>12</v>
      </c>
      <c r="G25" s="47">
        <v>1</v>
      </c>
      <c r="H25" s="45"/>
      <c r="I25" s="48">
        <f t="shared" si="43"/>
        <v>12</v>
      </c>
      <c r="J25" s="43">
        <v>12</v>
      </c>
      <c r="K25" s="47">
        <f t="shared" si="31"/>
        <v>0</v>
      </c>
      <c r="L25" s="45"/>
      <c r="M25" s="48">
        <f t="shared" si="44"/>
        <v>12</v>
      </c>
      <c r="N25" s="43">
        <v>13</v>
      </c>
      <c r="O25" s="47">
        <f t="shared" si="32"/>
        <v>-1</v>
      </c>
      <c r="P25" s="45"/>
      <c r="Q25" s="48">
        <f t="shared" si="45"/>
        <v>13</v>
      </c>
      <c r="R25" s="43">
        <v>13</v>
      </c>
      <c r="S25" s="47">
        <f t="shared" si="33"/>
        <v>0</v>
      </c>
      <c r="T25" s="45"/>
      <c r="U25" s="48">
        <f t="shared" si="46"/>
        <v>13</v>
      </c>
      <c r="V25" s="43">
        <v>12</v>
      </c>
      <c r="W25" s="47">
        <f t="shared" si="62"/>
        <v>1</v>
      </c>
      <c r="X25" s="45"/>
      <c r="Y25" s="48">
        <f t="shared" si="47"/>
        <v>12</v>
      </c>
      <c r="Z25" s="43">
        <v>12</v>
      </c>
      <c r="AA25" s="47">
        <f t="shared" si="30"/>
        <v>0</v>
      </c>
      <c r="AB25" s="45"/>
      <c r="AC25" s="48">
        <f t="shared" si="48"/>
        <v>12</v>
      </c>
      <c r="AD25" s="43">
        <v>12</v>
      </c>
      <c r="AE25" s="32">
        <f t="shared" si="22"/>
        <v>0</v>
      </c>
      <c r="AF25" s="45"/>
      <c r="AG25" s="48">
        <f t="shared" si="49"/>
        <v>12</v>
      </c>
      <c r="AH25" s="43">
        <v>12</v>
      </c>
      <c r="AI25" s="32">
        <f t="shared" si="23"/>
        <v>0</v>
      </c>
      <c r="AJ25" s="45"/>
      <c r="AK25" s="48">
        <f t="shared" si="50"/>
        <v>12</v>
      </c>
      <c r="AL25" s="43">
        <v>12</v>
      </c>
      <c r="AM25" s="32">
        <f t="shared" si="24"/>
        <v>0</v>
      </c>
      <c r="AN25" s="45"/>
      <c r="AO25" s="48">
        <f t="shared" si="51"/>
        <v>12</v>
      </c>
      <c r="AP25" s="43">
        <v>10</v>
      </c>
      <c r="AQ25" s="47">
        <f t="shared" si="34"/>
        <v>2</v>
      </c>
      <c r="AR25" s="45"/>
      <c r="AS25" s="48">
        <f t="shared" si="52"/>
        <v>10</v>
      </c>
      <c r="AT25" s="43">
        <v>10</v>
      </c>
      <c r="AU25" s="47">
        <f t="shared" si="35"/>
        <v>0</v>
      </c>
      <c r="AV25" s="45"/>
      <c r="AW25" s="48">
        <f t="shared" si="53"/>
        <v>10</v>
      </c>
      <c r="AX25" s="43">
        <v>10</v>
      </c>
      <c r="AY25" s="47">
        <f t="shared" si="36"/>
        <v>0</v>
      </c>
      <c r="AZ25" s="45"/>
      <c r="BA25" s="48">
        <f t="shared" si="54"/>
        <v>10</v>
      </c>
      <c r="BB25" s="43">
        <v>10</v>
      </c>
      <c r="BC25" s="32">
        <f t="shared" si="26"/>
        <v>0</v>
      </c>
      <c r="BD25" s="45"/>
      <c r="BE25" s="48">
        <f t="shared" si="55"/>
        <v>10</v>
      </c>
      <c r="BF25" s="43">
        <v>10</v>
      </c>
      <c r="BG25" s="47">
        <f t="shared" si="37"/>
        <v>0</v>
      </c>
      <c r="BH25" s="45"/>
      <c r="BI25" s="48">
        <f t="shared" si="56"/>
        <v>10</v>
      </c>
      <c r="BJ25" s="43">
        <v>10</v>
      </c>
      <c r="BK25" s="47">
        <f t="shared" si="38"/>
        <v>0</v>
      </c>
      <c r="BL25" s="45"/>
      <c r="BM25" s="48">
        <f t="shared" si="57"/>
        <v>10</v>
      </c>
      <c r="BN25" s="43"/>
      <c r="BO25" s="47">
        <f t="shared" si="39"/>
        <v>10</v>
      </c>
      <c r="BP25" s="45"/>
      <c r="BQ25" s="48">
        <f t="shared" si="58"/>
        <v>0</v>
      </c>
      <c r="BR25" s="43"/>
      <c r="BS25" s="47">
        <f t="shared" si="40"/>
        <v>0</v>
      </c>
      <c r="BT25" s="45"/>
      <c r="BU25" s="48">
        <f t="shared" si="59"/>
        <v>0</v>
      </c>
      <c r="BV25" s="43"/>
      <c r="BW25" s="47">
        <f t="shared" si="41"/>
        <v>0</v>
      </c>
      <c r="BX25" s="45"/>
      <c r="BY25" s="48">
        <f t="shared" si="60"/>
        <v>0</v>
      </c>
      <c r="BZ25" s="43"/>
      <c r="CA25" s="47">
        <f t="shared" si="42"/>
        <v>0</v>
      </c>
      <c r="CB25" s="45"/>
      <c r="CC25" s="48">
        <f t="shared" si="61"/>
        <v>0</v>
      </c>
    </row>
    <row r="26" spans="1:81" ht="20.100000000000001" hidden="1" customHeight="1" x14ac:dyDescent="0.25">
      <c r="A26" s="12" t="s">
        <v>117</v>
      </c>
      <c r="B26" s="9" t="s">
        <v>7</v>
      </c>
      <c r="C26" s="10">
        <v>2</v>
      </c>
      <c r="D26" s="9" t="s">
        <v>9</v>
      </c>
      <c r="E26" s="13">
        <v>2</v>
      </c>
      <c r="F26" s="43">
        <v>8</v>
      </c>
      <c r="G26" s="47">
        <v>0</v>
      </c>
      <c r="H26" s="45"/>
      <c r="I26" s="48">
        <f t="shared" si="43"/>
        <v>8</v>
      </c>
      <c r="J26" s="43">
        <v>8</v>
      </c>
      <c r="K26" s="47">
        <f t="shared" si="31"/>
        <v>0</v>
      </c>
      <c r="L26" s="45"/>
      <c r="M26" s="48">
        <f t="shared" si="44"/>
        <v>8</v>
      </c>
      <c r="N26" s="43">
        <v>8</v>
      </c>
      <c r="O26" s="47">
        <f t="shared" si="32"/>
        <v>0</v>
      </c>
      <c r="P26" s="45"/>
      <c r="Q26" s="48">
        <f t="shared" si="45"/>
        <v>8</v>
      </c>
      <c r="R26" s="43">
        <v>7</v>
      </c>
      <c r="S26" s="47">
        <f t="shared" si="33"/>
        <v>1</v>
      </c>
      <c r="T26" s="45"/>
      <c r="U26" s="48">
        <f t="shared" si="46"/>
        <v>7</v>
      </c>
      <c r="V26" s="43">
        <v>7</v>
      </c>
      <c r="W26" s="47">
        <f t="shared" si="62"/>
        <v>0</v>
      </c>
      <c r="X26" s="45"/>
      <c r="Y26" s="48">
        <f t="shared" si="47"/>
        <v>7</v>
      </c>
      <c r="Z26" s="43">
        <v>7</v>
      </c>
      <c r="AA26" s="47">
        <f t="shared" si="30"/>
        <v>0</v>
      </c>
      <c r="AB26" s="45"/>
      <c r="AC26" s="48">
        <f t="shared" si="48"/>
        <v>7</v>
      </c>
      <c r="AD26" s="43">
        <v>7</v>
      </c>
      <c r="AE26" s="32">
        <f t="shared" si="22"/>
        <v>0</v>
      </c>
      <c r="AF26" s="45"/>
      <c r="AG26" s="48">
        <f t="shared" si="49"/>
        <v>7</v>
      </c>
      <c r="AH26" s="43">
        <v>7</v>
      </c>
      <c r="AI26" s="32">
        <f t="shared" si="23"/>
        <v>0</v>
      </c>
      <c r="AJ26" s="45"/>
      <c r="AK26" s="48">
        <f t="shared" si="50"/>
        <v>7</v>
      </c>
      <c r="AL26" s="43">
        <v>7</v>
      </c>
      <c r="AM26" s="32">
        <f t="shared" si="24"/>
        <v>0</v>
      </c>
      <c r="AN26" s="45"/>
      <c r="AO26" s="48">
        <f t="shared" si="51"/>
        <v>7</v>
      </c>
      <c r="AP26" s="43">
        <v>7</v>
      </c>
      <c r="AQ26" s="47">
        <f t="shared" si="34"/>
        <v>0</v>
      </c>
      <c r="AR26" s="45"/>
      <c r="AS26" s="48">
        <f t="shared" si="52"/>
        <v>7</v>
      </c>
      <c r="AT26" s="43">
        <v>7</v>
      </c>
      <c r="AU26" s="47">
        <f t="shared" si="35"/>
        <v>0</v>
      </c>
      <c r="AV26" s="45"/>
      <c r="AW26" s="48">
        <f t="shared" si="53"/>
        <v>7</v>
      </c>
      <c r="AX26" s="43">
        <v>7</v>
      </c>
      <c r="AY26" s="47">
        <f t="shared" si="36"/>
        <v>0</v>
      </c>
      <c r="AZ26" s="45"/>
      <c r="BA26" s="48">
        <f t="shared" si="54"/>
        <v>7</v>
      </c>
      <c r="BB26" s="43">
        <v>7</v>
      </c>
      <c r="BC26" s="32">
        <f t="shared" si="26"/>
        <v>0</v>
      </c>
      <c r="BD26" s="45"/>
      <c r="BE26" s="48">
        <f t="shared" si="55"/>
        <v>7</v>
      </c>
      <c r="BF26" s="43">
        <v>7</v>
      </c>
      <c r="BG26" s="47">
        <f t="shared" si="37"/>
        <v>0</v>
      </c>
      <c r="BH26" s="45"/>
      <c r="BI26" s="48">
        <f t="shared" si="56"/>
        <v>7</v>
      </c>
      <c r="BJ26" s="43">
        <v>7</v>
      </c>
      <c r="BK26" s="47">
        <f t="shared" si="38"/>
        <v>0</v>
      </c>
      <c r="BL26" s="45"/>
      <c r="BM26" s="48">
        <f t="shared" si="57"/>
        <v>7</v>
      </c>
      <c r="BN26" s="43"/>
      <c r="BO26" s="47">
        <f t="shared" si="39"/>
        <v>7</v>
      </c>
      <c r="BP26" s="45"/>
      <c r="BQ26" s="48">
        <f t="shared" si="58"/>
        <v>0</v>
      </c>
      <c r="BR26" s="43"/>
      <c r="BS26" s="47">
        <f t="shared" si="40"/>
        <v>0</v>
      </c>
      <c r="BT26" s="45"/>
      <c r="BU26" s="48">
        <f t="shared" si="59"/>
        <v>0</v>
      </c>
      <c r="BV26" s="43"/>
      <c r="BW26" s="47">
        <f t="shared" si="41"/>
        <v>0</v>
      </c>
      <c r="BX26" s="45"/>
      <c r="BY26" s="48">
        <f t="shared" si="60"/>
        <v>0</v>
      </c>
      <c r="BZ26" s="43"/>
      <c r="CA26" s="47">
        <f t="shared" si="42"/>
        <v>0</v>
      </c>
      <c r="CB26" s="45"/>
      <c r="CC26" s="48">
        <f t="shared" si="61"/>
        <v>0</v>
      </c>
    </row>
    <row r="27" spans="1:81" ht="20.100000000000001" hidden="1" customHeight="1" x14ac:dyDescent="0.25">
      <c r="A27" s="12" t="s">
        <v>118</v>
      </c>
      <c r="B27" s="9" t="s">
        <v>7</v>
      </c>
      <c r="C27" s="10">
        <v>2</v>
      </c>
      <c r="D27" s="9" t="s">
        <v>9</v>
      </c>
      <c r="E27" s="13">
        <v>2</v>
      </c>
      <c r="F27" s="43">
        <v>3.2</v>
      </c>
      <c r="G27" s="47">
        <v>0.29999999999999982</v>
      </c>
      <c r="H27" s="45"/>
      <c r="I27" s="48">
        <f t="shared" si="43"/>
        <v>3.2</v>
      </c>
      <c r="J27" s="43">
        <v>3</v>
      </c>
      <c r="K27" s="47">
        <f t="shared" si="31"/>
        <v>0.20000000000000018</v>
      </c>
      <c r="L27" s="45"/>
      <c r="M27" s="48">
        <f t="shared" si="44"/>
        <v>3</v>
      </c>
      <c r="N27" s="43">
        <v>4</v>
      </c>
      <c r="O27" s="47">
        <f t="shared" si="32"/>
        <v>-1</v>
      </c>
      <c r="P27" s="45"/>
      <c r="Q27" s="48">
        <f t="shared" si="45"/>
        <v>4</v>
      </c>
      <c r="R27" s="43">
        <v>4</v>
      </c>
      <c r="S27" s="47">
        <f t="shared" si="33"/>
        <v>0</v>
      </c>
      <c r="T27" s="45"/>
      <c r="U27" s="48">
        <f t="shared" si="46"/>
        <v>4</v>
      </c>
      <c r="V27" s="43">
        <v>4</v>
      </c>
      <c r="W27" s="47">
        <f t="shared" si="62"/>
        <v>0</v>
      </c>
      <c r="X27" s="45"/>
      <c r="Y27" s="48">
        <f t="shared" si="47"/>
        <v>4</v>
      </c>
      <c r="Z27" s="43">
        <v>4</v>
      </c>
      <c r="AA27" s="47">
        <f t="shared" si="30"/>
        <v>0</v>
      </c>
      <c r="AB27" s="45"/>
      <c r="AC27" s="48">
        <f t="shared" si="48"/>
        <v>4</v>
      </c>
      <c r="AD27" s="43">
        <v>4</v>
      </c>
      <c r="AE27" s="32">
        <f t="shared" si="22"/>
        <v>0</v>
      </c>
      <c r="AF27" s="45"/>
      <c r="AG27" s="48">
        <f t="shared" si="49"/>
        <v>4</v>
      </c>
      <c r="AH27" s="43">
        <v>4</v>
      </c>
      <c r="AI27" s="32">
        <f t="shared" si="23"/>
        <v>0</v>
      </c>
      <c r="AJ27" s="45"/>
      <c r="AK27" s="48">
        <f t="shared" si="50"/>
        <v>4</v>
      </c>
      <c r="AL27" s="43">
        <v>4</v>
      </c>
      <c r="AM27" s="32">
        <f t="shared" si="24"/>
        <v>0</v>
      </c>
      <c r="AN27" s="45"/>
      <c r="AO27" s="48">
        <f t="shared" si="51"/>
        <v>4</v>
      </c>
      <c r="AP27" s="43">
        <v>4</v>
      </c>
      <c r="AQ27" s="47">
        <f t="shared" si="34"/>
        <v>0</v>
      </c>
      <c r="AR27" s="45"/>
      <c r="AS27" s="48">
        <f t="shared" si="52"/>
        <v>4</v>
      </c>
      <c r="AT27" s="43">
        <v>4</v>
      </c>
      <c r="AU27" s="47">
        <f t="shared" si="35"/>
        <v>0</v>
      </c>
      <c r="AV27" s="45"/>
      <c r="AW27" s="48">
        <f t="shared" si="53"/>
        <v>4</v>
      </c>
      <c r="AX27" s="43">
        <v>4</v>
      </c>
      <c r="AY27" s="47">
        <f t="shared" si="36"/>
        <v>0</v>
      </c>
      <c r="AZ27" s="45"/>
      <c r="BA27" s="48">
        <f t="shared" si="54"/>
        <v>4</v>
      </c>
      <c r="BB27" s="43">
        <v>4</v>
      </c>
      <c r="BC27" s="32">
        <f t="shared" si="26"/>
        <v>0</v>
      </c>
      <c r="BD27" s="45"/>
      <c r="BE27" s="48">
        <f t="shared" si="55"/>
        <v>4</v>
      </c>
      <c r="BF27" s="43">
        <v>4</v>
      </c>
      <c r="BG27" s="47">
        <f t="shared" si="37"/>
        <v>0</v>
      </c>
      <c r="BH27" s="45"/>
      <c r="BI27" s="48">
        <f t="shared" si="56"/>
        <v>4</v>
      </c>
      <c r="BJ27" s="43">
        <v>4</v>
      </c>
      <c r="BK27" s="47">
        <f t="shared" si="38"/>
        <v>0</v>
      </c>
      <c r="BL27" s="45"/>
      <c r="BM27" s="48">
        <f t="shared" si="57"/>
        <v>4</v>
      </c>
      <c r="BN27" s="43"/>
      <c r="BO27" s="47">
        <f t="shared" si="39"/>
        <v>4</v>
      </c>
      <c r="BP27" s="45"/>
      <c r="BQ27" s="48">
        <f t="shared" si="58"/>
        <v>0</v>
      </c>
      <c r="BR27" s="43"/>
      <c r="BS27" s="47">
        <f t="shared" si="40"/>
        <v>0</v>
      </c>
      <c r="BT27" s="45"/>
      <c r="BU27" s="48">
        <f t="shared" si="59"/>
        <v>0</v>
      </c>
      <c r="BV27" s="43"/>
      <c r="BW27" s="47">
        <f t="shared" si="41"/>
        <v>0</v>
      </c>
      <c r="BX27" s="45"/>
      <c r="BY27" s="48">
        <f t="shared" si="60"/>
        <v>0</v>
      </c>
      <c r="BZ27" s="43"/>
      <c r="CA27" s="47">
        <f t="shared" si="42"/>
        <v>0</v>
      </c>
      <c r="CB27" s="45"/>
      <c r="CC27" s="48">
        <f t="shared" si="61"/>
        <v>0</v>
      </c>
    </row>
    <row r="28" spans="1:81" ht="20.100000000000001" hidden="1" customHeight="1" x14ac:dyDescent="0.25">
      <c r="A28" s="12" t="s">
        <v>119</v>
      </c>
      <c r="B28" s="9" t="s">
        <v>7</v>
      </c>
      <c r="C28" s="10">
        <v>2</v>
      </c>
      <c r="D28" s="9" t="s">
        <v>9</v>
      </c>
      <c r="E28" s="13">
        <v>2</v>
      </c>
      <c r="F28" s="43">
        <v>4</v>
      </c>
      <c r="G28" s="47">
        <v>0</v>
      </c>
      <c r="H28" s="45"/>
      <c r="I28" s="48">
        <f t="shared" si="43"/>
        <v>4</v>
      </c>
      <c r="J28" s="43">
        <v>4</v>
      </c>
      <c r="K28" s="47">
        <f t="shared" si="31"/>
        <v>0</v>
      </c>
      <c r="L28" s="45"/>
      <c r="M28" s="48">
        <f t="shared" si="44"/>
        <v>4</v>
      </c>
      <c r="N28" s="43">
        <v>4</v>
      </c>
      <c r="O28" s="47">
        <f t="shared" si="32"/>
        <v>0</v>
      </c>
      <c r="P28" s="45"/>
      <c r="Q28" s="48">
        <f t="shared" si="45"/>
        <v>4</v>
      </c>
      <c r="R28" s="43">
        <v>4</v>
      </c>
      <c r="S28" s="47">
        <f t="shared" si="33"/>
        <v>0</v>
      </c>
      <c r="T28" s="45"/>
      <c r="U28" s="48">
        <f t="shared" si="46"/>
        <v>4</v>
      </c>
      <c r="V28" s="43">
        <v>4</v>
      </c>
      <c r="W28" s="47">
        <f t="shared" si="62"/>
        <v>0</v>
      </c>
      <c r="X28" s="45"/>
      <c r="Y28" s="48">
        <f t="shared" si="47"/>
        <v>4</v>
      </c>
      <c r="Z28" s="43">
        <v>4</v>
      </c>
      <c r="AA28" s="47">
        <f t="shared" si="30"/>
        <v>0</v>
      </c>
      <c r="AB28" s="45"/>
      <c r="AC28" s="48">
        <f t="shared" si="48"/>
        <v>4</v>
      </c>
      <c r="AD28" s="43">
        <v>4</v>
      </c>
      <c r="AE28" s="32">
        <f t="shared" si="22"/>
        <v>0</v>
      </c>
      <c r="AF28" s="45"/>
      <c r="AG28" s="48">
        <f t="shared" si="49"/>
        <v>4</v>
      </c>
      <c r="AH28" s="43">
        <v>4</v>
      </c>
      <c r="AI28" s="32">
        <f t="shared" si="23"/>
        <v>0</v>
      </c>
      <c r="AJ28" s="45"/>
      <c r="AK28" s="48">
        <f t="shared" si="50"/>
        <v>4</v>
      </c>
      <c r="AL28" s="43">
        <v>4</v>
      </c>
      <c r="AM28" s="32">
        <f t="shared" si="24"/>
        <v>0</v>
      </c>
      <c r="AN28" s="45"/>
      <c r="AO28" s="48">
        <f t="shared" si="51"/>
        <v>4</v>
      </c>
      <c r="AP28" s="43">
        <v>4</v>
      </c>
      <c r="AQ28" s="47">
        <f t="shared" si="34"/>
        <v>0</v>
      </c>
      <c r="AR28" s="45"/>
      <c r="AS28" s="48">
        <f t="shared" si="52"/>
        <v>4</v>
      </c>
      <c r="AT28" s="43">
        <v>4</v>
      </c>
      <c r="AU28" s="47">
        <f t="shared" si="35"/>
        <v>0</v>
      </c>
      <c r="AV28" s="45"/>
      <c r="AW28" s="48">
        <f t="shared" si="53"/>
        <v>4</v>
      </c>
      <c r="AX28" s="43">
        <v>4</v>
      </c>
      <c r="AY28" s="47">
        <f t="shared" si="36"/>
        <v>0</v>
      </c>
      <c r="AZ28" s="45"/>
      <c r="BA28" s="48">
        <f t="shared" si="54"/>
        <v>4</v>
      </c>
      <c r="BB28" s="43">
        <v>4</v>
      </c>
      <c r="BC28" s="32">
        <f t="shared" si="26"/>
        <v>0</v>
      </c>
      <c r="BD28" s="45"/>
      <c r="BE28" s="48">
        <f t="shared" si="55"/>
        <v>4</v>
      </c>
      <c r="BF28" s="43">
        <v>4</v>
      </c>
      <c r="BG28" s="47">
        <f t="shared" si="37"/>
        <v>0</v>
      </c>
      <c r="BH28" s="45"/>
      <c r="BI28" s="48">
        <f t="shared" si="56"/>
        <v>4</v>
      </c>
      <c r="BJ28" s="43">
        <v>4</v>
      </c>
      <c r="BK28" s="47">
        <f t="shared" si="38"/>
        <v>0</v>
      </c>
      <c r="BL28" s="45"/>
      <c r="BM28" s="48">
        <f t="shared" si="57"/>
        <v>4</v>
      </c>
      <c r="BN28" s="43"/>
      <c r="BO28" s="47">
        <f t="shared" si="39"/>
        <v>4</v>
      </c>
      <c r="BP28" s="45"/>
      <c r="BQ28" s="48">
        <f t="shared" si="58"/>
        <v>0</v>
      </c>
      <c r="BR28" s="43"/>
      <c r="BS28" s="47">
        <f t="shared" si="40"/>
        <v>0</v>
      </c>
      <c r="BT28" s="45"/>
      <c r="BU28" s="48">
        <f t="shared" si="59"/>
        <v>0</v>
      </c>
      <c r="BV28" s="43"/>
      <c r="BW28" s="47">
        <f t="shared" si="41"/>
        <v>0</v>
      </c>
      <c r="BX28" s="45"/>
      <c r="BY28" s="48">
        <f t="shared" si="60"/>
        <v>0</v>
      </c>
      <c r="BZ28" s="43"/>
      <c r="CA28" s="47">
        <f t="shared" si="42"/>
        <v>0</v>
      </c>
      <c r="CB28" s="45"/>
      <c r="CC28" s="48">
        <f t="shared" si="61"/>
        <v>0</v>
      </c>
    </row>
    <row r="29" spans="1:81" ht="20.100000000000001" hidden="1" customHeight="1" x14ac:dyDescent="0.25">
      <c r="A29" s="12" t="s">
        <v>120</v>
      </c>
      <c r="B29" s="9" t="s">
        <v>7</v>
      </c>
      <c r="C29" s="10">
        <v>2</v>
      </c>
      <c r="D29" s="9" t="s">
        <v>9</v>
      </c>
      <c r="E29" s="13">
        <v>2</v>
      </c>
      <c r="F29" s="43">
        <v>4</v>
      </c>
      <c r="G29" s="47">
        <v>0</v>
      </c>
      <c r="H29" s="45"/>
      <c r="I29" s="48">
        <f t="shared" si="43"/>
        <v>4</v>
      </c>
      <c r="J29" s="43">
        <v>4</v>
      </c>
      <c r="K29" s="47">
        <f t="shared" si="31"/>
        <v>0</v>
      </c>
      <c r="L29" s="45"/>
      <c r="M29" s="48">
        <f t="shared" si="44"/>
        <v>4</v>
      </c>
      <c r="N29" s="43">
        <v>4</v>
      </c>
      <c r="O29" s="47">
        <f t="shared" si="32"/>
        <v>0</v>
      </c>
      <c r="P29" s="45"/>
      <c r="Q29" s="48">
        <f t="shared" si="45"/>
        <v>4</v>
      </c>
      <c r="R29" s="43">
        <v>4</v>
      </c>
      <c r="S29" s="47">
        <f t="shared" si="33"/>
        <v>0</v>
      </c>
      <c r="T29" s="45"/>
      <c r="U29" s="48">
        <f t="shared" si="46"/>
        <v>4</v>
      </c>
      <c r="V29" s="43">
        <v>4</v>
      </c>
      <c r="W29" s="47">
        <f t="shared" si="62"/>
        <v>0</v>
      </c>
      <c r="X29" s="45"/>
      <c r="Y29" s="48">
        <f t="shared" si="47"/>
        <v>4</v>
      </c>
      <c r="Z29" s="43">
        <v>4</v>
      </c>
      <c r="AA29" s="47">
        <f t="shared" si="30"/>
        <v>0</v>
      </c>
      <c r="AB29" s="45"/>
      <c r="AC29" s="48">
        <f t="shared" si="48"/>
        <v>4</v>
      </c>
      <c r="AD29" s="43">
        <v>4</v>
      </c>
      <c r="AE29" s="32">
        <f t="shared" si="22"/>
        <v>0</v>
      </c>
      <c r="AF29" s="45"/>
      <c r="AG29" s="48">
        <f t="shared" si="49"/>
        <v>4</v>
      </c>
      <c r="AH29" s="43">
        <v>4</v>
      </c>
      <c r="AI29" s="32">
        <f t="shared" si="23"/>
        <v>0</v>
      </c>
      <c r="AJ29" s="45"/>
      <c r="AK29" s="48">
        <f t="shared" si="50"/>
        <v>4</v>
      </c>
      <c r="AL29" s="43">
        <v>4</v>
      </c>
      <c r="AM29" s="32">
        <f t="shared" si="24"/>
        <v>0</v>
      </c>
      <c r="AN29" s="45"/>
      <c r="AO29" s="48">
        <f t="shared" si="51"/>
        <v>4</v>
      </c>
      <c r="AP29" s="43">
        <v>4</v>
      </c>
      <c r="AQ29" s="47">
        <f t="shared" si="34"/>
        <v>0</v>
      </c>
      <c r="AR29" s="45"/>
      <c r="AS29" s="48">
        <f t="shared" si="52"/>
        <v>4</v>
      </c>
      <c r="AT29" s="43">
        <v>4</v>
      </c>
      <c r="AU29" s="47">
        <f t="shared" si="35"/>
        <v>0</v>
      </c>
      <c r="AV29" s="45"/>
      <c r="AW29" s="48">
        <f t="shared" si="53"/>
        <v>4</v>
      </c>
      <c r="AX29" s="43">
        <v>4</v>
      </c>
      <c r="AY29" s="47">
        <f t="shared" si="36"/>
        <v>0</v>
      </c>
      <c r="AZ29" s="45"/>
      <c r="BA29" s="48">
        <f t="shared" si="54"/>
        <v>4</v>
      </c>
      <c r="BB29" s="43">
        <v>4</v>
      </c>
      <c r="BC29" s="32">
        <f t="shared" si="26"/>
        <v>0</v>
      </c>
      <c r="BD29" s="45"/>
      <c r="BE29" s="48">
        <f t="shared" si="55"/>
        <v>4</v>
      </c>
      <c r="BF29" s="43">
        <v>4</v>
      </c>
      <c r="BG29" s="47">
        <f t="shared" si="37"/>
        <v>0</v>
      </c>
      <c r="BH29" s="45"/>
      <c r="BI29" s="48">
        <f t="shared" si="56"/>
        <v>4</v>
      </c>
      <c r="BJ29" s="43">
        <v>4</v>
      </c>
      <c r="BK29" s="47">
        <f t="shared" si="38"/>
        <v>0</v>
      </c>
      <c r="BL29" s="45"/>
      <c r="BM29" s="48">
        <f t="shared" si="57"/>
        <v>4</v>
      </c>
      <c r="BN29" s="43"/>
      <c r="BO29" s="47">
        <f t="shared" si="39"/>
        <v>4</v>
      </c>
      <c r="BP29" s="45"/>
      <c r="BQ29" s="48">
        <f t="shared" si="58"/>
        <v>0</v>
      </c>
      <c r="BR29" s="43"/>
      <c r="BS29" s="47">
        <f t="shared" si="40"/>
        <v>0</v>
      </c>
      <c r="BT29" s="45"/>
      <c r="BU29" s="48">
        <f t="shared" si="59"/>
        <v>0</v>
      </c>
      <c r="BV29" s="43"/>
      <c r="BW29" s="47">
        <f t="shared" si="41"/>
        <v>0</v>
      </c>
      <c r="BX29" s="45"/>
      <c r="BY29" s="48">
        <f t="shared" si="60"/>
        <v>0</v>
      </c>
      <c r="BZ29" s="43"/>
      <c r="CA29" s="47">
        <f t="shared" si="42"/>
        <v>0</v>
      </c>
      <c r="CB29" s="45"/>
      <c r="CC29" s="48">
        <f t="shared" si="61"/>
        <v>0</v>
      </c>
    </row>
    <row r="30" spans="1:81" ht="20.100000000000001" hidden="1" customHeight="1" x14ac:dyDescent="0.25">
      <c r="A30" s="12" t="s">
        <v>121</v>
      </c>
      <c r="B30" s="9" t="s">
        <v>7</v>
      </c>
      <c r="C30" s="10">
        <v>6</v>
      </c>
      <c r="D30" s="9" t="s">
        <v>9</v>
      </c>
      <c r="E30" s="13">
        <v>6</v>
      </c>
      <c r="F30" s="43">
        <v>5</v>
      </c>
      <c r="G30" s="47">
        <v>1</v>
      </c>
      <c r="H30" s="45"/>
      <c r="I30" s="48">
        <f t="shared" si="43"/>
        <v>5</v>
      </c>
      <c r="J30" s="43">
        <v>5</v>
      </c>
      <c r="K30" s="47">
        <f t="shared" si="31"/>
        <v>0</v>
      </c>
      <c r="L30" s="45"/>
      <c r="M30" s="48">
        <f t="shared" si="44"/>
        <v>5</v>
      </c>
      <c r="N30" s="43">
        <v>4</v>
      </c>
      <c r="O30" s="47">
        <f t="shared" si="32"/>
        <v>1</v>
      </c>
      <c r="P30" s="45"/>
      <c r="Q30" s="48">
        <f t="shared" si="45"/>
        <v>4</v>
      </c>
      <c r="R30" s="43">
        <v>4</v>
      </c>
      <c r="S30" s="47">
        <f t="shared" si="33"/>
        <v>0</v>
      </c>
      <c r="T30" s="45"/>
      <c r="U30" s="48">
        <f t="shared" si="46"/>
        <v>4</v>
      </c>
      <c r="V30" s="43">
        <v>4</v>
      </c>
      <c r="W30" s="47">
        <f t="shared" si="62"/>
        <v>0</v>
      </c>
      <c r="X30" s="45"/>
      <c r="Y30" s="48">
        <f t="shared" si="47"/>
        <v>4</v>
      </c>
      <c r="Z30" s="43">
        <v>3</v>
      </c>
      <c r="AA30" s="47">
        <f t="shared" si="30"/>
        <v>1</v>
      </c>
      <c r="AB30" s="49">
        <v>1</v>
      </c>
      <c r="AC30" s="48">
        <f t="shared" si="48"/>
        <v>9</v>
      </c>
      <c r="AD30" s="43">
        <v>9</v>
      </c>
      <c r="AE30" s="32">
        <f t="shared" si="22"/>
        <v>0</v>
      </c>
      <c r="AF30" s="45"/>
      <c r="AG30" s="48">
        <f t="shared" si="49"/>
        <v>9</v>
      </c>
      <c r="AH30" s="43">
        <v>8</v>
      </c>
      <c r="AI30" s="32">
        <f t="shared" si="23"/>
        <v>1</v>
      </c>
      <c r="AJ30" s="45"/>
      <c r="AK30" s="48">
        <f t="shared" si="50"/>
        <v>8</v>
      </c>
      <c r="AL30" s="43">
        <v>7</v>
      </c>
      <c r="AM30" s="32">
        <f t="shared" si="24"/>
        <v>1</v>
      </c>
      <c r="AN30" s="45"/>
      <c r="AO30" s="48">
        <f t="shared" si="51"/>
        <v>7</v>
      </c>
      <c r="AP30" s="43">
        <v>7</v>
      </c>
      <c r="AQ30" s="47">
        <f t="shared" si="34"/>
        <v>0</v>
      </c>
      <c r="AR30" s="45"/>
      <c r="AS30" s="48">
        <f t="shared" si="52"/>
        <v>7</v>
      </c>
      <c r="AT30" s="43">
        <v>6</v>
      </c>
      <c r="AU30" s="47">
        <f t="shared" si="35"/>
        <v>1</v>
      </c>
      <c r="AV30" s="45"/>
      <c r="AW30" s="48">
        <f t="shared" si="53"/>
        <v>6</v>
      </c>
      <c r="AX30" s="43">
        <v>6</v>
      </c>
      <c r="AY30" s="47">
        <f t="shared" si="36"/>
        <v>0</v>
      </c>
      <c r="AZ30" s="45"/>
      <c r="BA30" s="48">
        <f t="shared" si="54"/>
        <v>6</v>
      </c>
      <c r="BB30" s="43">
        <v>6</v>
      </c>
      <c r="BC30" s="32">
        <f t="shared" si="26"/>
        <v>0</v>
      </c>
      <c r="BD30" s="45"/>
      <c r="BE30" s="48">
        <f t="shared" si="55"/>
        <v>6</v>
      </c>
      <c r="BF30" s="43">
        <v>5</v>
      </c>
      <c r="BG30" s="47">
        <f t="shared" si="37"/>
        <v>1</v>
      </c>
      <c r="BH30" s="45"/>
      <c r="BI30" s="48">
        <f t="shared" si="56"/>
        <v>5</v>
      </c>
      <c r="BJ30" s="43">
        <v>4</v>
      </c>
      <c r="BK30" s="47">
        <f t="shared" si="38"/>
        <v>1</v>
      </c>
      <c r="BL30" s="45"/>
      <c r="BM30" s="48">
        <f t="shared" si="57"/>
        <v>4</v>
      </c>
      <c r="BN30" s="43"/>
      <c r="BO30" s="47">
        <f t="shared" si="39"/>
        <v>4</v>
      </c>
      <c r="BP30" s="45"/>
      <c r="BQ30" s="48">
        <f t="shared" si="58"/>
        <v>0</v>
      </c>
      <c r="BR30" s="43"/>
      <c r="BS30" s="47">
        <f t="shared" si="40"/>
        <v>0</v>
      </c>
      <c r="BT30" s="45"/>
      <c r="BU30" s="48">
        <f t="shared" si="59"/>
        <v>0</v>
      </c>
      <c r="BV30" s="43"/>
      <c r="BW30" s="47">
        <f t="shared" si="41"/>
        <v>0</v>
      </c>
      <c r="BX30" s="45"/>
      <c r="BY30" s="48">
        <f t="shared" si="60"/>
        <v>0</v>
      </c>
      <c r="BZ30" s="43"/>
      <c r="CA30" s="47">
        <f t="shared" si="42"/>
        <v>0</v>
      </c>
      <c r="CB30" s="45"/>
      <c r="CC30" s="48">
        <f t="shared" si="61"/>
        <v>0</v>
      </c>
    </row>
    <row r="31" spans="1:81" ht="20.100000000000001" hidden="1" customHeight="1" x14ac:dyDescent="0.25">
      <c r="A31" s="65" t="s">
        <v>122</v>
      </c>
      <c r="B31" s="55" t="s">
        <v>7</v>
      </c>
      <c r="C31" s="56">
        <v>2</v>
      </c>
      <c r="D31" s="55" t="s">
        <v>9</v>
      </c>
      <c r="E31" s="66">
        <v>2</v>
      </c>
      <c r="F31" s="43"/>
      <c r="G31" s="47">
        <v>0</v>
      </c>
      <c r="H31" s="45"/>
      <c r="I31" s="48">
        <f t="shared" si="43"/>
        <v>0</v>
      </c>
      <c r="J31" s="43"/>
      <c r="K31" s="47">
        <f t="shared" si="31"/>
        <v>0</v>
      </c>
      <c r="L31" s="45"/>
      <c r="M31" s="48">
        <f t="shared" si="44"/>
        <v>0</v>
      </c>
      <c r="N31" s="43"/>
      <c r="O31" s="47">
        <f t="shared" si="32"/>
        <v>0</v>
      </c>
      <c r="P31" s="45"/>
      <c r="Q31" s="48">
        <f t="shared" si="45"/>
        <v>0</v>
      </c>
      <c r="R31" s="43"/>
      <c r="S31" s="47">
        <f t="shared" si="33"/>
        <v>0</v>
      </c>
      <c r="T31" s="45"/>
      <c r="U31" s="48">
        <f t="shared" si="46"/>
        <v>0</v>
      </c>
      <c r="V31" s="43"/>
      <c r="W31" s="47">
        <f t="shared" si="62"/>
        <v>0</v>
      </c>
      <c r="X31" s="45"/>
      <c r="Y31" s="48">
        <f t="shared" si="47"/>
        <v>0</v>
      </c>
      <c r="Z31" s="43"/>
      <c r="AA31" s="47">
        <f t="shared" si="30"/>
        <v>0</v>
      </c>
      <c r="AB31" s="45"/>
      <c r="AC31" s="48">
        <f t="shared" si="48"/>
        <v>0</v>
      </c>
      <c r="AD31" s="43"/>
      <c r="AE31" s="32">
        <f t="shared" si="22"/>
        <v>0</v>
      </c>
      <c r="AF31" s="45"/>
      <c r="AG31" s="48">
        <f t="shared" si="49"/>
        <v>0</v>
      </c>
      <c r="AH31" s="43"/>
      <c r="AI31" s="32">
        <f t="shared" si="23"/>
        <v>0</v>
      </c>
      <c r="AJ31" s="45"/>
      <c r="AK31" s="48">
        <f t="shared" si="50"/>
        <v>0</v>
      </c>
      <c r="AL31" s="43"/>
      <c r="AM31" s="32">
        <f t="shared" si="24"/>
        <v>0</v>
      </c>
      <c r="AN31" s="45"/>
      <c r="AO31" s="48">
        <f t="shared" si="51"/>
        <v>0</v>
      </c>
      <c r="AP31" s="43"/>
      <c r="AQ31" s="47">
        <f t="shared" si="34"/>
        <v>0</v>
      </c>
      <c r="AR31" s="45"/>
      <c r="AS31" s="48">
        <f t="shared" si="52"/>
        <v>0</v>
      </c>
      <c r="AT31" s="43"/>
      <c r="AU31" s="47">
        <f t="shared" si="35"/>
        <v>0</v>
      </c>
      <c r="AV31" s="45"/>
      <c r="AW31" s="48">
        <f t="shared" si="53"/>
        <v>0</v>
      </c>
      <c r="AX31" s="43"/>
      <c r="AY31" s="47">
        <f t="shared" si="36"/>
        <v>0</v>
      </c>
      <c r="AZ31" s="45"/>
      <c r="BA31" s="48">
        <f t="shared" si="54"/>
        <v>0</v>
      </c>
      <c r="BB31" s="43"/>
      <c r="BC31" s="32">
        <f t="shared" si="26"/>
        <v>0</v>
      </c>
      <c r="BD31" s="45"/>
      <c r="BE31" s="48">
        <f t="shared" si="55"/>
        <v>0</v>
      </c>
      <c r="BF31" s="43"/>
      <c r="BG31" s="47">
        <f t="shared" si="37"/>
        <v>0</v>
      </c>
      <c r="BH31" s="45"/>
      <c r="BI31" s="48">
        <f t="shared" si="56"/>
        <v>0</v>
      </c>
      <c r="BJ31" s="43"/>
      <c r="BK31" s="47">
        <f t="shared" si="38"/>
        <v>0</v>
      </c>
      <c r="BL31" s="45"/>
      <c r="BM31" s="48">
        <f t="shared" si="57"/>
        <v>0</v>
      </c>
      <c r="BN31" s="43"/>
      <c r="BO31" s="47">
        <f t="shared" si="39"/>
        <v>0</v>
      </c>
      <c r="BP31" s="45"/>
      <c r="BQ31" s="48">
        <f t="shared" si="58"/>
        <v>0</v>
      </c>
      <c r="BR31" s="43"/>
      <c r="BS31" s="47">
        <f t="shared" si="40"/>
        <v>0</v>
      </c>
      <c r="BT31" s="45"/>
      <c r="BU31" s="48">
        <f t="shared" si="59"/>
        <v>0</v>
      </c>
      <c r="BV31" s="43"/>
      <c r="BW31" s="47">
        <f t="shared" si="41"/>
        <v>0</v>
      </c>
      <c r="BX31" s="45"/>
      <c r="BY31" s="48">
        <f t="shared" si="60"/>
        <v>0</v>
      </c>
      <c r="BZ31" s="43"/>
      <c r="CA31" s="47">
        <f t="shared" si="42"/>
        <v>0</v>
      </c>
      <c r="CB31" s="45"/>
      <c r="CC31" s="48">
        <f t="shared" si="61"/>
        <v>0</v>
      </c>
    </row>
    <row r="32" spans="1:81" ht="20.100000000000001" hidden="1" customHeight="1" x14ac:dyDescent="0.25">
      <c r="A32" s="65" t="s">
        <v>123</v>
      </c>
      <c r="B32" s="55" t="s">
        <v>7</v>
      </c>
      <c r="C32" s="56">
        <v>2</v>
      </c>
      <c r="D32" s="55" t="s">
        <v>9</v>
      </c>
      <c r="E32" s="66">
        <v>2</v>
      </c>
      <c r="F32" s="43"/>
      <c r="G32" s="47">
        <v>0</v>
      </c>
      <c r="H32" s="45"/>
      <c r="I32" s="48">
        <f t="shared" si="43"/>
        <v>0</v>
      </c>
      <c r="J32" s="43"/>
      <c r="K32" s="47">
        <f t="shared" si="31"/>
        <v>0</v>
      </c>
      <c r="L32" s="45"/>
      <c r="M32" s="48">
        <f t="shared" si="44"/>
        <v>0</v>
      </c>
      <c r="N32" s="43"/>
      <c r="O32" s="47">
        <f t="shared" si="32"/>
        <v>0</v>
      </c>
      <c r="P32" s="45"/>
      <c r="Q32" s="48">
        <f t="shared" si="45"/>
        <v>0</v>
      </c>
      <c r="R32" s="43"/>
      <c r="S32" s="47">
        <f t="shared" si="33"/>
        <v>0</v>
      </c>
      <c r="T32" s="45"/>
      <c r="U32" s="48">
        <f t="shared" si="46"/>
        <v>0</v>
      </c>
      <c r="V32" s="43"/>
      <c r="W32" s="47">
        <f t="shared" si="62"/>
        <v>0</v>
      </c>
      <c r="X32" s="45"/>
      <c r="Y32" s="48">
        <f t="shared" si="47"/>
        <v>0</v>
      </c>
      <c r="Z32" s="43"/>
      <c r="AA32" s="47">
        <f t="shared" si="30"/>
        <v>0</v>
      </c>
      <c r="AB32" s="45"/>
      <c r="AC32" s="48">
        <f t="shared" si="48"/>
        <v>0</v>
      </c>
      <c r="AD32" s="43"/>
      <c r="AE32" s="32">
        <f t="shared" si="22"/>
        <v>0</v>
      </c>
      <c r="AF32" s="45"/>
      <c r="AG32" s="48">
        <f t="shared" si="49"/>
        <v>0</v>
      </c>
      <c r="AH32" s="43"/>
      <c r="AI32" s="32">
        <f t="shared" si="23"/>
        <v>0</v>
      </c>
      <c r="AJ32" s="45"/>
      <c r="AK32" s="48">
        <f t="shared" si="50"/>
        <v>0</v>
      </c>
      <c r="AL32" s="43"/>
      <c r="AM32" s="32">
        <f t="shared" si="24"/>
        <v>0</v>
      </c>
      <c r="AN32" s="45"/>
      <c r="AO32" s="48">
        <f t="shared" si="51"/>
        <v>0</v>
      </c>
      <c r="AP32" s="43"/>
      <c r="AQ32" s="47">
        <f t="shared" si="34"/>
        <v>0</v>
      </c>
      <c r="AR32" s="45"/>
      <c r="AS32" s="48">
        <f t="shared" si="52"/>
        <v>0</v>
      </c>
      <c r="AT32" s="43"/>
      <c r="AU32" s="47">
        <f t="shared" si="35"/>
        <v>0</v>
      </c>
      <c r="AV32" s="45"/>
      <c r="AW32" s="48">
        <f t="shared" si="53"/>
        <v>0</v>
      </c>
      <c r="AX32" s="43"/>
      <c r="AY32" s="47">
        <f t="shared" si="36"/>
        <v>0</v>
      </c>
      <c r="AZ32" s="45"/>
      <c r="BA32" s="48">
        <f t="shared" si="54"/>
        <v>0</v>
      </c>
      <c r="BB32" s="43"/>
      <c r="BC32" s="32">
        <f t="shared" si="26"/>
        <v>0</v>
      </c>
      <c r="BD32" s="45"/>
      <c r="BE32" s="48">
        <f t="shared" si="55"/>
        <v>0</v>
      </c>
      <c r="BF32" s="43"/>
      <c r="BG32" s="47">
        <f t="shared" si="37"/>
        <v>0</v>
      </c>
      <c r="BH32" s="45"/>
      <c r="BI32" s="48">
        <f t="shared" si="56"/>
        <v>0</v>
      </c>
      <c r="BJ32" s="43"/>
      <c r="BK32" s="47">
        <f t="shared" si="38"/>
        <v>0</v>
      </c>
      <c r="BL32" s="45"/>
      <c r="BM32" s="48">
        <f t="shared" si="57"/>
        <v>0</v>
      </c>
      <c r="BN32" s="43"/>
      <c r="BO32" s="47">
        <f t="shared" si="39"/>
        <v>0</v>
      </c>
      <c r="BP32" s="45"/>
      <c r="BQ32" s="48">
        <f t="shared" si="58"/>
        <v>0</v>
      </c>
      <c r="BR32" s="43"/>
      <c r="BS32" s="47">
        <f t="shared" si="40"/>
        <v>0</v>
      </c>
      <c r="BT32" s="45"/>
      <c r="BU32" s="48">
        <f t="shared" si="59"/>
        <v>0</v>
      </c>
      <c r="BV32" s="43"/>
      <c r="BW32" s="47">
        <f t="shared" si="41"/>
        <v>0</v>
      </c>
      <c r="BX32" s="45"/>
      <c r="BY32" s="48">
        <f t="shared" si="60"/>
        <v>0</v>
      </c>
      <c r="BZ32" s="43"/>
      <c r="CA32" s="47">
        <f t="shared" si="42"/>
        <v>0</v>
      </c>
      <c r="CB32" s="45"/>
      <c r="CC32" s="48">
        <f t="shared" si="61"/>
        <v>0</v>
      </c>
    </row>
    <row r="33" spans="1:81" ht="20.100000000000001" hidden="1" customHeight="1" x14ac:dyDescent="0.25">
      <c r="A33" s="65" t="s">
        <v>124</v>
      </c>
      <c r="B33" s="55" t="s">
        <v>7</v>
      </c>
      <c r="C33" s="56">
        <v>4</v>
      </c>
      <c r="D33" s="55" t="s">
        <v>9</v>
      </c>
      <c r="E33" s="66">
        <v>4</v>
      </c>
      <c r="F33" s="43"/>
      <c r="G33" s="47">
        <v>0</v>
      </c>
      <c r="H33" s="45"/>
      <c r="I33" s="48">
        <f t="shared" si="43"/>
        <v>0</v>
      </c>
      <c r="J33" s="43"/>
      <c r="K33" s="47">
        <f t="shared" si="31"/>
        <v>0</v>
      </c>
      <c r="L33" s="45"/>
      <c r="M33" s="48">
        <f t="shared" si="44"/>
        <v>0</v>
      </c>
      <c r="N33" s="43"/>
      <c r="O33" s="47">
        <f t="shared" si="32"/>
        <v>0</v>
      </c>
      <c r="P33" s="45"/>
      <c r="Q33" s="48">
        <f t="shared" si="45"/>
        <v>0</v>
      </c>
      <c r="R33" s="43"/>
      <c r="S33" s="47">
        <f t="shared" si="33"/>
        <v>0</v>
      </c>
      <c r="T33" s="45"/>
      <c r="U33" s="48">
        <f t="shared" si="46"/>
        <v>0</v>
      </c>
      <c r="V33" s="43"/>
      <c r="W33" s="47">
        <f t="shared" si="62"/>
        <v>0</v>
      </c>
      <c r="X33" s="45"/>
      <c r="Y33" s="48">
        <f t="shared" si="47"/>
        <v>0</v>
      </c>
      <c r="Z33" s="43"/>
      <c r="AA33" s="47">
        <f t="shared" si="30"/>
        <v>0</v>
      </c>
      <c r="AB33" s="45"/>
      <c r="AC33" s="48">
        <f t="shared" si="48"/>
        <v>0</v>
      </c>
      <c r="AD33" s="43"/>
      <c r="AE33" s="32">
        <f t="shared" si="22"/>
        <v>0</v>
      </c>
      <c r="AF33" s="45"/>
      <c r="AG33" s="48">
        <f t="shared" si="49"/>
        <v>0</v>
      </c>
      <c r="AH33" s="43"/>
      <c r="AI33" s="32">
        <f t="shared" si="23"/>
        <v>0</v>
      </c>
      <c r="AJ33" s="45"/>
      <c r="AK33" s="48">
        <f t="shared" si="50"/>
        <v>0</v>
      </c>
      <c r="AL33" s="43"/>
      <c r="AM33" s="32">
        <f t="shared" si="24"/>
        <v>0</v>
      </c>
      <c r="AN33" s="45"/>
      <c r="AO33" s="48">
        <f t="shared" si="51"/>
        <v>0</v>
      </c>
      <c r="AP33" s="43"/>
      <c r="AQ33" s="47">
        <f t="shared" si="34"/>
        <v>0</v>
      </c>
      <c r="AR33" s="45"/>
      <c r="AS33" s="48">
        <f t="shared" si="52"/>
        <v>0</v>
      </c>
      <c r="AT33" s="43"/>
      <c r="AU33" s="47">
        <f t="shared" si="35"/>
        <v>0</v>
      </c>
      <c r="AV33" s="45"/>
      <c r="AW33" s="48">
        <f t="shared" si="53"/>
        <v>0</v>
      </c>
      <c r="AX33" s="43"/>
      <c r="AY33" s="47">
        <f t="shared" si="36"/>
        <v>0</v>
      </c>
      <c r="AZ33" s="45"/>
      <c r="BA33" s="48">
        <f t="shared" si="54"/>
        <v>0</v>
      </c>
      <c r="BB33" s="43"/>
      <c r="BC33" s="32">
        <f t="shared" si="26"/>
        <v>0</v>
      </c>
      <c r="BD33" s="45"/>
      <c r="BE33" s="48">
        <f t="shared" si="55"/>
        <v>0</v>
      </c>
      <c r="BF33" s="43"/>
      <c r="BG33" s="47">
        <f t="shared" si="37"/>
        <v>0</v>
      </c>
      <c r="BH33" s="45"/>
      <c r="BI33" s="48">
        <f t="shared" si="56"/>
        <v>0</v>
      </c>
      <c r="BJ33" s="43"/>
      <c r="BK33" s="47">
        <f t="shared" si="38"/>
        <v>0</v>
      </c>
      <c r="BL33" s="45"/>
      <c r="BM33" s="48">
        <f t="shared" si="57"/>
        <v>0</v>
      </c>
      <c r="BN33" s="43"/>
      <c r="BO33" s="47">
        <f t="shared" si="39"/>
        <v>0</v>
      </c>
      <c r="BP33" s="45"/>
      <c r="BQ33" s="48">
        <f t="shared" si="58"/>
        <v>0</v>
      </c>
      <c r="BR33" s="43"/>
      <c r="BS33" s="47">
        <f t="shared" si="40"/>
        <v>0</v>
      </c>
      <c r="BT33" s="45"/>
      <c r="BU33" s="48">
        <f t="shared" si="59"/>
        <v>0</v>
      </c>
      <c r="BV33" s="43"/>
      <c r="BW33" s="47">
        <f t="shared" si="41"/>
        <v>0</v>
      </c>
      <c r="BX33" s="45"/>
      <c r="BY33" s="48">
        <f t="shared" si="60"/>
        <v>0</v>
      </c>
      <c r="BZ33" s="43"/>
      <c r="CA33" s="47">
        <f t="shared" si="42"/>
        <v>0</v>
      </c>
      <c r="CB33" s="45"/>
      <c r="CC33" s="48">
        <f t="shared" si="61"/>
        <v>0</v>
      </c>
    </row>
    <row r="34" spans="1:81" ht="20.100000000000001" hidden="1" customHeight="1" x14ac:dyDescent="0.25">
      <c r="A34" s="65" t="s">
        <v>125</v>
      </c>
      <c r="B34" s="55" t="s">
        <v>7</v>
      </c>
      <c r="C34" s="56">
        <v>4</v>
      </c>
      <c r="D34" s="55" t="s">
        <v>9</v>
      </c>
      <c r="E34" s="66">
        <v>4</v>
      </c>
      <c r="F34" s="43"/>
      <c r="G34" s="47">
        <v>0</v>
      </c>
      <c r="H34" s="45"/>
      <c r="I34" s="48">
        <f t="shared" si="43"/>
        <v>0</v>
      </c>
      <c r="J34" s="43"/>
      <c r="K34" s="47">
        <f t="shared" si="31"/>
        <v>0</v>
      </c>
      <c r="L34" s="45"/>
      <c r="M34" s="48">
        <f t="shared" si="44"/>
        <v>0</v>
      </c>
      <c r="N34" s="43"/>
      <c r="O34" s="47">
        <f t="shared" si="32"/>
        <v>0</v>
      </c>
      <c r="P34" s="45"/>
      <c r="Q34" s="48">
        <f t="shared" si="45"/>
        <v>0</v>
      </c>
      <c r="R34" s="43"/>
      <c r="S34" s="47">
        <f t="shared" si="33"/>
        <v>0</v>
      </c>
      <c r="T34" s="45"/>
      <c r="U34" s="48">
        <f t="shared" si="46"/>
        <v>0</v>
      </c>
      <c r="V34" s="43"/>
      <c r="W34" s="47">
        <f t="shared" si="62"/>
        <v>0</v>
      </c>
      <c r="X34" s="45"/>
      <c r="Y34" s="48">
        <f t="shared" si="47"/>
        <v>0</v>
      </c>
      <c r="Z34" s="43"/>
      <c r="AA34" s="47">
        <f t="shared" si="30"/>
        <v>0</v>
      </c>
      <c r="AB34" s="45"/>
      <c r="AC34" s="48">
        <f t="shared" si="48"/>
        <v>0</v>
      </c>
      <c r="AD34" s="43"/>
      <c r="AE34" s="32">
        <f t="shared" si="22"/>
        <v>0</v>
      </c>
      <c r="AF34" s="45"/>
      <c r="AG34" s="48">
        <f t="shared" si="49"/>
        <v>0</v>
      </c>
      <c r="AH34" s="43"/>
      <c r="AI34" s="32">
        <f t="shared" si="23"/>
        <v>0</v>
      </c>
      <c r="AJ34" s="45"/>
      <c r="AK34" s="48">
        <f t="shared" si="50"/>
        <v>0</v>
      </c>
      <c r="AL34" s="43"/>
      <c r="AM34" s="32">
        <f t="shared" si="24"/>
        <v>0</v>
      </c>
      <c r="AN34" s="45"/>
      <c r="AO34" s="48">
        <f t="shared" si="51"/>
        <v>0</v>
      </c>
      <c r="AP34" s="43"/>
      <c r="AQ34" s="47">
        <f t="shared" si="34"/>
        <v>0</v>
      </c>
      <c r="AR34" s="45"/>
      <c r="AS34" s="48">
        <f t="shared" si="52"/>
        <v>0</v>
      </c>
      <c r="AT34" s="43"/>
      <c r="AU34" s="47">
        <f t="shared" si="35"/>
        <v>0</v>
      </c>
      <c r="AV34" s="45"/>
      <c r="AW34" s="48">
        <f t="shared" si="53"/>
        <v>0</v>
      </c>
      <c r="AX34" s="43"/>
      <c r="AY34" s="47">
        <f t="shared" si="36"/>
        <v>0</v>
      </c>
      <c r="AZ34" s="45"/>
      <c r="BA34" s="48">
        <f t="shared" si="54"/>
        <v>0</v>
      </c>
      <c r="BB34" s="43"/>
      <c r="BC34" s="32">
        <f t="shared" si="26"/>
        <v>0</v>
      </c>
      <c r="BD34" s="45"/>
      <c r="BE34" s="48">
        <f t="shared" si="55"/>
        <v>0</v>
      </c>
      <c r="BF34" s="43"/>
      <c r="BG34" s="47">
        <f t="shared" si="37"/>
        <v>0</v>
      </c>
      <c r="BH34" s="45"/>
      <c r="BI34" s="48">
        <f t="shared" si="56"/>
        <v>0</v>
      </c>
      <c r="BJ34" s="43"/>
      <c r="BK34" s="47">
        <f t="shared" si="38"/>
        <v>0</v>
      </c>
      <c r="BL34" s="45"/>
      <c r="BM34" s="48">
        <f t="shared" si="57"/>
        <v>0</v>
      </c>
      <c r="BN34" s="43"/>
      <c r="BO34" s="47">
        <f t="shared" si="39"/>
        <v>0</v>
      </c>
      <c r="BP34" s="45"/>
      <c r="BQ34" s="48">
        <f t="shared" si="58"/>
        <v>0</v>
      </c>
      <c r="BR34" s="43"/>
      <c r="BS34" s="47">
        <f t="shared" si="40"/>
        <v>0</v>
      </c>
      <c r="BT34" s="45"/>
      <c r="BU34" s="48">
        <f t="shared" si="59"/>
        <v>0</v>
      </c>
      <c r="BV34" s="43"/>
      <c r="BW34" s="47">
        <f t="shared" si="41"/>
        <v>0</v>
      </c>
      <c r="BX34" s="45"/>
      <c r="BY34" s="48">
        <f t="shared" si="60"/>
        <v>0</v>
      </c>
      <c r="BZ34" s="43"/>
      <c r="CA34" s="47">
        <f t="shared" si="42"/>
        <v>0</v>
      </c>
      <c r="CB34" s="45"/>
      <c r="CC34" s="48">
        <f t="shared" si="61"/>
        <v>0</v>
      </c>
    </row>
    <row r="35" spans="1:81" ht="20.100000000000001" hidden="1" customHeight="1" x14ac:dyDescent="0.25">
      <c r="A35" s="12" t="s">
        <v>126</v>
      </c>
      <c r="B35" s="9" t="s">
        <v>7</v>
      </c>
      <c r="C35" s="10">
        <v>2</v>
      </c>
      <c r="D35" s="9" t="s">
        <v>9</v>
      </c>
      <c r="E35" s="13">
        <v>2</v>
      </c>
      <c r="F35" s="43">
        <v>4</v>
      </c>
      <c r="G35" s="47">
        <v>0</v>
      </c>
      <c r="H35" s="45"/>
      <c r="I35" s="48">
        <f t="shared" si="43"/>
        <v>4</v>
      </c>
      <c r="J35" s="43">
        <v>4</v>
      </c>
      <c r="K35" s="47">
        <f t="shared" si="31"/>
        <v>0</v>
      </c>
      <c r="L35" s="45"/>
      <c r="M35" s="48">
        <f t="shared" si="44"/>
        <v>4</v>
      </c>
      <c r="N35" s="43">
        <v>4</v>
      </c>
      <c r="O35" s="47">
        <f t="shared" si="32"/>
        <v>0</v>
      </c>
      <c r="P35" s="45"/>
      <c r="Q35" s="48">
        <f t="shared" si="45"/>
        <v>4</v>
      </c>
      <c r="R35" s="43">
        <v>4</v>
      </c>
      <c r="S35" s="47">
        <f t="shared" si="33"/>
        <v>0</v>
      </c>
      <c r="T35" s="45"/>
      <c r="U35" s="48">
        <f t="shared" si="46"/>
        <v>4</v>
      </c>
      <c r="V35" s="43">
        <v>4</v>
      </c>
      <c r="W35" s="47">
        <f t="shared" si="62"/>
        <v>0</v>
      </c>
      <c r="X35" s="45"/>
      <c r="Y35" s="48">
        <f t="shared" si="47"/>
        <v>4</v>
      </c>
      <c r="Z35" s="43">
        <v>4</v>
      </c>
      <c r="AA35" s="47">
        <f t="shared" si="30"/>
        <v>0</v>
      </c>
      <c r="AB35" s="49">
        <v>1</v>
      </c>
      <c r="AC35" s="48">
        <f t="shared" si="48"/>
        <v>6</v>
      </c>
      <c r="AD35" s="43">
        <v>6</v>
      </c>
      <c r="AE35" s="32">
        <f t="shared" si="22"/>
        <v>0</v>
      </c>
      <c r="AF35" s="45"/>
      <c r="AG35" s="48">
        <f t="shared" si="49"/>
        <v>6</v>
      </c>
      <c r="AH35" s="43">
        <v>6</v>
      </c>
      <c r="AI35" s="32">
        <f t="shared" si="23"/>
        <v>0</v>
      </c>
      <c r="AJ35" s="45"/>
      <c r="AK35" s="48">
        <f t="shared" si="50"/>
        <v>6</v>
      </c>
      <c r="AL35" s="43">
        <v>6</v>
      </c>
      <c r="AM35" s="32">
        <f t="shared" si="24"/>
        <v>0</v>
      </c>
      <c r="AN35" s="45"/>
      <c r="AO35" s="48">
        <f t="shared" si="51"/>
        <v>6</v>
      </c>
      <c r="AP35" s="43">
        <v>6</v>
      </c>
      <c r="AQ35" s="47">
        <f t="shared" si="34"/>
        <v>0</v>
      </c>
      <c r="AR35" s="45"/>
      <c r="AS35" s="48">
        <f t="shared" si="52"/>
        <v>6</v>
      </c>
      <c r="AT35" s="43">
        <v>6</v>
      </c>
      <c r="AU35" s="47">
        <f t="shared" si="35"/>
        <v>0</v>
      </c>
      <c r="AV35" s="45"/>
      <c r="AW35" s="48">
        <f t="shared" si="53"/>
        <v>6</v>
      </c>
      <c r="AX35" s="43">
        <v>6</v>
      </c>
      <c r="AY35" s="47">
        <f t="shared" si="36"/>
        <v>0</v>
      </c>
      <c r="AZ35" s="45"/>
      <c r="BA35" s="48">
        <f t="shared" si="54"/>
        <v>6</v>
      </c>
      <c r="BB35" s="43">
        <v>6</v>
      </c>
      <c r="BC35" s="32">
        <f t="shared" si="26"/>
        <v>0</v>
      </c>
      <c r="BD35" s="45"/>
      <c r="BE35" s="48">
        <f t="shared" si="55"/>
        <v>6</v>
      </c>
      <c r="BF35" s="43">
        <v>6</v>
      </c>
      <c r="BG35" s="47">
        <f t="shared" si="37"/>
        <v>0</v>
      </c>
      <c r="BH35" s="45"/>
      <c r="BI35" s="48">
        <f t="shared" si="56"/>
        <v>6</v>
      </c>
      <c r="BJ35" s="43">
        <v>6</v>
      </c>
      <c r="BK35" s="47">
        <f t="shared" si="38"/>
        <v>0</v>
      </c>
      <c r="BL35" s="45"/>
      <c r="BM35" s="48">
        <f t="shared" si="57"/>
        <v>6</v>
      </c>
      <c r="BN35" s="43"/>
      <c r="BO35" s="47">
        <f t="shared" si="39"/>
        <v>6</v>
      </c>
      <c r="BP35" s="45"/>
      <c r="BQ35" s="48">
        <f t="shared" si="58"/>
        <v>0</v>
      </c>
      <c r="BR35" s="43"/>
      <c r="BS35" s="47">
        <f t="shared" si="40"/>
        <v>0</v>
      </c>
      <c r="BT35" s="45"/>
      <c r="BU35" s="48">
        <f t="shared" si="59"/>
        <v>0</v>
      </c>
      <c r="BV35" s="43"/>
      <c r="BW35" s="47">
        <f t="shared" si="41"/>
        <v>0</v>
      </c>
      <c r="BX35" s="45"/>
      <c r="BY35" s="48">
        <f t="shared" si="60"/>
        <v>0</v>
      </c>
      <c r="BZ35" s="43"/>
      <c r="CA35" s="47">
        <f t="shared" si="42"/>
        <v>0</v>
      </c>
      <c r="CB35" s="45"/>
      <c r="CC35" s="48">
        <f t="shared" si="61"/>
        <v>0</v>
      </c>
    </row>
    <row r="36" spans="1:81" ht="20.100000000000001" hidden="1" customHeight="1" x14ac:dyDescent="0.25">
      <c r="A36" s="12" t="s">
        <v>127</v>
      </c>
      <c r="B36" s="9" t="s">
        <v>7</v>
      </c>
      <c r="C36" s="10">
        <v>1</v>
      </c>
      <c r="D36" s="9" t="s">
        <v>9</v>
      </c>
      <c r="E36" s="13">
        <v>1</v>
      </c>
      <c r="F36" s="43">
        <v>3</v>
      </c>
      <c r="G36" s="47">
        <v>0</v>
      </c>
      <c r="H36" s="45"/>
      <c r="I36" s="48">
        <f t="shared" si="43"/>
        <v>3</v>
      </c>
      <c r="J36" s="43">
        <v>3</v>
      </c>
      <c r="K36" s="47">
        <f t="shared" si="31"/>
        <v>0</v>
      </c>
      <c r="L36" s="45"/>
      <c r="M36" s="48">
        <f t="shared" si="44"/>
        <v>3</v>
      </c>
      <c r="N36" s="43">
        <v>2</v>
      </c>
      <c r="O36" s="47">
        <f t="shared" si="32"/>
        <v>1</v>
      </c>
      <c r="P36" s="45"/>
      <c r="Q36" s="48">
        <f t="shared" si="45"/>
        <v>2</v>
      </c>
      <c r="R36" s="43">
        <v>1</v>
      </c>
      <c r="S36" s="47">
        <f t="shared" si="33"/>
        <v>1</v>
      </c>
      <c r="T36" s="45">
        <v>2</v>
      </c>
      <c r="U36" s="48">
        <f t="shared" si="46"/>
        <v>3</v>
      </c>
      <c r="V36" s="43">
        <v>2.5</v>
      </c>
      <c r="W36" s="47">
        <f t="shared" si="62"/>
        <v>0.5</v>
      </c>
      <c r="X36" s="49">
        <v>1</v>
      </c>
      <c r="Y36" s="48">
        <f t="shared" si="47"/>
        <v>3.5</v>
      </c>
      <c r="Z36" s="43">
        <v>3</v>
      </c>
      <c r="AA36" s="47">
        <f t="shared" si="30"/>
        <v>0.5</v>
      </c>
      <c r="AB36" s="45"/>
      <c r="AC36" s="48">
        <f t="shared" si="48"/>
        <v>3</v>
      </c>
      <c r="AD36" s="43">
        <v>2</v>
      </c>
      <c r="AE36" s="32">
        <f t="shared" si="22"/>
        <v>1</v>
      </c>
      <c r="AF36" s="45">
        <v>1</v>
      </c>
      <c r="AG36" s="48">
        <f t="shared" si="49"/>
        <v>3</v>
      </c>
      <c r="AH36" s="43">
        <v>2</v>
      </c>
      <c r="AI36" s="32">
        <f t="shared" si="23"/>
        <v>1</v>
      </c>
      <c r="AJ36" s="45">
        <v>3</v>
      </c>
      <c r="AK36" s="48">
        <f t="shared" si="50"/>
        <v>5</v>
      </c>
      <c r="AL36" s="43">
        <v>5</v>
      </c>
      <c r="AM36" s="32">
        <f t="shared" si="24"/>
        <v>0</v>
      </c>
      <c r="AN36" s="45"/>
      <c r="AO36" s="48">
        <f t="shared" si="51"/>
        <v>5</v>
      </c>
      <c r="AP36" s="43">
        <v>3</v>
      </c>
      <c r="AQ36" s="47">
        <f t="shared" si="34"/>
        <v>2</v>
      </c>
      <c r="AR36" s="45">
        <v>1</v>
      </c>
      <c r="AS36" s="48">
        <f t="shared" si="52"/>
        <v>4</v>
      </c>
      <c r="AT36" s="43">
        <v>4</v>
      </c>
      <c r="AU36" s="47">
        <f t="shared" si="35"/>
        <v>0</v>
      </c>
      <c r="AV36" s="45"/>
      <c r="AW36" s="48">
        <f t="shared" si="53"/>
        <v>4</v>
      </c>
      <c r="AX36" s="43">
        <v>3</v>
      </c>
      <c r="AY36" s="47">
        <f t="shared" si="36"/>
        <v>1</v>
      </c>
      <c r="AZ36" s="45">
        <v>1</v>
      </c>
      <c r="BA36" s="48">
        <f t="shared" si="54"/>
        <v>4</v>
      </c>
      <c r="BB36" s="43">
        <v>4</v>
      </c>
      <c r="BC36" s="32">
        <f t="shared" si="26"/>
        <v>0</v>
      </c>
      <c r="BD36" s="45"/>
      <c r="BE36" s="48">
        <f t="shared" si="55"/>
        <v>4</v>
      </c>
      <c r="BF36" s="43">
        <v>4</v>
      </c>
      <c r="BG36" s="47">
        <f t="shared" si="37"/>
        <v>0</v>
      </c>
      <c r="BH36" s="45"/>
      <c r="BI36" s="48">
        <f t="shared" si="56"/>
        <v>4</v>
      </c>
      <c r="BJ36" s="43">
        <v>4</v>
      </c>
      <c r="BK36" s="47">
        <f t="shared" si="38"/>
        <v>0</v>
      </c>
      <c r="BL36" s="45"/>
      <c r="BM36" s="48">
        <f t="shared" si="57"/>
        <v>4</v>
      </c>
      <c r="BN36" s="43"/>
      <c r="BO36" s="47">
        <f t="shared" si="39"/>
        <v>4</v>
      </c>
      <c r="BP36" s="45"/>
      <c r="BQ36" s="48">
        <f t="shared" si="58"/>
        <v>0</v>
      </c>
      <c r="BR36" s="43"/>
      <c r="BS36" s="47">
        <f t="shared" si="40"/>
        <v>0</v>
      </c>
      <c r="BT36" s="45"/>
      <c r="BU36" s="48">
        <f t="shared" si="59"/>
        <v>0</v>
      </c>
      <c r="BV36" s="43"/>
      <c r="BW36" s="47">
        <f t="shared" si="41"/>
        <v>0</v>
      </c>
      <c r="BX36" s="45"/>
      <c r="BY36" s="48">
        <f t="shared" si="60"/>
        <v>0</v>
      </c>
      <c r="BZ36" s="43"/>
      <c r="CA36" s="47">
        <f t="shared" si="42"/>
        <v>0</v>
      </c>
      <c r="CB36" s="45"/>
      <c r="CC36" s="48">
        <f t="shared" si="61"/>
        <v>0</v>
      </c>
    </row>
    <row r="37" spans="1:81" ht="20.100000000000001" hidden="1" customHeight="1" x14ac:dyDescent="0.25">
      <c r="A37" s="12" t="s">
        <v>297</v>
      </c>
      <c r="B37" s="9" t="s">
        <v>106</v>
      </c>
      <c r="C37" s="10">
        <v>500</v>
      </c>
      <c r="D37" s="9" t="s">
        <v>9</v>
      </c>
      <c r="E37" s="13">
        <v>500</v>
      </c>
      <c r="F37" s="43">
        <v>1</v>
      </c>
      <c r="G37" s="47">
        <v>0</v>
      </c>
      <c r="H37" s="45"/>
      <c r="I37" s="48">
        <f t="shared" si="43"/>
        <v>1</v>
      </c>
      <c r="J37" s="43">
        <v>1</v>
      </c>
      <c r="K37" s="47">
        <f t="shared" si="31"/>
        <v>0</v>
      </c>
      <c r="L37" s="45"/>
      <c r="M37" s="48">
        <f t="shared" si="44"/>
        <v>1</v>
      </c>
      <c r="N37" s="43">
        <v>1</v>
      </c>
      <c r="O37" s="47">
        <f t="shared" si="32"/>
        <v>0</v>
      </c>
      <c r="P37" s="45"/>
      <c r="Q37" s="48">
        <f t="shared" si="45"/>
        <v>1</v>
      </c>
      <c r="R37" s="43">
        <v>1</v>
      </c>
      <c r="S37" s="47">
        <f t="shared" si="33"/>
        <v>0</v>
      </c>
      <c r="T37" s="45"/>
      <c r="U37" s="48">
        <f t="shared" si="46"/>
        <v>1</v>
      </c>
      <c r="V37" s="43">
        <v>1</v>
      </c>
      <c r="W37" s="47">
        <f t="shared" si="62"/>
        <v>0</v>
      </c>
      <c r="X37" s="45"/>
      <c r="Y37" s="48">
        <f t="shared" si="47"/>
        <v>1</v>
      </c>
      <c r="Z37" s="43">
        <v>1</v>
      </c>
      <c r="AA37" s="47">
        <f t="shared" si="30"/>
        <v>0</v>
      </c>
      <c r="AB37" s="45"/>
      <c r="AC37" s="48">
        <f t="shared" si="48"/>
        <v>1</v>
      </c>
      <c r="AD37" s="43">
        <v>1</v>
      </c>
      <c r="AE37" s="32">
        <f t="shared" si="22"/>
        <v>0</v>
      </c>
      <c r="AF37" s="45"/>
      <c r="AG37" s="48">
        <f t="shared" si="49"/>
        <v>1</v>
      </c>
      <c r="AH37" s="43">
        <v>1</v>
      </c>
      <c r="AI37" s="32">
        <f t="shared" si="23"/>
        <v>0</v>
      </c>
      <c r="AJ37" s="45"/>
      <c r="AK37" s="48">
        <f t="shared" si="50"/>
        <v>1</v>
      </c>
      <c r="AL37" s="43">
        <v>1</v>
      </c>
      <c r="AM37" s="32">
        <f t="shared" si="24"/>
        <v>0</v>
      </c>
      <c r="AN37" s="45"/>
      <c r="AO37" s="48">
        <f t="shared" si="51"/>
        <v>1</v>
      </c>
      <c r="AP37" s="43">
        <v>1</v>
      </c>
      <c r="AQ37" s="47">
        <f t="shared" si="34"/>
        <v>0</v>
      </c>
      <c r="AR37" s="45"/>
      <c r="AS37" s="48">
        <f t="shared" si="52"/>
        <v>1</v>
      </c>
      <c r="AT37" s="43">
        <v>1</v>
      </c>
      <c r="AU37" s="47">
        <f t="shared" si="35"/>
        <v>0</v>
      </c>
      <c r="AV37" s="45"/>
      <c r="AW37" s="48">
        <f t="shared" si="53"/>
        <v>1</v>
      </c>
      <c r="AX37" s="43">
        <v>1</v>
      </c>
      <c r="AY37" s="47">
        <f t="shared" si="36"/>
        <v>0</v>
      </c>
      <c r="AZ37" s="45"/>
      <c r="BA37" s="48">
        <f t="shared" si="54"/>
        <v>1</v>
      </c>
      <c r="BB37" s="43">
        <v>1</v>
      </c>
      <c r="BC37" s="32">
        <f t="shared" si="26"/>
        <v>0</v>
      </c>
      <c r="BD37" s="45"/>
      <c r="BE37" s="48">
        <f t="shared" si="55"/>
        <v>1</v>
      </c>
      <c r="BF37" s="43">
        <v>1</v>
      </c>
      <c r="BG37" s="47">
        <f t="shared" si="37"/>
        <v>0</v>
      </c>
      <c r="BH37" s="45"/>
      <c r="BI37" s="48">
        <f t="shared" si="56"/>
        <v>1</v>
      </c>
      <c r="BJ37" s="43">
        <v>1</v>
      </c>
      <c r="BK37" s="47">
        <f t="shared" si="38"/>
        <v>0</v>
      </c>
      <c r="BL37" s="45"/>
      <c r="BM37" s="48">
        <f t="shared" si="57"/>
        <v>1</v>
      </c>
      <c r="BN37" s="43"/>
      <c r="BO37" s="47">
        <f t="shared" si="39"/>
        <v>1</v>
      </c>
      <c r="BP37" s="45"/>
      <c r="BQ37" s="48">
        <f t="shared" si="58"/>
        <v>0</v>
      </c>
      <c r="BR37" s="43"/>
      <c r="BS37" s="47">
        <f t="shared" si="40"/>
        <v>0</v>
      </c>
      <c r="BT37" s="45"/>
      <c r="BU37" s="48">
        <f t="shared" si="59"/>
        <v>0</v>
      </c>
      <c r="BV37" s="43"/>
      <c r="BW37" s="47">
        <f t="shared" si="41"/>
        <v>0</v>
      </c>
      <c r="BX37" s="45"/>
      <c r="BY37" s="48">
        <f t="shared" si="60"/>
        <v>0</v>
      </c>
      <c r="BZ37" s="43"/>
      <c r="CA37" s="47">
        <f t="shared" si="42"/>
        <v>0</v>
      </c>
      <c r="CB37" s="45"/>
      <c r="CC37" s="48">
        <f t="shared" si="61"/>
        <v>0</v>
      </c>
    </row>
    <row r="38" spans="1:81" ht="20.100000000000001" hidden="1" customHeight="1" x14ac:dyDescent="0.25">
      <c r="A38" s="67" t="s">
        <v>298</v>
      </c>
      <c r="B38" s="57" t="s">
        <v>106</v>
      </c>
      <c r="C38" s="58">
        <v>1</v>
      </c>
      <c r="D38" s="57" t="s">
        <v>9</v>
      </c>
      <c r="E38" s="68"/>
      <c r="F38" s="43"/>
      <c r="G38" s="47">
        <v>0</v>
      </c>
      <c r="H38" s="45"/>
      <c r="I38" s="48">
        <f t="shared" si="43"/>
        <v>0</v>
      </c>
      <c r="J38" s="43"/>
      <c r="K38" s="47">
        <f t="shared" si="31"/>
        <v>0</v>
      </c>
      <c r="L38" s="45"/>
      <c r="M38" s="48">
        <f t="shared" si="44"/>
        <v>0</v>
      </c>
      <c r="N38" s="43"/>
      <c r="O38" s="47">
        <f t="shared" si="32"/>
        <v>0</v>
      </c>
      <c r="P38" s="45"/>
      <c r="Q38" s="48">
        <f t="shared" si="45"/>
        <v>0</v>
      </c>
      <c r="R38" s="43"/>
      <c r="S38" s="47">
        <f t="shared" si="33"/>
        <v>0</v>
      </c>
      <c r="T38" s="45"/>
      <c r="U38" s="48">
        <f t="shared" si="46"/>
        <v>0</v>
      </c>
      <c r="V38" s="43"/>
      <c r="W38" s="47">
        <f t="shared" si="62"/>
        <v>0</v>
      </c>
      <c r="X38" s="45"/>
      <c r="Y38" s="48">
        <f t="shared" si="47"/>
        <v>0</v>
      </c>
      <c r="Z38" s="43"/>
      <c r="AA38" s="47">
        <f t="shared" si="30"/>
        <v>0</v>
      </c>
      <c r="AB38" s="45"/>
      <c r="AC38" s="48">
        <f t="shared" si="48"/>
        <v>0</v>
      </c>
      <c r="AD38" s="43"/>
      <c r="AE38" s="32">
        <f t="shared" si="22"/>
        <v>0</v>
      </c>
      <c r="AF38" s="45"/>
      <c r="AG38" s="48">
        <f t="shared" si="49"/>
        <v>0</v>
      </c>
      <c r="AH38" s="43"/>
      <c r="AI38" s="32">
        <f t="shared" si="23"/>
        <v>0</v>
      </c>
      <c r="AJ38" s="45"/>
      <c r="AK38" s="48">
        <f t="shared" si="50"/>
        <v>0</v>
      </c>
      <c r="AL38" s="43"/>
      <c r="AM38" s="32">
        <f t="shared" si="24"/>
        <v>0</v>
      </c>
      <c r="AN38" s="45"/>
      <c r="AO38" s="48">
        <f t="shared" si="51"/>
        <v>0</v>
      </c>
      <c r="AP38" s="43"/>
      <c r="AQ38" s="47">
        <f t="shared" si="34"/>
        <v>0</v>
      </c>
      <c r="AR38" s="45"/>
      <c r="AS38" s="48">
        <f t="shared" si="52"/>
        <v>0</v>
      </c>
      <c r="AT38" s="43"/>
      <c r="AU38" s="47">
        <f t="shared" si="35"/>
        <v>0</v>
      </c>
      <c r="AV38" s="45"/>
      <c r="AW38" s="48">
        <f t="shared" si="53"/>
        <v>0</v>
      </c>
      <c r="AX38" s="43"/>
      <c r="AY38" s="47">
        <f t="shared" si="36"/>
        <v>0</v>
      </c>
      <c r="AZ38" s="45"/>
      <c r="BA38" s="48">
        <f t="shared" si="54"/>
        <v>0</v>
      </c>
      <c r="BB38" s="43"/>
      <c r="BC38" s="32">
        <f t="shared" si="26"/>
        <v>0</v>
      </c>
      <c r="BD38" s="45"/>
      <c r="BE38" s="48">
        <f t="shared" si="55"/>
        <v>0</v>
      </c>
      <c r="BF38" s="43"/>
      <c r="BG38" s="47">
        <f t="shared" si="37"/>
        <v>0</v>
      </c>
      <c r="BH38" s="45"/>
      <c r="BI38" s="48">
        <f t="shared" si="56"/>
        <v>0</v>
      </c>
      <c r="BJ38" s="43"/>
      <c r="BK38" s="47">
        <f t="shared" si="38"/>
        <v>0</v>
      </c>
      <c r="BL38" s="45"/>
      <c r="BM38" s="48">
        <f t="shared" si="57"/>
        <v>0</v>
      </c>
      <c r="BN38" s="43"/>
      <c r="BO38" s="47">
        <f t="shared" si="39"/>
        <v>0</v>
      </c>
      <c r="BP38" s="45"/>
      <c r="BQ38" s="48">
        <f t="shared" si="58"/>
        <v>0</v>
      </c>
      <c r="BR38" s="43"/>
      <c r="BS38" s="47">
        <f t="shared" si="40"/>
        <v>0</v>
      </c>
      <c r="BT38" s="45"/>
      <c r="BU38" s="48">
        <f t="shared" si="59"/>
        <v>0</v>
      </c>
      <c r="BV38" s="43"/>
      <c r="BW38" s="47">
        <f t="shared" si="41"/>
        <v>0</v>
      </c>
      <c r="BX38" s="45"/>
      <c r="BY38" s="48">
        <f t="shared" si="60"/>
        <v>0</v>
      </c>
      <c r="BZ38" s="43"/>
      <c r="CA38" s="47">
        <f t="shared" si="42"/>
        <v>0</v>
      </c>
      <c r="CB38" s="45"/>
      <c r="CC38" s="48">
        <f t="shared" si="61"/>
        <v>0</v>
      </c>
    </row>
    <row r="39" spans="1:81" ht="20.100000000000001" hidden="1" customHeight="1" x14ac:dyDescent="0.25">
      <c r="A39" s="67" t="s">
        <v>299</v>
      </c>
      <c r="B39" s="57" t="s">
        <v>106</v>
      </c>
      <c r="C39" s="58">
        <v>1</v>
      </c>
      <c r="D39" s="57" t="s">
        <v>9</v>
      </c>
      <c r="E39" s="68"/>
      <c r="F39" s="43"/>
      <c r="G39" s="47">
        <v>0</v>
      </c>
      <c r="H39" s="45"/>
      <c r="I39" s="48">
        <f t="shared" si="43"/>
        <v>0</v>
      </c>
      <c r="J39" s="43"/>
      <c r="K39" s="47">
        <f t="shared" si="31"/>
        <v>0</v>
      </c>
      <c r="L39" s="45"/>
      <c r="M39" s="48">
        <f t="shared" si="44"/>
        <v>0</v>
      </c>
      <c r="N39" s="43"/>
      <c r="O39" s="47">
        <f t="shared" si="32"/>
        <v>0</v>
      </c>
      <c r="P39" s="45"/>
      <c r="Q39" s="48">
        <f t="shared" si="45"/>
        <v>0</v>
      </c>
      <c r="R39" s="43"/>
      <c r="S39" s="47">
        <f t="shared" si="33"/>
        <v>0</v>
      </c>
      <c r="T39" s="45"/>
      <c r="U39" s="48">
        <f t="shared" si="46"/>
        <v>0</v>
      </c>
      <c r="V39" s="43"/>
      <c r="W39" s="47">
        <f t="shared" si="62"/>
        <v>0</v>
      </c>
      <c r="X39" s="45"/>
      <c r="Y39" s="48">
        <f t="shared" si="47"/>
        <v>0</v>
      </c>
      <c r="Z39" s="43"/>
      <c r="AA39" s="47">
        <f t="shared" si="30"/>
        <v>0</v>
      </c>
      <c r="AB39" s="45"/>
      <c r="AC39" s="48">
        <f t="shared" si="48"/>
        <v>0</v>
      </c>
      <c r="AD39" s="43"/>
      <c r="AE39" s="32">
        <f t="shared" si="22"/>
        <v>0</v>
      </c>
      <c r="AF39" s="45"/>
      <c r="AG39" s="48">
        <f t="shared" si="49"/>
        <v>0</v>
      </c>
      <c r="AH39" s="43"/>
      <c r="AI39" s="32">
        <f t="shared" si="23"/>
        <v>0</v>
      </c>
      <c r="AJ39" s="45"/>
      <c r="AK39" s="48">
        <f t="shared" si="50"/>
        <v>0</v>
      </c>
      <c r="AL39" s="43"/>
      <c r="AM39" s="32">
        <f t="shared" si="24"/>
        <v>0</v>
      </c>
      <c r="AN39" s="45"/>
      <c r="AO39" s="48">
        <f t="shared" si="51"/>
        <v>0</v>
      </c>
      <c r="AP39" s="43"/>
      <c r="AQ39" s="47">
        <f t="shared" si="34"/>
        <v>0</v>
      </c>
      <c r="AR39" s="45"/>
      <c r="AS39" s="48">
        <f t="shared" si="52"/>
        <v>0</v>
      </c>
      <c r="AT39" s="43"/>
      <c r="AU39" s="47">
        <f t="shared" si="35"/>
        <v>0</v>
      </c>
      <c r="AV39" s="45"/>
      <c r="AW39" s="48">
        <f t="shared" si="53"/>
        <v>0</v>
      </c>
      <c r="AX39" s="43"/>
      <c r="AY39" s="47">
        <f t="shared" si="36"/>
        <v>0</v>
      </c>
      <c r="AZ39" s="45"/>
      <c r="BA39" s="48">
        <f t="shared" si="54"/>
        <v>0</v>
      </c>
      <c r="BB39" s="43"/>
      <c r="BC39" s="32">
        <f t="shared" si="26"/>
        <v>0</v>
      </c>
      <c r="BD39" s="45"/>
      <c r="BE39" s="48">
        <f t="shared" si="55"/>
        <v>0</v>
      </c>
      <c r="BF39" s="43"/>
      <c r="BG39" s="47">
        <f t="shared" si="37"/>
        <v>0</v>
      </c>
      <c r="BH39" s="45"/>
      <c r="BI39" s="48">
        <f t="shared" si="56"/>
        <v>0</v>
      </c>
      <c r="BJ39" s="43"/>
      <c r="BK39" s="47">
        <f t="shared" si="38"/>
        <v>0</v>
      </c>
      <c r="BL39" s="45"/>
      <c r="BM39" s="48">
        <f t="shared" si="57"/>
        <v>0</v>
      </c>
      <c r="BN39" s="43"/>
      <c r="BO39" s="47">
        <f t="shared" si="39"/>
        <v>0</v>
      </c>
      <c r="BP39" s="45"/>
      <c r="BQ39" s="48">
        <f t="shared" si="58"/>
        <v>0</v>
      </c>
      <c r="BR39" s="43"/>
      <c r="BS39" s="47">
        <f t="shared" si="40"/>
        <v>0</v>
      </c>
      <c r="BT39" s="45"/>
      <c r="BU39" s="48">
        <f t="shared" si="59"/>
        <v>0</v>
      </c>
      <c r="BV39" s="43"/>
      <c r="BW39" s="47">
        <f t="shared" si="41"/>
        <v>0</v>
      </c>
      <c r="BX39" s="45"/>
      <c r="BY39" s="48">
        <f t="shared" si="60"/>
        <v>0</v>
      </c>
      <c r="BZ39" s="43"/>
      <c r="CA39" s="47">
        <f t="shared" si="42"/>
        <v>0</v>
      </c>
      <c r="CB39" s="45"/>
      <c r="CC39" s="48">
        <f t="shared" si="61"/>
        <v>0</v>
      </c>
    </row>
    <row r="40" spans="1:81" ht="20.100000000000001" hidden="1" customHeight="1" x14ac:dyDescent="0.25">
      <c r="A40" s="12" t="s">
        <v>300</v>
      </c>
      <c r="B40" s="9" t="s">
        <v>106</v>
      </c>
      <c r="C40" s="10">
        <v>200</v>
      </c>
      <c r="D40" s="9" t="s">
        <v>9</v>
      </c>
      <c r="E40" s="13">
        <v>200</v>
      </c>
      <c r="F40" s="43"/>
      <c r="G40" s="47">
        <v>0</v>
      </c>
      <c r="H40" s="45"/>
      <c r="I40" s="48">
        <f t="shared" si="43"/>
        <v>0</v>
      </c>
      <c r="J40" s="43"/>
      <c r="K40" s="47">
        <f t="shared" si="31"/>
        <v>0</v>
      </c>
      <c r="L40" s="45"/>
      <c r="M40" s="48">
        <f t="shared" si="44"/>
        <v>0</v>
      </c>
      <c r="N40" s="43">
        <v>0</v>
      </c>
      <c r="O40" s="47">
        <f t="shared" si="32"/>
        <v>0</v>
      </c>
      <c r="P40" s="45"/>
      <c r="Q40" s="48">
        <f t="shared" si="45"/>
        <v>0</v>
      </c>
      <c r="R40" s="43"/>
      <c r="S40" s="47">
        <f t="shared" si="33"/>
        <v>0</v>
      </c>
      <c r="T40" s="45"/>
      <c r="U40" s="48">
        <f t="shared" si="46"/>
        <v>0</v>
      </c>
      <c r="V40" s="43"/>
      <c r="W40" s="47">
        <f t="shared" si="62"/>
        <v>0</v>
      </c>
      <c r="X40" s="45"/>
      <c r="Y40" s="48">
        <f t="shared" si="47"/>
        <v>0</v>
      </c>
      <c r="Z40" s="43"/>
      <c r="AA40" s="47">
        <f t="shared" si="30"/>
        <v>0</v>
      </c>
      <c r="AB40" s="45"/>
      <c r="AC40" s="48">
        <f t="shared" si="48"/>
        <v>0</v>
      </c>
      <c r="AD40" s="43"/>
      <c r="AE40" s="32">
        <f t="shared" si="22"/>
        <v>0</v>
      </c>
      <c r="AF40" s="45"/>
      <c r="AG40" s="48">
        <f t="shared" si="49"/>
        <v>0</v>
      </c>
      <c r="AH40" s="43"/>
      <c r="AI40" s="32">
        <f t="shared" si="23"/>
        <v>0</v>
      </c>
      <c r="AJ40" s="45"/>
      <c r="AK40" s="48">
        <f t="shared" si="50"/>
        <v>0</v>
      </c>
      <c r="AL40" s="43"/>
      <c r="AM40" s="32">
        <f t="shared" si="24"/>
        <v>0</v>
      </c>
      <c r="AN40" s="45"/>
      <c r="AO40" s="48">
        <f t="shared" si="51"/>
        <v>0</v>
      </c>
      <c r="AP40" s="43"/>
      <c r="AQ40" s="47">
        <f t="shared" si="34"/>
        <v>0</v>
      </c>
      <c r="AR40" s="45"/>
      <c r="AS40" s="48">
        <f t="shared" si="52"/>
        <v>0</v>
      </c>
      <c r="AT40" s="43"/>
      <c r="AU40" s="47">
        <f t="shared" si="35"/>
        <v>0</v>
      </c>
      <c r="AV40" s="45"/>
      <c r="AW40" s="48">
        <f t="shared" si="53"/>
        <v>0</v>
      </c>
      <c r="AX40" s="43"/>
      <c r="AY40" s="47">
        <f t="shared" si="36"/>
        <v>0</v>
      </c>
      <c r="AZ40" s="45"/>
      <c r="BA40" s="48">
        <f t="shared" si="54"/>
        <v>0</v>
      </c>
      <c r="BB40" s="43"/>
      <c r="BC40" s="32">
        <f t="shared" si="26"/>
        <v>0</v>
      </c>
      <c r="BD40" s="45"/>
      <c r="BE40" s="48">
        <f t="shared" si="55"/>
        <v>0</v>
      </c>
      <c r="BF40" s="43"/>
      <c r="BG40" s="47">
        <f t="shared" si="37"/>
        <v>0</v>
      </c>
      <c r="BH40" s="45"/>
      <c r="BI40" s="48">
        <f t="shared" si="56"/>
        <v>0</v>
      </c>
      <c r="BJ40" s="43"/>
      <c r="BK40" s="47">
        <f t="shared" si="38"/>
        <v>0</v>
      </c>
      <c r="BL40" s="45"/>
      <c r="BM40" s="48">
        <f t="shared" si="57"/>
        <v>0</v>
      </c>
      <c r="BN40" s="43"/>
      <c r="BO40" s="47">
        <f t="shared" si="39"/>
        <v>0</v>
      </c>
      <c r="BP40" s="45"/>
      <c r="BQ40" s="48">
        <f t="shared" si="58"/>
        <v>0</v>
      </c>
      <c r="BR40" s="43"/>
      <c r="BS40" s="47">
        <f t="shared" si="40"/>
        <v>0</v>
      </c>
      <c r="BT40" s="45"/>
      <c r="BU40" s="48">
        <f t="shared" si="59"/>
        <v>0</v>
      </c>
      <c r="BV40" s="43"/>
      <c r="BW40" s="47">
        <f t="shared" si="41"/>
        <v>0</v>
      </c>
      <c r="BX40" s="45"/>
      <c r="BY40" s="48">
        <f t="shared" si="60"/>
        <v>0</v>
      </c>
      <c r="BZ40" s="43"/>
      <c r="CA40" s="47">
        <f t="shared" si="42"/>
        <v>0</v>
      </c>
      <c r="CB40" s="45"/>
      <c r="CC40" s="48">
        <f t="shared" si="61"/>
        <v>0</v>
      </c>
    </row>
    <row r="41" spans="1:81" ht="20.100000000000001" hidden="1" customHeight="1" x14ac:dyDescent="0.25">
      <c r="A41" s="12" t="s">
        <v>301</v>
      </c>
      <c r="B41" s="9" t="s">
        <v>106</v>
      </c>
      <c r="C41" s="10">
        <v>200</v>
      </c>
      <c r="D41" s="9" t="s">
        <v>9</v>
      </c>
      <c r="E41" s="13">
        <v>200</v>
      </c>
      <c r="F41" s="43">
        <v>180</v>
      </c>
      <c r="G41" s="47">
        <v>20</v>
      </c>
      <c r="H41" s="45"/>
      <c r="I41" s="48">
        <f t="shared" si="43"/>
        <v>180</v>
      </c>
      <c r="J41" s="43">
        <v>170</v>
      </c>
      <c r="K41" s="47">
        <f t="shared" si="31"/>
        <v>10</v>
      </c>
      <c r="L41" s="45"/>
      <c r="M41" s="48">
        <f t="shared" si="44"/>
        <v>170</v>
      </c>
      <c r="N41" s="43">
        <v>110</v>
      </c>
      <c r="O41" s="47">
        <f t="shared" si="32"/>
        <v>60</v>
      </c>
      <c r="P41" s="45">
        <v>1</v>
      </c>
      <c r="Q41" s="48">
        <f t="shared" si="45"/>
        <v>310</v>
      </c>
      <c r="R41" s="43">
        <v>57</v>
      </c>
      <c r="S41" s="47">
        <f t="shared" si="33"/>
        <v>253</v>
      </c>
      <c r="T41" s="45">
        <v>1</v>
      </c>
      <c r="U41" s="48">
        <f t="shared" si="46"/>
        <v>257</v>
      </c>
      <c r="V41" s="43">
        <v>220</v>
      </c>
      <c r="W41" s="47">
        <f t="shared" si="62"/>
        <v>37</v>
      </c>
      <c r="X41" s="45"/>
      <c r="Y41" s="48">
        <f t="shared" si="47"/>
        <v>220</v>
      </c>
      <c r="Z41" s="43">
        <v>200</v>
      </c>
      <c r="AA41" s="47">
        <f t="shared" si="30"/>
        <v>20</v>
      </c>
      <c r="AB41" s="45"/>
      <c r="AC41" s="48">
        <f t="shared" si="48"/>
        <v>200</v>
      </c>
      <c r="AD41" s="43">
        <v>195</v>
      </c>
      <c r="AE41" s="32">
        <f t="shared" si="22"/>
        <v>5</v>
      </c>
      <c r="AF41" s="45"/>
      <c r="AG41" s="48">
        <f t="shared" si="49"/>
        <v>195</v>
      </c>
      <c r="AH41" s="43">
        <v>175</v>
      </c>
      <c r="AI41" s="32">
        <f t="shared" si="23"/>
        <v>20</v>
      </c>
      <c r="AJ41" s="45">
        <v>1</v>
      </c>
      <c r="AK41" s="48">
        <f t="shared" si="50"/>
        <v>375</v>
      </c>
      <c r="AL41" s="43">
        <v>370</v>
      </c>
      <c r="AM41" s="32">
        <f t="shared" si="24"/>
        <v>5</v>
      </c>
      <c r="AN41" s="45"/>
      <c r="AO41" s="48">
        <f t="shared" si="51"/>
        <v>370</v>
      </c>
      <c r="AP41" s="43">
        <v>360</v>
      </c>
      <c r="AQ41" s="47">
        <f t="shared" si="34"/>
        <v>10</v>
      </c>
      <c r="AR41" s="45">
        <v>2</v>
      </c>
      <c r="AS41" s="48">
        <f t="shared" si="52"/>
        <v>760</v>
      </c>
      <c r="AT41" s="43">
        <v>750</v>
      </c>
      <c r="AU41" s="47">
        <f t="shared" si="35"/>
        <v>10</v>
      </c>
      <c r="AV41" s="45"/>
      <c r="AW41" s="48">
        <f t="shared" si="53"/>
        <v>750</v>
      </c>
      <c r="AX41" s="43">
        <v>730</v>
      </c>
      <c r="AY41" s="47">
        <f t="shared" si="36"/>
        <v>20</v>
      </c>
      <c r="AZ41" s="45"/>
      <c r="BA41" s="48">
        <f t="shared" si="54"/>
        <v>730</v>
      </c>
      <c r="BB41" s="43">
        <v>710</v>
      </c>
      <c r="BC41" s="32">
        <f t="shared" si="26"/>
        <v>20</v>
      </c>
      <c r="BD41" s="45"/>
      <c r="BE41" s="48">
        <f t="shared" si="55"/>
        <v>710</v>
      </c>
      <c r="BF41" s="43">
        <v>600</v>
      </c>
      <c r="BG41" s="47">
        <f t="shared" si="37"/>
        <v>110</v>
      </c>
      <c r="BH41" s="45"/>
      <c r="BI41" s="48">
        <f t="shared" si="56"/>
        <v>600</v>
      </c>
      <c r="BJ41" s="43">
        <v>400</v>
      </c>
      <c r="BK41" s="47">
        <f t="shared" si="38"/>
        <v>200</v>
      </c>
      <c r="BL41" s="45"/>
      <c r="BM41" s="48">
        <f t="shared" si="57"/>
        <v>400</v>
      </c>
      <c r="BN41" s="43"/>
      <c r="BO41" s="47">
        <f t="shared" si="39"/>
        <v>400</v>
      </c>
      <c r="BP41" s="45"/>
      <c r="BQ41" s="48">
        <f t="shared" si="58"/>
        <v>0</v>
      </c>
      <c r="BR41" s="43"/>
      <c r="BS41" s="47">
        <f t="shared" si="40"/>
        <v>0</v>
      </c>
      <c r="BT41" s="45"/>
      <c r="BU41" s="48">
        <f t="shared" si="59"/>
        <v>0</v>
      </c>
      <c r="BV41" s="43"/>
      <c r="BW41" s="47">
        <f t="shared" si="41"/>
        <v>0</v>
      </c>
      <c r="BX41" s="45"/>
      <c r="BY41" s="48">
        <f t="shared" si="60"/>
        <v>0</v>
      </c>
      <c r="BZ41" s="43"/>
      <c r="CA41" s="47">
        <f t="shared" si="42"/>
        <v>0</v>
      </c>
      <c r="CB41" s="45"/>
      <c r="CC41" s="48">
        <f t="shared" si="61"/>
        <v>0</v>
      </c>
    </row>
    <row r="42" spans="1:81" ht="20.100000000000001" hidden="1" customHeight="1" x14ac:dyDescent="0.25">
      <c r="A42" s="65" t="s">
        <v>128</v>
      </c>
      <c r="B42" s="55" t="s">
        <v>7</v>
      </c>
      <c r="C42" s="56">
        <v>1</v>
      </c>
      <c r="D42" s="55" t="s">
        <v>9</v>
      </c>
      <c r="E42" s="66">
        <v>10</v>
      </c>
      <c r="F42" s="43"/>
      <c r="G42" s="47">
        <v>0</v>
      </c>
      <c r="H42" s="45"/>
      <c r="I42" s="48">
        <f t="shared" si="43"/>
        <v>0</v>
      </c>
      <c r="J42" s="43"/>
      <c r="K42" s="47">
        <f t="shared" si="31"/>
        <v>0</v>
      </c>
      <c r="L42" s="45"/>
      <c r="M42" s="48">
        <f t="shared" si="44"/>
        <v>0</v>
      </c>
      <c r="N42" s="43"/>
      <c r="O42" s="47">
        <f t="shared" si="32"/>
        <v>0</v>
      </c>
      <c r="P42" s="45"/>
      <c r="Q42" s="48">
        <f t="shared" si="45"/>
        <v>0</v>
      </c>
      <c r="R42" s="43"/>
      <c r="S42" s="47">
        <f t="shared" si="33"/>
        <v>0</v>
      </c>
      <c r="T42" s="45"/>
      <c r="U42" s="48">
        <f t="shared" si="46"/>
        <v>0</v>
      </c>
      <c r="V42" s="43"/>
      <c r="W42" s="47">
        <f t="shared" si="62"/>
        <v>0</v>
      </c>
      <c r="X42" s="45"/>
      <c r="Y42" s="48">
        <f t="shared" si="47"/>
        <v>0</v>
      </c>
      <c r="Z42" s="43"/>
      <c r="AA42" s="47">
        <f t="shared" si="30"/>
        <v>0</v>
      </c>
      <c r="AB42" s="45"/>
      <c r="AC42" s="48">
        <f t="shared" si="48"/>
        <v>0</v>
      </c>
      <c r="AD42" s="43"/>
      <c r="AE42" s="32">
        <f t="shared" si="22"/>
        <v>0</v>
      </c>
      <c r="AF42" s="45"/>
      <c r="AG42" s="48">
        <f t="shared" si="49"/>
        <v>0</v>
      </c>
      <c r="AH42" s="43"/>
      <c r="AI42" s="32">
        <f t="shared" si="23"/>
        <v>0</v>
      </c>
      <c r="AJ42" s="45"/>
      <c r="AK42" s="48">
        <f t="shared" si="50"/>
        <v>0</v>
      </c>
      <c r="AL42" s="43"/>
      <c r="AM42" s="32">
        <f t="shared" si="24"/>
        <v>0</v>
      </c>
      <c r="AN42" s="45"/>
      <c r="AO42" s="48">
        <f t="shared" si="51"/>
        <v>0</v>
      </c>
      <c r="AP42" s="43"/>
      <c r="AQ42" s="47">
        <f t="shared" si="34"/>
        <v>0</v>
      </c>
      <c r="AR42" s="45"/>
      <c r="AS42" s="48">
        <f t="shared" si="52"/>
        <v>0</v>
      </c>
      <c r="AT42" s="43"/>
      <c r="AU42" s="47">
        <f t="shared" si="35"/>
        <v>0</v>
      </c>
      <c r="AV42" s="45"/>
      <c r="AW42" s="48">
        <f t="shared" si="53"/>
        <v>0</v>
      </c>
      <c r="AX42" s="43"/>
      <c r="AY42" s="47">
        <f t="shared" si="36"/>
        <v>0</v>
      </c>
      <c r="AZ42" s="45"/>
      <c r="BA42" s="48">
        <f t="shared" si="54"/>
        <v>0</v>
      </c>
      <c r="BB42" s="43"/>
      <c r="BC42" s="32">
        <f t="shared" si="26"/>
        <v>0</v>
      </c>
      <c r="BD42" s="45"/>
      <c r="BE42" s="48">
        <f t="shared" si="55"/>
        <v>0</v>
      </c>
      <c r="BF42" s="43"/>
      <c r="BG42" s="47">
        <f t="shared" si="37"/>
        <v>0</v>
      </c>
      <c r="BH42" s="45"/>
      <c r="BI42" s="48">
        <f t="shared" si="56"/>
        <v>0</v>
      </c>
      <c r="BJ42" s="43"/>
      <c r="BK42" s="47">
        <f t="shared" si="38"/>
        <v>0</v>
      </c>
      <c r="BL42" s="45"/>
      <c r="BM42" s="48">
        <f t="shared" si="57"/>
        <v>0</v>
      </c>
      <c r="BN42" s="43"/>
      <c r="BO42" s="47">
        <f t="shared" si="39"/>
        <v>0</v>
      </c>
      <c r="BP42" s="45"/>
      <c r="BQ42" s="48">
        <f t="shared" si="58"/>
        <v>0</v>
      </c>
      <c r="BR42" s="43"/>
      <c r="BS42" s="47">
        <f t="shared" si="40"/>
        <v>0</v>
      </c>
      <c r="BT42" s="45"/>
      <c r="BU42" s="48">
        <f t="shared" si="59"/>
        <v>0</v>
      </c>
      <c r="BV42" s="43"/>
      <c r="BW42" s="47">
        <f t="shared" si="41"/>
        <v>0</v>
      </c>
      <c r="BX42" s="45"/>
      <c r="BY42" s="48">
        <f t="shared" si="60"/>
        <v>0</v>
      </c>
      <c r="BZ42" s="43"/>
      <c r="CA42" s="47">
        <f t="shared" si="42"/>
        <v>0</v>
      </c>
      <c r="CB42" s="45"/>
      <c r="CC42" s="48">
        <f t="shared" si="61"/>
        <v>0</v>
      </c>
    </row>
    <row r="43" spans="1:81" ht="20.100000000000001" hidden="1" customHeight="1" x14ac:dyDescent="0.25">
      <c r="A43" s="67" t="s">
        <v>302</v>
      </c>
      <c r="B43" s="57" t="s">
        <v>106</v>
      </c>
      <c r="C43" s="58">
        <v>1</v>
      </c>
      <c r="D43" s="57" t="s">
        <v>9</v>
      </c>
      <c r="E43" s="68"/>
      <c r="F43" s="43"/>
      <c r="G43" s="47">
        <v>0</v>
      </c>
      <c r="H43" s="45"/>
      <c r="I43" s="48">
        <f t="shared" si="43"/>
        <v>0</v>
      </c>
      <c r="J43" s="43"/>
      <c r="K43" s="47">
        <f t="shared" si="31"/>
        <v>0</v>
      </c>
      <c r="L43" s="45"/>
      <c r="M43" s="48">
        <f t="shared" si="44"/>
        <v>0</v>
      </c>
      <c r="N43" s="43"/>
      <c r="O43" s="47">
        <f t="shared" si="32"/>
        <v>0</v>
      </c>
      <c r="P43" s="45"/>
      <c r="Q43" s="48">
        <f t="shared" si="45"/>
        <v>0</v>
      </c>
      <c r="R43" s="43"/>
      <c r="S43" s="47">
        <f t="shared" si="33"/>
        <v>0</v>
      </c>
      <c r="T43" s="45"/>
      <c r="U43" s="48">
        <f t="shared" si="46"/>
        <v>0</v>
      </c>
      <c r="V43" s="43"/>
      <c r="W43" s="47">
        <f t="shared" si="62"/>
        <v>0</v>
      </c>
      <c r="X43" s="45"/>
      <c r="Y43" s="48">
        <f t="shared" si="47"/>
        <v>0</v>
      </c>
      <c r="Z43" s="43"/>
      <c r="AA43" s="47">
        <f t="shared" si="30"/>
        <v>0</v>
      </c>
      <c r="AB43" s="45"/>
      <c r="AC43" s="48">
        <f t="shared" si="48"/>
        <v>0</v>
      </c>
      <c r="AD43" s="43"/>
      <c r="AE43" s="32">
        <f t="shared" si="22"/>
        <v>0</v>
      </c>
      <c r="AF43" s="45"/>
      <c r="AG43" s="48">
        <f t="shared" si="49"/>
        <v>0</v>
      </c>
      <c r="AH43" s="43"/>
      <c r="AI43" s="32">
        <f t="shared" si="23"/>
        <v>0</v>
      </c>
      <c r="AJ43" s="45"/>
      <c r="AK43" s="48">
        <f t="shared" si="50"/>
        <v>0</v>
      </c>
      <c r="AL43" s="43"/>
      <c r="AM43" s="32">
        <f t="shared" si="24"/>
        <v>0</v>
      </c>
      <c r="AN43" s="45"/>
      <c r="AO43" s="48">
        <f t="shared" si="51"/>
        <v>0</v>
      </c>
      <c r="AP43" s="43"/>
      <c r="AQ43" s="47">
        <f t="shared" si="34"/>
        <v>0</v>
      </c>
      <c r="AR43" s="45"/>
      <c r="AS43" s="48">
        <f t="shared" si="52"/>
        <v>0</v>
      </c>
      <c r="AT43" s="43"/>
      <c r="AU43" s="47">
        <f t="shared" si="35"/>
        <v>0</v>
      </c>
      <c r="AV43" s="45"/>
      <c r="AW43" s="48">
        <f t="shared" si="53"/>
        <v>0</v>
      </c>
      <c r="AX43" s="43"/>
      <c r="AY43" s="47">
        <f t="shared" si="36"/>
        <v>0</v>
      </c>
      <c r="AZ43" s="45"/>
      <c r="BA43" s="48">
        <f t="shared" si="54"/>
        <v>0</v>
      </c>
      <c r="BB43" s="43"/>
      <c r="BC43" s="32">
        <f t="shared" si="26"/>
        <v>0</v>
      </c>
      <c r="BD43" s="45"/>
      <c r="BE43" s="48">
        <f t="shared" si="55"/>
        <v>0</v>
      </c>
      <c r="BF43" s="43"/>
      <c r="BG43" s="47">
        <f t="shared" si="37"/>
        <v>0</v>
      </c>
      <c r="BH43" s="45"/>
      <c r="BI43" s="48">
        <f t="shared" si="56"/>
        <v>0</v>
      </c>
      <c r="BJ43" s="43"/>
      <c r="BK43" s="47">
        <f t="shared" si="38"/>
        <v>0</v>
      </c>
      <c r="BL43" s="45"/>
      <c r="BM43" s="48">
        <f t="shared" si="57"/>
        <v>0</v>
      </c>
      <c r="BN43" s="43"/>
      <c r="BO43" s="47">
        <f t="shared" si="39"/>
        <v>0</v>
      </c>
      <c r="BP43" s="45"/>
      <c r="BQ43" s="48">
        <f t="shared" si="58"/>
        <v>0</v>
      </c>
      <c r="BR43" s="43"/>
      <c r="BS43" s="47">
        <f t="shared" si="40"/>
        <v>0</v>
      </c>
      <c r="BT43" s="45"/>
      <c r="BU43" s="48">
        <f t="shared" si="59"/>
        <v>0</v>
      </c>
      <c r="BV43" s="43"/>
      <c r="BW43" s="47">
        <f t="shared" si="41"/>
        <v>0</v>
      </c>
      <c r="BX43" s="45"/>
      <c r="BY43" s="48">
        <f t="shared" si="60"/>
        <v>0</v>
      </c>
      <c r="BZ43" s="43"/>
      <c r="CA43" s="47">
        <f t="shared" si="42"/>
        <v>0</v>
      </c>
      <c r="CB43" s="45"/>
      <c r="CC43" s="48">
        <f t="shared" si="61"/>
        <v>0</v>
      </c>
    </row>
    <row r="44" spans="1:81" ht="20.100000000000001" hidden="1" customHeight="1" x14ac:dyDescent="0.25">
      <c r="A44" s="67" t="s">
        <v>303</v>
      </c>
      <c r="B44" s="57" t="s">
        <v>106</v>
      </c>
      <c r="C44" s="58">
        <v>1</v>
      </c>
      <c r="D44" s="57" t="s">
        <v>9</v>
      </c>
      <c r="E44" s="68"/>
      <c r="F44" s="43"/>
      <c r="G44" s="47">
        <v>0</v>
      </c>
      <c r="H44" s="45"/>
      <c r="I44" s="48">
        <f t="shared" si="43"/>
        <v>0</v>
      </c>
      <c r="J44" s="43"/>
      <c r="K44" s="47">
        <f t="shared" si="31"/>
        <v>0</v>
      </c>
      <c r="L44" s="45"/>
      <c r="M44" s="48">
        <f t="shared" si="44"/>
        <v>0</v>
      </c>
      <c r="N44" s="43"/>
      <c r="O44" s="47">
        <f t="shared" si="32"/>
        <v>0</v>
      </c>
      <c r="P44" s="45"/>
      <c r="Q44" s="48">
        <f t="shared" si="45"/>
        <v>0</v>
      </c>
      <c r="R44" s="43"/>
      <c r="S44" s="47">
        <f t="shared" si="33"/>
        <v>0</v>
      </c>
      <c r="T44" s="45"/>
      <c r="U44" s="48">
        <f t="shared" si="46"/>
        <v>0</v>
      </c>
      <c r="V44" s="43"/>
      <c r="W44" s="47">
        <f t="shared" si="62"/>
        <v>0</v>
      </c>
      <c r="X44" s="45"/>
      <c r="Y44" s="48">
        <f t="shared" si="47"/>
        <v>0</v>
      </c>
      <c r="Z44" s="43"/>
      <c r="AA44" s="47">
        <f t="shared" si="30"/>
        <v>0</v>
      </c>
      <c r="AB44" s="45"/>
      <c r="AC44" s="48">
        <f t="shared" si="48"/>
        <v>0</v>
      </c>
      <c r="AD44" s="43"/>
      <c r="AE44" s="32">
        <f t="shared" si="22"/>
        <v>0</v>
      </c>
      <c r="AF44" s="45"/>
      <c r="AG44" s="48">
        <f t="shared" si="49"/>
        <v>0</v>
      </c>
      <c r="AH44" s="43"/>
      <c r="AI44" s="32">
        <f t="shared" si="23"/>
        <v>0</v>
      </c>
      <c r="AJ44" s="45"/>
      <c r="AK44" s="48">
        <f t="shared" si="50"/>
        <v>0</v>
      </c>
      <c r="AL44" s="43"/>
      <c r="AM44" s="32">
        <f t="shared" si="24"/>
        <v>0</v>
      </c>
      <c r="AN44" s="45"/>
      <c r="AO44" s="48">
        <f t="shared" si="51"/>
        <v>0</v>
      </c>
      <c r="AP44" s="43"/>
      <c r="AQ44" s="47">
        <f t="shared" si="34"/>
        <v>0</v>
      </c>
      <c r="AR44" s="45"/>
      <c r="AS44" s="48">
        <f t="shared" si="52"/>
        <v>0</v>
      </c>
      <c r="AT44" s="43"/>
      <c r="AU44" s="47">
        <f t="shared" si="35"/>
        <v>0</v>
      </c>
      <c r="AV44" s="45"/>
      <c r="AW44" s="48">
        <f t="shared" si="53"/>
        <v>0</v>
      </c>
      <c r="AX44" s="43"/>
      <c r="AY44" s="47">
        <f t="shared" si="36"/>
        <v>0</v>
      </c>
      <c r="AZ44" s="45"/>
      <c r="BA44" s="48">
        <f t="shared" si="54"/>
        <v>0</v>
      </c>
      <c r="BB44" s="43"/>
      <c r="BC44" s="32">
        <f t="shared" si="26"/>
        <v>0</v>
      </c>
      <c r="BD44" s="45"/>
      <c r="BE44" s="48">
        <f t="shared" si="55"/>
        <v>0</v>
      </c>
      <c r="BF44" s="43"/>
      <c r="BG44" s="47">
        <f t="shared" si="37"/>
        <v>0</v>
      </c>
      <c r="BH44" s="45"/>
      <c r="BI44" s="48">
        <f t="shared" si="56"/>
        <v>0</v>
      </c>
      <c r="BJ44" s="43"/>
      <c r="BK44" s="47">
        <f t="shared" si="38"/>
        <v>0</v>
      </c>
      <c r="BL44" s="45"/>
      <c r="BM44" s="48">
        <f t="shared" si="57"/>
        <v>0</v>
      </c>
      <c r="BN44" s="43"/>
      <c r="BO44" s="47">
        <f t="shared" si="39"/>
        <v>0</v>
      </c>
      <c r="BP44" s="45"/>
      <c r="BQ44" s="48">
        <f t="shared" si="58"/>
        <v>0</v>
      </c>
      <c r="BR44" s="43"/>
      <c r="BS44" s="47">
        <f t="shared" si="40"/>
        <v>0</v>
      </c>
      <c r="BT44" s="45"/>
      <c r="BU44" s="48">
        <f t="shared" si="59"/>
        <v>0</v>
      </c>
      <c r="BV44" s="43"/>
      <c r="BW44" s="47">
        <f t="shared" si="41"/>
        <v>0</v>
      </c>
      <c r="BX44" s="45"/>
      <c r="BY44" s="48">
        <f t="shared" si="60"/>
        <v>0</v>
      </c>
      <c r="BZ44" s="43"/>
      <c r="CA44" s="47">
        <f t="shared" si="42"/>
        <v>0</v>
      </c>
      <c r="CB44" s="45"/>
      <c r="CC44" s="48">
        <f t="shared" si="61"/>
        <v>0</v>
      </c>
    </row>
    <row r="45" spans="1:81" ht="20.100000000000001" hidden="1" customHeight="1" x14ac:dyDescent="0.25">
      <c r="A45" s="67" t="s">
        <v>304</v>
      </c>
      <c r="B45" s="57" t="s">
        <v>106</v>
      </c>
      <c r="C45" s="58">
        <v>1</v>
      </c>
      <c r="D45" s="57" t="s">
        <v>9</v>
      </c>
      <c r="E45" s="68"/>
      <c r="F45" s="43"/>
      <c r="G45" s="47"/>
      <c r="H45" s="45"/>
      <c r="I45" s="48">
        <f t="shared" si="43"/>
        <v>0</v>
      </c>
      <c r="J45" s="43"/>
      <c r="K45" s="47"/>
      <c r="L45" s="45"/>
      <c r="M45" s="48">
        <f t="shared" si="44"/>
        <v>0</v>
      </c>
      <c r="N45" s="43"/>
      <c r="O45" s="47"/>
      <c r="P45" s="45"/>
      <c r="Q45" s="48">
        <f t="shared" si="45"/>
        <v>0</v>
      </c>
      <c r="R45" s="43"/>
      <c r="S45" s="47"/>
      <c r="T45" s="45"/>
      <c r="U45" s="48">
        <f t="shared" si="46"/>
        <v>0</v>
      </c>
      <c r="V45" s="43"/>
      <c r="W45" s="47"/>
      <c r="X45" s="45"/>
      <c r="Y45" s="48">
        <f t="shared" si="47"/>
        <v>0</v>
      </c>
      <c r="Z45" s="43"/>
      <c r="AA45" s="47">
        <f t="shared" si="30"/>
        <v>0</v>
      </c>
      <c r="AB45" s="45"/>
      <c r="AC45" s="48">
        <f t="shared" si="48"/>
        <v>0</v>
      </c>
      <c r="AD45" s="43"/>
      <c r="AE45" s="32">
        <f t="shared" si="22"/>
        <v>0</v>
      </c>
      <c r="AF45" s="45"/>
      <c r="AG45" s="48">
        <f t="shared" si="49"/>
        <v>0</v>
      </c>
      <c r="AH45" s="43"/>
      <c r="AI45" s="32">
        <f t="shared" si="23"/>
        <v>0</v>
      </c>
      <c r="AJ45" s="45"/>
      <c r="AK45" s="48">
        <f t="shared" si="50"/>
        <v>0</v>
      </c>
      <c r="AL45" s="43"/>
      <c r="AM45" s="32">
        <f t="shared" si="24"/>
        <v>0</v>
      </c>
      <c r="AN45" s="45"/>
      <c r="AO45" s="48">
        <f t="shared" si="51"/>
        <v>0</v>
      </c>
      <c r="AP45" s="43"/>
      <c r="AQ45" s="47"/>
      <c r="AR45" s="45"/>
      <c r="AS45" s="48">
        <f t="shared" si="52"/>
        <v>0</v>
      </c>
      <c r="AT45" s="43"/>
      <c r="AU45" s="47">
        <f t="shared" si="35"/>
        <v>0</v>
      </c>
      <c r="AV45" s="45"/>
      <c r="AW45" s="48">
        <f t="shared" si="53"/>
        <v>0</v>
      </c>
      <c r="AX45" s="43"/>
      <c r="AY45" s="47">
        <f t="shared" si="36"/>
        <v>0</v>
      </c>
      <c r="AZ45" s="45"/>
      <c r="BA45" s="48">
        <f t="shared" si="54"/>
        <v>0</v>
      </c>
      <c r="BB45" s="43"/>
      <c r="BC45" s="32">
        <f t="shared" si="26"/>
        <v>0</v>
      </c>
      <c r="BD45" s="45"/>
      <c r="BE45" s="48">
        <f t="shared" si="55"/>
        <v>0</v>
      </c>
      <c r="BF45" s="43"/>
      <c r="BG45" s="47"/>
      <c r="BH45" s="45"/>
      <c r="BI45" s="48">
        <f t="shared" si="56"/>
        <v>0</v>
      </c>
      <c r="BJ45" s="43"/>
      <c r="BK45" s="47"/>
      <c r="BL45" s="45"/>
      <c r="BM45" s="48">
        <f t="shared" si="57"/>
        <v>0</v>
      </c>
      <c r="BN45" s="43"/>
      <c r="BO45" s="47"/>
      <c r="BP45" s="45"/>
      <c r="BQ45" s="48">
        <f t="shared" si="58"/>
        <v>0</v>
      </c>
      <c r="BR45" s="43"/>
      <c r="BS45" s="47"/>
      <c r="BT45" s="45"/>
      <c r="BU45" s="48">
        <f t="shared" si="59"/>
        <v>0</v>
      </c>
      <c r="BV45" s="43"/>
      <c r="BW45" s="47"/>
      <c r="BX45" s="45"/>
      <c r="BY45" s="48">
        <f t="shared" si="60"/>
        <v>0</v>
      </c>
      <c r="BZ45" s="43"/>
      <c r="CA45" s="47"/>
      <c r="CB45" s="45"/>
      <c r="CC45" s="48">
        <f t="shared" si="61"/>
        <v>0</v>
      </c>
    </row>
    <row r="46" spans="1:81" ht="20.100000000000001" hidden="1" customHeight="1" x14ac:dyDescent="0.25">
      <c r="A46" s="12" t="s">
        <v>353</v>
      </c>
      <c r="B46" s="9" t="s">
        <v>106</v>
      </c>
      <c r="C46" s="10">
        <v>50</v>
      </c>
      <c r="D46" s="9" t="s">
        <v>9</v>
      </c>
      <c r="E46" s="13">
        <v>50</v>
      </c>
      <c r="F46" s="43">
        <f>4*50+30</f>
        <v>230</v>
      </c>
      <c r="G46" s="47">
        <v>70</v>
      </c>
      <c r="H46" s="45">
        <v>1</v>
      </c>
      <c r="I46" s="48">
        <f t="shared" si="43"/>
        <v>280</v>
      </c>
      <c r="J46" s="43">
        <f>5*50</f>
        <v>250</v>
      </c>
      <c r="K46" s="47">
        <f t="shared" ref="K46:K51" si="63">+I46-J46</f>
        <v>30</v>
      </c>
      <c r="L46" s="45"/>
      <c r="M46" s="48">
        <f t="shared" si="44"/>
        <v>250</v>
      </c>
      <c r="N46" s="43">
        <v>250</v>
      </c>
      <c r="O46" s="47">
        <f t="shared" ref="O46:O51" si="64">+M46-N46</f>
        <v>0</v>
      </c>
      <c r="P46" s="45"/>
      <c r="Q46" s="48">
        <f t="shared" si="45"/>
        <v>250</v>
      </c>
      <c r="R46" s="43">
        <v>230</v>
      </c>
      <c r="S46" s="47">
        <f t="shared" ref="S46:S51" si="65">+Q46-R46</f>
        <v>20</v>
      </c>
      <c r="T46" s="45"/>
      <c r="U46" s="48">
        <f t="shared" si="46"/>
        <v>230</v>
      </c>
      <c r="V46" s="43">
        <v>130</v>
      </c>
      <c r="W46" s="47">
        <f t="shared" ref="W46:W70" si="66">+U46-V46</f>
        <v>100</v>
      </c>
      <c r="X46" s="49">
        <v>1</v>
      </c>
      <c r="Y46" s="48">
        <f t="shared" si="47"/>
        <v>180</v>
      </c>
      <c r="Z46" s="43">
        <v>125</v>
      </c>
      <c r="AA46" s="47">
        <f t="shared" si="30"/>
        <v>55</v>
      </c>
      <c r="AB46" s="49">
        <v>2</v>
      </c>
      <c r="AC46" s="48">
        <f t="shared" si="48"/>
        <v>225</v>
      </c>
      <c r="AD46" s="43">
        <v>140</v>
      </c>
      <c r="AE46" s="32">
        <f t="shared" si="22"/>
        <v>85</v>
      </c>
      <c r="AF46" s="45"/>
      <c r="AG46" s="48">
        <f t="shared" si="49"/>
        <v>140</v>
      </c>
      <c r="AH46" s="43">
        <v>50</v>
      </c>
      <c r="AI46" s="32">
        <f t="shared" si="23"/>
        <v>90</v>
      </c>
      <c r="AJ46" s="45">
        <v>1</v>
      </c>
      <c r="AK46" s="48">
        <f t="shared" si="50"/>
        <v>100</v>
      </c>
      <c r="AL46" s="43">
        <v>75</v>
      </c>
      <c r="AM46" s="32">
        <f t="shared" si="24"/>
        <v>25</v>
      </c>
      <c r="AN46" s="45">
        <v>2</v>
      </c>
      <c r="AO46" s="48">
        <f t="shared" si="51"/>
        <v>175</v>
      </c>
      <c r="AP46" s="43">
        <v>150</v>
      </c>
      <c r="AQ46" s="47">
        <f t="shared" ref="AQ46:AQ70" si="67">+AO46-AP46</f>
        <v>25</v>
      </c>
      <c r="AR46" s="45"/>
      <c r="AS46" s="48">
        <f t="shared" si="52"/>
        <v>150</v>
      </c>
      <c r="AT46" s="43">
        <v>50</v>
      </c>
      <c r="AU46" s="47">
        <f t="shared" si="35"/>
        <v>100</v>
      </c>
      <c r="AV46" s="45">
        <v>3</v>
      </c>
      <c r="AW46" s="48">
        <f t="shared" si="53"/>
        <v>200</v>
      </c>
      <c r="AX46" s="43">
        <v>200</v>
      </c>
      <c r="AY46" s="47">
        <f t="shared" si="36"/>
        <v>0</v>
      </c>
      <c r="AZ46" s="45"/>
      <c r="BA46" s="48">
        <f t="shared" si="54"/>
        <v>200</v>
      </c>
      <c r="BB46" s="43">
        <v>180</v>
      </c>
      <c r="BC46" s="32">
        <f t="shared" si="26"/>
        <v>20</v>
      </c>
      <c r="BD46" s="45">
        <v>1</v>
      </c>
      <c r="BE46" s="48">
        <f t="shared" si="55"/>
        <v>230</v>
      </c>
      <c r="BF46" s="43">
        <v>200</v>
      </c>
      <c r="BG46" s="47">
        <f t="shared" ref="BG46:BG70" si="68">+BE46-BF46</f>
        <v>30</v>
      </c>
      <c r="BH46" s="45"/>
      <c r="BI46" s="48">
        <f t="shared" si="56"/>
        <v>200</v>
      </c>
      <c r="BJ46" s="43">
        <v>200</v>
      </c>
      <c r="BK46" s="47">
        <f t="shared" ref="BK46:BK70" si="69">+BI46-BJ46</f>
        <v>0</v>
      </c>
      <c r="BL46" s="45"/>
      <c r="BM46" s="48">
        <f t="shared" si="57"/>
        <v>200</v>
      </c>
      <c r="BN46" s="43"/>
      <c r="BO46" s="47">
        <f t="shared" ref="BO46:BO70" si="70">+BM46-BN46</f>
        <v>200</v>
      </c>
      <c r="BP46" s="45"/>
      <c r="BQ46" s="48">
        <f t="shared" si="58"/>
        <v>0</v>
      </c>
      <c r="BR46" s="43"/>
      <c r="BS46" s="47">
        <f t="shared" ref="BS46:BS70" si="71">+BQ46-BR46</f>
        <v>0</v>
      </c>
      <c r="BT46" s="45"/>
      <c r="BU46" s="48">
        <f t="shared" si="59"/>
        <v>0</v>
      </c>
      <c r="BV46" s="43"/>
      <c r="BW46" s="47">
        <f t="shared" ref="BW46:BW70" si="72">+BU46-BV46</f>
        <v>0</v>
      </c>
      <c r="BX46" s="45"/>
      <c r="BY46" s="48">
        <f t="shared" si="60"/>
        <v>0</v>
      </c>
      <c r="BZ46" s="43"/>
      <c r="CA46" s="47">
        <f t="shared" ref="CA46:CA70" si="73">+BY46-BZ46</f>
        <v>0</v>
      </c>
      <c r="CB46" s="45"/>
      <c r="CC46" s="48">
        <f t="shared" si="61"/>
        <v>0</v>
      </c>
    </row>
    <row r="47" spans="1:81" ht="20.100000000000001" hidden="1" customHeight="1" x14ac:dyDescent="0.25">
      <c r="A47" s="67" t="s">
        <v>305</v>
      </c>
      <c r="B47" s="57" t="s">
        <v>106</v>
      </c>
      <c r="C47" s="58">
        <v>1</v>
      </c>
      <c r="D47" s="57" t="s">
        <v>9</v>
      </c>
      <c r="E47" s="68"/>
      <c r="F47" s="43"/>
      <c r="G47" s="47">
        <v>0</v>
      </c>
      <c r="H47" s="45"/>
      <c r="I47" s="48">
        <f t="shared" si="43"/>
        <v>0</v>
      </c>
      <c r="J47" s="43"/>
      <c r="K47" s="47">
        <f t="shared" si="63"/>
        <v>0</v>
      </c>
      <c r="L47" s="45"/>
      <c r="M47" s="48">
        <f t="shared" si="44"/>
        <v>0</v>
      </c>
      <c r="N47" s="43"/>
      <c r="O47" s="47">
        <f t="shared" si="64"/>
        <v>0</v>
      </c>
      <c r="P47" s="45"/>
      <c r="Q47" s="48">
        <f t="shared" si="45"/>
        <v>0</v>
      </c>
      <c r="R47" s="43"/>
      <c r="S47" s="47">
        <f t="shared" si="65"/>
        <v>0</v>
      </c>
      <c r="T47" s="45"/>
      <c r="U47" s="48">
        <f t="shared" si="46"/>
        <v>0</v>
      </c>
      <c r="V47" s="43"/>
      <c r="W47" s="47">
        <f t="shared" si="66"/>
        <v>0</v>
      </c>
      <c r="X47" s="45"/>
      <c r="Y47" s="48">
        <f t="shared" si="47"/>
        <v>0</v>
      </c>
      <c r="Z47" s="43"/>
      <c r="AA47" s="47">
        <f t="shared" si="30"/>
        <v>0</v>
      </c>
      <c r="AB47" s="45"/>
      <c r="AC47" s="48">
        <f t="shared" si="48"/>
        <v>0</v>
      </c>
      <c r="AD47" s="43"/>
      <c r="AE47" s="32">
        <f t="shared" si="22"/>
        <v>0</v>
      </c>
      <c r="AF47" s="45"/>
      <c r="AG47" s="48">
        <f t="shared" si="49"/>
        <v>0</v>
      </c>
      <c r="AH47" s="43"/>
      <c r="AI47" s="32">
        <f t="shared" si="23"/>
        <v>0</v>
      </c>
      <c r="AJ47" s="45"/>
      <c r="AK47" s="48">
        <f t="shared" si="50"/>
        <v>0</v>
      </c>
      <c r="AL47" s="43"/>
      <c r="AM47" s="32">
        <f t="shared" si="24"/>
        <v>0</v>
      </c>
      <c r="AN47" s="45"/>
      <c r="AO47" s="48">
        <f t="shared" si="51"/>
        <v>0</v>
      </c>
      <c r="AP47" s="43"/>
      <c r="AQ47" s="47">
        <f t="shared" si="67"/>
        <v>0</v>
      </c>
      <c r="AR47" s="45"/>
      <c r="AS47" s="48">
        <f t="shared" si="52"/>
        <v>0</v>
      </c>
      <c r="AT47" s="43"/>
      <c r="AU47" s="47">
        <f t="shared" si="35"/>
        <v>0</v>
      </c>
      <c r="AV47" s="45"/>
      <c r="AW47" s="48">
        <f t="shared" si="53"/>
        <v>0</v>
      </c>
      <c r="AX47" s="43"/>
      <c r="AY47" s="47">
        <f t="shared" si="36"/>
        <v>0</v>
      </c>
      <c r="AZ47" s="45"/>
      <c r="BA47" s="48">
        <f t="shared" si="54"/>
        <v>0</v>
      </c>
      <c r="BB47" s="43"/>
      <c r="BC47" s="32">
        <f t="shared" si="26"/>
        <v>0</v>
      </c>
      <c r="BD47" s="45"/>
      <c r="BE47" s="48">
        <f t="shared" si="55"/>
        <v>0</v>
      </c>
      <c r="BF47" s="43"/>
      <c r="BG47" s="47">
        <f t="shared" si="68"/>
        <v>0</v>
      </c>
      <c r="BH47" s="45"/>
      <c r="BI47" s="48">
        <f t="shared" si="56"/>
        <v>0</v>
      </c>
      <c r="BJ47" s="43"/>
      <c r="BK47" s="47">
        <f t="shared" si="69"/>
        <v>0</v>
      </c>
      <c r="BL47" s="45"/>
      <c r="BM47" s="48">
        <f t="shared" si="57"/>
        <v>0</v>
      </c>
      <c r="BN47" s="43"/>
      <c r="BO47" s="47">
        <f t="shared" si="70"/>
        <v>0</v>
      </c>
      <c r="BP47" s="45"/>
      <c r="BQ47" s="48">
        <f t="shared" si="58"/>
        <v>0</v>
      </c>
      <c r="BR47" s="43"/>
      <c r="BS47" s="47">
        <f t="shared" si="71"/>
        <v>0</v>
      </c>
      <c r="BT47" s="45"/>
      <c r="BU47" s="48">
        <f t="shared" si="59"/>
        <v>0</v>
      </c>
      <c r="BV47" s="43"/>
      <c r="BW47" s="47">
        <f t="shared" si="72"/>
        <v>0</v>
      </c>
      <c r="BX47" s="45"/>
      <c r="BY47" s="48">
        <f t="shared" si="60"/>
        <v>0</v>
      </c>
      <c r="BZ47" s="43"/>
      <c r="CA47" s="47">
        <f t="shared" si="73"/>
        <v>0</v>
      </c>
      <c r="CB47" s="45"/>
      <c r="CC47" s="48">
        <f t="shared" si="61"/>
        <v>0</v>
      </c>
    </row>
    <row r="48" spans="1:81" ht="20.100000000000001" hidden="1" customHeight="1" x14ac:dyDescent="0.25">
      <c r="A48" s="69" t="s">
        <v>306</v>
      </c>
      <c r="B48" s="57" t="s">
        <v>106</v>
      </c>
      <c r="C48" s="58">
        <v>1</v>
      </c>
      <c r="D48" s="57" t="s">
        <v>9</v>
      </c>
      <c r="E48" s="68"/>
      <c r="F48" s="43"/>
      <c r="G48" s="47">
        <v>0</v>
      </c>
      <c r="H48" s="45"/>
      <c r="I48" s="48">
        <f t="shared" si="43"/>
        <v>0</v>
      </c>
      <c r="J48" s="43"/>
      <c r="K48" s="47">
        <f t="shared" si="63"/>
        <v>0</v>
      </c>
      <c r="L48" s="45"/>
      <c r="M48" s="48">
        <f t="shared" si="44"/>
        <v>0</v>
      </c>
      <c r="N48" s="43"/>
      <c r="O48" s="47">
        <f t="shared" si="64"/>
        <v>0</v>
      </c>
      <c r="P48" s="45"/>
      <c r="Q48" s="48">
        <f t="shared" si="45"/>
        <v>0</v>
      </c>
      <c r="R48" s="43"/>
      <c r="S48" s="47">
        <f t="shared" si="65"/>
        <v>0</v>
      </c>
      <c r="T48" s="45"/>
      <c r="U48" s="48">
        <f t="shared" si="46"/>
        <v>0</v>
      </c>
      <c r="V48" s="43"/>
      <c r="W48" s="47">
        <f t="shared" si="66"/>
        <v>0</v>
      </c>
      <c r="X48" s="45"/>
      <c r="Y48" s="48">
        <f t="shared" si="47"/>
        <v>0</v>
      </c>
      <c r="Z48" s="43"/>
      <c r="AA48" s="47">
        <f t="shared" si="30"/>
        <v>0</v>
      </c>
      <c r="AB48" s="45"/>
      <c r="AC48" s="48">
        <f t="shared" si="48"/>
        <v>0</v>
      </c>
      <c r="AD48" s="43"/>
      <c r="AE48" s="32">
        <f t="shared" si="22"/>
        <v>0</v>
      </c>
      <c r="AF48" s="45"/>
      <c r="AG48" s="48">
        <f t="shared" si="49"/>
        <v>0</v>
      </c>
      <c r="AH48" s="43"/>
      <c r="AI48" s="32">
        <f t="shared" si="23"/>
        <v>0</v>
      </c>
      <c r="AJ48" s="45"/>
      <c r="AK48" s="48">
        <f t="shared" si="50"/>
        <v>0</v>
      </c>
      <c r="AL48" s="43"/>
      <c r="AM48" s="32">
        <f t="shared" si="24"/>
        <v>0</v>
      </c>
      <c r="AN48" s="45"/>
      <c r="AO48" s="48">
        <f t="shared" si="51"/>
        <v>0</v>
      </c>
      <c r="AP48" s="43"/>
      <c r="AQ48" s="47">
        <f t="shared" si="67"/>
        <v>0</v>
      </c>
      <c r="AR48" s="45"/>
      <c r="AS48" s="48">
        <f t="shared" si="52"/>
        <v>0</v>
      </c>
      <c r="AT48" s="43"/>
      <c r="AU48" s="47">
        <f t="shared" si="35"/>
        <v>0</v>
      </c>
      <c r="AV48" s="45"/>
      <c r="AW48" s="48">
        <f t="shared" si="53"/>
        <v>0</v>
      </c>
      <c r="AX48" s="43"/>
      <c r="AY48" s="47">
        <f t="shared" si="36"/>
        <v>0</v>
      </c>
      <c r="AZ48" s="45"/>
      <c r="BA48" s="48">
        <f t="shared" si="54"/>
        <v>0</v>
      </c>
      <c r="BB48" s="43"/>
      <c r="BC48" s="32">
        <f t="shared" si="26"/>
        <v>0</v>
      </c>
      <c r="BD48" s="45"/>
      <c r="BE48" s="48">
        <f t="shared" si="55"/>
        <v>0</v>
      </c>
      <c r="BF48" s="43"/>
      <c r="BG48" s="47">
        <f t="shared" si="68"/>
        <v>0</v>
      </c>
      <c r="BH48" s="45"/>
      <c r="BI48" s="48">
        <f t="shared" si="56"/>
        <v>0</v>
      </c>
      <c r="BJ48" s="43"/>
      <c r="BK48" s="47">
        <f t="shared" si="69"/>
        <v>0</v>
      </c>
      <c r="BL48" s="45"/>
      <c r="BM48" s="48">
        <f t="shared" si="57"/>
        <v>0</v>
      </c>
      <c r="BN48" s="43"/>
      <c r="BO48" s="47">
        <f t="shared" si="70"/>
        <v>0</v>
      </c>
      <c r="BP48" s="45"/>
      <c r="BQ48" s="48">
        <f t="shared" si="58"/>
        <v>0</v>
      </c>
      <c r="BR48" s="43"/>
      <c r="BS48" s="47">
        <f t="shared" si="71"/>
        <v>0</v>
      </c>
      <c r="BT48" s="45"/>
      <c r="BU48" s="48">
        <f t="shared" si="59"/>
        <v>0</v>
      </c>
      <c r="BV48" s="43"/>
      <c r="BW48" s="47">
        <f t="shared" si="72"/>
        <v>0</v>
      </c>
      <c r="BX48" s="45"/>
      <c r="BY48" s="48">
        <f t="shared" si="60"/>
        <v>0</v>
      </c>
      <c r="BZ48" s="43"/>
      <c r="CA48" s="47">
        <f t="shared" si="73"/>
        <v>0</v>
      </c>
      <c r="CB48" s="45"/>
      <c r="CC48" s="48">
        <f t="shared" si="61"/>
        <v>0</v>
      </c>
    </row>
    <row r="49" spans="1:81" ht="20.100000000000001" hidden="1" customHeight="1" x14ac:dyDescent="0.25">
      <c r="A49" s="67" t="s">
        <v>129</v>
      </c>
      <c r="B49" s="57" t="s">
        <v>106</v>
      </c>
      <c r="C49" s="58">
        <v>1</v>
      </c>
      <c r="D49" s="57" t="s">
        <v>9</v>
      </c>
      <c r="E49" s="68"/>
      <c r="F49" s="43"/>
      <c r="G49" s="47">
        <v>0</v>
      </c>
      <c r="H49" s="45"/>
      <c r="I49" s="48">
        <f t="shared" si="43"/>
        <v>0</v>
      </c>
      <c r="J49" s="43"/>
      <c r="K49" s="47">
        <f t="shared" si="63"/>
        <v>0</v>
      </c>
      <c r="L49" s="45"/>
      <c r="M49" s="48">
        <f t="shared" si="44"/>
        <v>0</v>
      </c>
      <c r="N49" s="43"/>
      <c r="O49" s="47">
        <f t="shared" si="64"/>
        <v>0</v>
      </c>
      <c r="P49" s="45"/>
      <c r="Q49" s="48">
        <f t="shared" si="45"/>
        <v>0</v>
      </c>
      <c r="R49" s="43"/>
      <c r="S49" s="47">
        <f t="shared" si="65"/>
        <v>0</v>
      </c>
      <c r="T49" s="45"/>
      <c r="U49" s="48">
        <f t="shared" si="46"/>
        <v>0</v>
      </c>
      <c r="V49" s="43"/>
      <c r="W49" s="47">
        <f t="shared" si="66"/>
        <v>0</v>
      </c>
      <c r="X49" s="45"/>
      <c r="Y49" s="48">
        <f t="shared" si="47"/>
        <v>0</v>
      </c>
      <c r="Z49" s="43"/>
      <c r="AA49" s="47">
        <f t="shared" si="30"/>
        <v>0</v>
      </c>
      <c r="AB49" s="45"/>
      <c r="AC49" s="48">
        <f t="shared" si="48"/>
        <v>0</v>
      </c>
      <c r="AD49" s="43"/>
      <c r="AE49" s="32">
        <f t="shared" si="22"/>
        <v>0</v>
      </c>
      <c r="AF49" s="45"/>
      <c r="AG49" s="48">
        <f t="shared" si="49"/>
        <v>0</v>
      </c>
      <c r="AH49" s="43"/>
      <c r="AI49" s="32">
        <f t="shared" si="23"/>
        <v>0</v>
      </c>
      <c r="AJ49" s="45"/>
      <c r="AK49" s="48">
        <f t="shared" si="50"/>
        <v>0</v>
      </c>
      <c r="AL49" s="43"/>
      <c r="AM49" s="32">
        <f t="shared" si="24"/>
        <v>0</v>
      </c>
      <c r="AN49" s="45"/>
      <c r="AO49" s="48">
        <f t="shared" si="51"/>
        <v>0</v>
      </c>
      <c r="AP49" s="43"/>
      <c r="AQ49" s="47">
        <f t="shared" si="67"/>
        <v>0</v>
      </c>
      <c r="AR49" s="45"/>
      <c r="AS49" s="48">
        <f t="shared" si="52"/>
        <v>0</v>
      </c>
      <c r="AT49" s="43"/>
      <c r="AU49" s="47">
        <f t="shared" si="35"/>
        <v>0</v>
      </c>
      <c r="AV49" s="45"/>
      <c r="AW49" s="48">
        <f t="shared" si="53"/>
        <v>0</v>
      </c>
      <c r="AX49" s="43"/>
      <c r="AY49" s="47">
        <f t="shared" si="36"/>
        <v>0</v>
      </c>
      <c r="AZ49" s="45"/>
      <c r="BA49" s="48">
        <f t="shared" si="54"/>
        <v>0</v>
      </c>
      <c r="BB49" s="43"/>
      <c r="BC49" s="32">
        <f t="shared" si="26"/>
        <v>0</v>
      </c>
      <c r="BD49" s="45"/>
      <c r="BE49" s="48">
        <f t="shared" si="55"/>
        <v>0</v>
      </c>
      <c r="BF49" s="43"/>
      <c r="BG49" s="47">
        <f t="shared" si="68"/>
        <v>0</v>
      </c>
      <c r="BH49" s="45"/>
      <c r="BI49" s="48">
        <f t="shared" si="56"/>
        <v>0</v>
      </c>
      <c r="BJ49" s="43"/>
      <c r="BK49" s="47">
        <f t="shared" si="69"/>
        <v>0</v>
      </c>
      <c r="BL49" s="45"/>
      <c r="BM49" s="48">
        <f t="shared" si="57"/>
        <v>0</v>
      </c>
      <c r="BN49" s="43"/>
      <c r="BO49" s="47">
        <f t="shared" si="70"/>
        <v>0</v>
      </c>
      <c r="BP49" s="45"/>
      <c r="BQ49" s="48">
        <f t="shared" si="58"/>
        <v>0</v>
      </c>
      <c r="BR49" s="43"/>
      <c r="BS49" s="47">
        <f t="shared" si="71"/>
        <v>0</v>
      </c>
      <c r="BT49" s="45"/>
      <c r="BU49" s="48">
        <f t="shared" si="59"/>
        <v>0</v>
      </c>
      <c r="BV49" s="43"/>
      <c r="BW49" s="47">
        <f t="shared" si="72"/>
        <v>0</v>
      </c>
      <c r="BX49" s="45"/>
      <c r="BY49" s="48">
        <f t="shared" si="60"/>
        <v>0</v>
      </c>
      <c r="BZ49" s="43"/>
      <c r="CA49" s="47">
        <f t="shared" si="73"/>
        <v>0</v>
      </c>
      <c r="CB49" s="45"/>
      <c r="CC49" s="48">
        <f t="shared" si="61"/>
        <v>0</v>
      </c>
    </row>
    <row r="50" spans="1:81" ht="20.100000000000001" hidden="1" customHeight="1" x14ac:dyDescent="0.25">
      <c r="A50" s="67" t="s">
        <v>130</v>
      </c>
      <c r="B50" s="57" t="s">
        <v>106</v>
      </c>
      <c r="C50" s="58">
        <v>1</v>
      </c>
      <c r="D50" s="57" t="s">
        <v>9</v>
      </c>
      <c r="E50" s="68"/>
      <c r="F50" s="43"/>
      <c r="G50" s="47">
        <v>0</v>
      </c>
      <c r="H50" s="45"/>
      <c r="I50" s="48">
        <f t="shared" si="43"/>
        <v>0</v>
      </c>
      <c r="J50" s="43"/>
      <c r="K50" s="47">
        <f t="shared" si="63"/>
        <v>0</v>
      </c>
      <c r="L50" s="45"/>
      <c r="M50" s="48">
        <f t="shared" si="44"/>
        <v>0</v>
      </c>
      <c r="N50" s="43"/>
      <c r="O50" s="47">
        <f t="shared" si="64"/>
        <v>0</v>
      </c>
      <c r="P50" s="45"/>
      <c r="Q50" s="48">
        <f t="shared" si="45"/>
        <v>0</v>
      </c>
      <c r="R50" s="43"/>
      <c r="S50" s="47">
        <f t="shared" si="65"/>
        <v>0</v>
      </c>
      <c r="T50" s="45"/>
      <c r="U50" s="48">
        <f t="shared" si="46"/>
        <v>0</v>
      </c>
      <c r="V50" s="43"/>
      <c r="W50" s="47">
        <f t="shared" si="66"/>
        <v>0</v>
      </c>
      <c r="X50" s="45"/>
      <c r="Y50" s="48">
        <f t="shared" si="47"/>
        <v>0</v>
      </c>
      <c r="Z50" s="43"/>
      <c r="AA50" s="47">
        <f t="shared" si="30"/>
        <v>0</v>
      </c>
      <c r="AB50" s="45"/>
      <c r="AC50" s="48">
        <f t="shared" si="48"/>
        <v>0</v>
      </c>
      <c r="AD50" s="43"/>
      <c r="AE50" s="32">
        <f t="shared" si="22"/>
        <v>0</v>
      </c>
      <c r="AF50" s="45"/>
      <c r="AG50" s="48">
        <f t="shared" si="49"/>
        <v>0</v>
      </c>
      <c r="AH50" s="43"/>
      <c r="AI50" s="32">
        <f t="shared" si="23"/>
        <v>0</v>
      </c>
      <c r="AJ50" s="45"/>
      <c r="AK50" s="48">
        <f t="shared" si="50"/>
        <v>0</v>
      </c>
      <c r="AL50" s="43"/>
      <c r="AM50" s="32">
        <f t="shared" si="24"/>
        <v>0</v>
      </c>
      <c r="AN50" s="45"/>
      <c r="AO50" s="48">
        <f t="shared" si="51"/>
        <v>0</v>
      </c>
      <c r="AP50" s="43"/>
      <c r="AQ50" s="47">
        <f t="shared" si="67"/>
        <v>0</v>
      </c>
      <c r="AR50" s="45"/>
      <c r="AS50" s="48">
        <f t="shared" si="52"/>
        <v>0</v>
      </c>
      <c r="AT50" s="43"/>
      <c r="AU50" s="47">
        <f t="shared" si="35"/>
        <v>0</v>
      </c>
      <c r="AV50" s="45"/>
      <c r="AW50" s="48">
        <f t="shared" si="53"/>
        <v>0</v>
      </c>
      <c r="AX50" s="43"/>
      <c r="AY50" s="47">
        <f t="shared" si="36"/>
        <v>0</v>
      </c>
      <c r="AZ50" s="45"/>
      <c r="BA50" s="48">
        <f t="shared" si="54"/>
        <v>0</v>
      </c>
      <c r="BB50" s="43"/>
      <c r="BC50" s="32">
        <f t="shared" si="26"/>
        <v>0</v>
      </c>
      <c r="BD50" s="45"/>
      <c r="BE50" s="48">
        <f t="shared" si="55"/>
        <v>0</v>
      </c>
      <c r="BF50" s="43"/>
      <c r="BG50" s="47">
        <f t="shared" si="68"/>
        <v>0</v>
      </c>
      <c r="BH50" s="45"/>
      <c r="BI50" s="48">
        <f t="shared" si="56"/>
        <v>0</v>
      </c>
      <c r="BJ50" s="43"/>
      <c r="BK50" s="47">
        <f t="shared" si="69"/>
        <v>0</v>
      </c>
      <c r="BL50" s="45"/>
      <c r="BM50" s="48">
        <f t="shared" si="57"/>
        <v>0</v>
      </c>
      <c r="BN50" s="43"/>
      <c r="BO50" s="47">
        <f t="shared" si="70"/>
        <v>0</v>
      </c>
      <c r="BP50" s="45"/>
      <c r="BQ50" s="48">
        <f t="shared" si="58"/>
        <v>0</v>
      </c>
      <c r="BR50" s="43"/>
      <c r="BS50" s="47">
        <f t="shared" si="71"/>
        <v>0</v>
      </c>
      <c r="BT50" s="45"/>
      <c r="BU50" s="48">
        <f t="shared" si="59"/>
        <v>0</v>
      </c>
      <c r="BV50" s="43"/>
      <c r="BW50" s="47">
        <f t="shared" si="72"/>
        <v>0</v>
      </c>
      <c r="BX50" s="45"/>
      <c r="BY50" s="48">
        <f t="shared" si="60"/>
        <v>0</v>
      </c>
      <c r="BZ50" s="43"/>
      <c r="CA50" s="47">
        <f t="shared" si="73"/>
        <v>0</v>
      </c>
      <c r="CB50" s="45"/>
      <c r="CC50" s="48">
        <f t="shared" si="61"/>
        <v>0</v>
      </c>
    </row>
    <row r="51" spans="1:81" ht="20.100000000000001" hidden="1" customHeight="1" x14ac:dyDescent="0.25">
      <c r="A51" s="12" t="s">
        <v>235</v>
      </c>
      <c r="B51" s="9" t="s">
        <v>106</v>
      </c>
      <c r="C51" s="10">
        <v>1</v>
      </c>
      <c r="D51" s="9" t="s">
        <v>9</v>
      </c>
      <c r="E51" s="13">
        <v>1</v>
      </c>
      <c r="F51" s="43">
        <v>2</v>
      </c>
      <c r="G51" s="47">
        <v>0</v>
      </c>
      <c r="H51" s="45"/>
      <c r="I51" s="48">
        <f>+F51+H51*$E51</f>
        <v>2</v>
      </c>
      <c r="J51" s="43">
        <v>1.5</v>
      </c>
      <c r="K51" s="47">
        <f t="shared" si="63"/>
        <v>0.5</v>
      </c>
      <c r="L51" s="45">
        <v>1</v>
      </c>
      <c r="M51" s="48">
        <f>+J51+L51*$E51</f>
        <v>2.5</v>
      </c>
      <c r="N51" s="43">
        <v>2</v>
      </c>
      <c r="O51" s="47">
        <f t="shared" si="64"/>
        <v>0.5</v>
      </c>
      <c r="P51" s="45"/>
      <c r="Q51" s="48">
        <f>+N51+P51*$E51</f>
        <v>2</v>
      </c>
      <c r="R51" s="43">
        <v>2</v>
      </c>
      <c r="S51" s="47">
        <f t="shared" si="65"/>
        <v>0</v>
      </c>
      <c r="T51" s="45"/>
      <c r="U51" s="48">
        <f>+R51+T51*$E51</f>
        <v>2</v>
      </c>
      <c r="V51" s="43">
        <v>1</v>
      </c>
      <c r="W51" s="47">
        <f t="shared" si="66"/>
        <v>1</v>
      </c>
      <c r="X51" s="49">
        <v>1</v>
      </c>
      <c r="Y51" s="48">
        <f>+V51+X51*$E51</f>
        <v>2</v>
      </c>
      <c r="Z51" s="43">
        <v>2</v>
      </c>
      <c r="AA51" s="47">
        <f t="shared" si="30"/>
        <v>0</v>
      </c>
      <c r="AB51" s="45"/>
      <c r="AC51" s="48">
        <f>+Z51+AB51*$E51</f>
        <v>2</v>
      </c>
      <c r="AD51" s="43">
        <v>2</v>
      </c>
      <c r="AE51" s="32">
        <f t="shared" si="22"/>
        <v>0</v>
      </c>
      <c r="AF51" s="45"/>
      <c r="AG51" s="48">
        <f>+AD51+AF51*$E51</f>
        <v>2</v>
      </c>
      <c r="AH51" s="43">
        <v>2</v>
      </c>
      <c r="AI51" s="32">
        <f t="shared" si="23"/>
        <v>0</v>
      </c>
      <c r="AJ51" s="45"/>
      <c r="AK51" s="48">
        <f>+AH51+AJ51*$E51</f>
        <v>2</v>
      </c>
      <c r="AL51" s="43">
        <v>1</v>
      </c>
      <c r="AM51" s="32">
        <f t="shared" si="24"/>
        <v>1</v>
      </c>
      <c r="AN51" s="45">
        <v>1</v>
      </c>
      <c r="AO51" s="48">
        <f>+AL51+AN51*$E51</f>
        <v>2</v>
      </c>
      <c r="AP51" s="43">
        <v>2</v>
      </c>
      <c r="AQ51" s="47">
        <f t="shared" si="67"/>
        <v>0</v>
      </c>
      <c r="AR51" s="45"/>
      <c r="AS51" s="48">
        <f>+AP51+AR51*$E51</f>
        <v>2</v>
      </c>
      <c r="AT51" s="43">
        <v>2</v>
      </c>
      <c r="AU51" s="47">
        <f t="shared" si="35"/>
        <v>0</v>
      </c>
      <c r="AV51" s="45"/>
      <c r="AW51" s="48">
        <f>+AT51+AV51*$E51</f>
        <v>2</v>
      </c>
      <c r="AX51" s="43">
        <v>2</v>
      </c>
      <c r="AY51" s="47">
        <f t="shared" si="36"/>
        <v>0</v>
      </c>
      <c r="AZ51" s="45"/>
      <c r="BA51" s="48">
        <f>+AX51+AZ51*$E51</f>
        <v>2</v>
      </c>
      <c r="BB51" s="43">
        <v>1</v>
      </c>
      <c r="BC51" s="32">
        <f t="shared" si="26"/>
        <v>1</v>
      </c>
      <c r="BD51" s="45"/>
      <c r="BE51" s="48">
        <f>+BB51+BD51*$E51</f>
        <v>1</v>
      </c>
      <c r="BF51" s="43">
        <v>1</v>
      </c>
      <c r="BG51" s="47">
        <f t="shared" si="68"/>
        <v>0</v>
      </c>
      <c r="BH51" s="45"/>
      <c r="BI51" s="48">
        <f>+BF51+BH51*$E51</f>
        <v>1</v>
      </c>
      <c r="BJ51" s="43">
        <v>1</v>
      </c>
      <c r="BK51" s="47">
        <f t="shared" si="69"/>
        <v>0</v>
      </c>
      <c r="BL51" s="45"/>
      <c r="BM51" s="48">
        <f>+BJ51+BL51*$E51</f>
        <v>1</v>
      </c>
      <c r="BN51" s="43"/>
      <c r="BO51" s="47">
        <f t="shared" si="70"/>
        <v>1</v>
      </c>
      <c r="BP51" s="45"/>
      <c r="BQ51" s="48">
        <f>+BN51+BP51*$E51</f>
        <v>0</v>
      </c>
      <c r="BR51" s="43"/>
      <c r="BS51" s="47">
        <f t="shared" si="71"/>
        <v>0</v>
      </c>
      <c r="BT51" s="45"/>
      <c r="BU51" s="48">
        <f>+BR51+BT51*$E51</f>
        <v>0</v>
      </c>
      <c r="BV51" s="43"/>
      <c r="BW51" s="47">
        <f t="shared" si="72"/>
        <v>0</v>
      </c>
      <c r="BX51" s="45"/>
      <c r="BY51" s="48">
        <f>+BV51+BX51*$E51</f>
        <v>0</v>
      </c>
      <c r="BZ51" s="43"/>
      <c r="CA51" s="47">
        <f t="shared" si="73"/>
        <v>0</v>
      </c>
      <c r="CB51" s="45"/>
      <c r="CC51" s="48">
        <f>+BZ51+CB51*$E51</f>
        <v>0</v>
      </c>
    </row>
    <row r="52" spans="1:81" ht="20.100000000000001" hidden="1" customHeight="1" x14ac:dyDescent="0.25">
      <c r="A52" s="12" t="s">
        <v>307</v>
      </c>
      <c r="B52" s="9" t="s">
        <v>106</v>
      </c>
      <c r="C52" s="10">
        <v>1</v>
      </c>
      <c r="D52" s="9" t="s">
        <v>9</v>
      </c>
      <c r="E52" s="13">
        <v>1</v>
      </c>
      <c r="F52" s="43"/>
      <c r="G52" s="47">
        <v>2</v>
      </c>
      <c r="H52" s="45">
        <v>3</v>
      </c>
      <c r="I52" s="48">
        <f t="shared" ref="I52:I70" si="74">+F52+H52*$E52</f>
        <v>3</v>
      </c>
      <c r="J52" s="43">
        <v>2</v>
      </c>
      <c r="K52" s="47">
        <f t="shared" ref="K52:K70" si="75">+I52-J52</f>
        <v>1</v>
      </c>
      <c r="L52" s="45"/>
      <c r="M52" s="48">
        <f t="shared" ref="M52:M70" si="76">+J52+L52*$E52</f>
        <v>2</v>
      </c>
      <c r="N52" s="43">
        <v>1</v>
      </c>
      <c r="O52" s="47">
        <f t="shared" ref="O52:O70" si="77">+M52-N52</f>
        <v>1</v>
      </c>
      <c r="P52" s="45">
        <v>1</v>
      </c>
      <c r="Q52" s="48">
        <f t="shared" ref="Q52:Q70" si="78">+N52+P52*$E52</f>
        <v>2</v>
      </c>
      <c r="R52" s="43">
        <v>1</v>
      </c>
      <c r="S52" s="47">
        <f t="shared" ref="S52:S70" si="79">+Q52-R52</f>
        <v>1</v>
      </c>
      <c r="T52" s="45">
        <v>1</v>
      </c>
      <c r="U52" s="48">
        <f t="shared" ref="U52:U70" si="80">+R52+T52*$E52</f>
        <v>2</v>
      </c>
      <c r="V52" s="43"/>
      <c r="W52" s="47">
        <f t="shared" si="66"/>
        <v>2</v>
      </c>
      <c r="X52" s="49">
        <v>2</v>
      </c>
      <c r="Y52" s="48">
        <f t="shared" ref="Y52:Y70" si="81">+V52+X52*$E52</f>
        <v>2</v>
      </c>
      <c r="Z52" s="43">
        <v>1</v>
      </c>
      <c r="AA52" s="47">
        <f t="shared" si="30"/>
        <v>1</v>
      </c>
      <c r="AB52" s="49">
        <v>1</v>
      </c>
      <c r="AC52" s="48">
        <f t="shared" ref="AC52:AC70" si="82">+Z52+AB52*$E52</f>
        <v>2</v>
      </c>
      <c r="AD52" s="43"/>
      <c r="AE52" s="32">
        <f t="shared" si="22"/>
        <v>2</v>
      </c>
      <c r="AF52" s="45">
        <v>3</v>
      </c>
      <c r="AG52" s="48">
        <f t="shared" ref="AG52:AG70" si="83">+AD52+AF52*$E52</f>
        <v>3</v>
      </c>
      <c r="AH52" s="43">
        <v>2</v>
      </c>
      <c r="AI52" s="32">
        <f t="shared" si="23"/>
        <v>1</v>
      </c>
      <c r="AJ52" s="45">
        <v>1</v>
      </c>
      <c r="AK52" s="48">
        <f t="shared" ref="AK52:AK70" si="84">+AH52+AJ52*$E52</f>
        <v>3</v>
      </c>
      <c r="AL52" s="43">
        <v>1</v>
      </c>
      <c r="AM52" s="32">
        <f t="shared" si="24"/>
        <v>2</v>
      </c>
      <c r="AN52" s="45">
        <v>2</v>
      </c>
      <c r="AO52" s="48">
        <f t="shared" ref="AO52:AO70" si="85">+AL52+AN52*$E52</f>
        <v>3</v>
      </c>
      <c r="AP52" s="43">
        <v>1</v>
      </c>
      <c r="AQ52" s="47">
        <f t="shared" si="67"/>
        <v>2</v>
      </c>
      <c r="AR52" s="45">
        <v>3</v>
      </c>
      <c r="AS52" s="48">
        <f t="shared" ref="AS52:AS70" si="86">+AP52+AR52*$E52</f>
        <v>4</v>
      </c>
      <c r="AT52" s="43">
        <v>2</v>
      </c>
      <c r="AU52" s="47">
        <f t="shared" si="35"/>
        <v>2</v>
      </c>
      <c r="AV52" s="45">
        <v>2</v>
      </c>
      <c r="AW52" s="48">
        <f t="shared" ref="AW52:AW70" si="87">+AT52+AV52*$E52</f>
        <v>4</v>
      </c>
      <c r="AX52" s="43">
        <v>2</v>
      </c>
      <c r="AY52" s="47">
        <f t="shared" si="36"/>
        <v>2</v>
      </c>
      <c r="AZ52" s="45">
        <v>1</v>
      </c>
      <c r="BA52" s="48">
        <f t="shared" ref="BA52:BA70" si="88">+AX52+AZ52*$E52</f>
        <v>3</v>
      </c>
      <c r="BB52" s="43">
        <v>2</v>
      </c>
      <c r="BC52" s="32">
        <f t="shared" si="26"/>
        <v>1</v>
      </c>
      <c r="BD52" s="45">
        <v>1</v>
      </c>
      <c r="BE52" s="48">
        <f t="shared" ref="BE52:BE70" si="89">+BB52+BD52*$E52</f>
        <v>3</v>
      </c>
      <c r="BF52" s="43">
        <v>2</v>
      </c>
      <c r="BG52" s="47">
        <f t="shared" si="68"/>
        <v>1</v>
      </c>
      <c r="BH52" s="45">
        <v>1</v>
      </c>
      <c r="BI52" s="48">
        <f t="shared" ref="BI52:BI70" si="90">+BF52+BH52*$E52</f>
        <v>3</v>
      </c>
      <c r="BJ52" s="43">
        <v>3</v>
      </c>
      <c r="BK52" s="47">
        <f t="shared" si="69"/>
        <v>0</v>
      </c>
      <c r="BL52" s="45"/>
      <c r="BM52" s="48">
        <f t="shared" ref="BM52:BM70" si="91">+BJ52+BL52*$E52</f>
        <v>3</v>
      </c>
      <c r="BN52" s="43"/>
      <c r="BO52" s="47">
        <f t="shared" si="70"/>
        <v>3</v>
      </c>
      <c r="BP52" s="45"/>
      <c r="BQ52" s="48">
        <f t="shared" ref="BQ52:BQ70" si="92">+BN52+BP52*$E52</f>
        <v>0</v>
      </c>
      <c r="BR52" s="43"/>
      <c r="BS52" s="47">
        <f t="shared" si="71"/>
        <v>0</v>
      </c>
      <c r="BT52" s="45"/>
      <c r="BU52" s="48">
        <f t="shared" ref="BU52:BU70" si="93">+BR52+BT52*$E52</f>
        <v>0</v>
      </c>
      <c r="BV52" s="43"/>
      <c r="BW52" s="47">
        <f t="shared" si="72"/>
        <v>0</v>
      </c>
      <c r="BX52" s="45"/>
      <c r="BY52" s="48">
        <f t="shared" ref="BY52:BY70" si="94">+BV52+BX52*$E52</f>
        <v>0</v>
      </c>
      <c r="BZ52" s="43"/>
      <c r="CA52" s="47">
        <f t="shared" si="73"/>
        <v>0</v>
      </c>
      <c r="CB52" s="45"/>
      <c r="CC52" s="48">
        <f t="shared" ref="CC52:CC70" si="95">+BZ52+CB52*$E52</f>
        <v>0</v>
      </c>
    </row>
    <row r="53" spans="1:81" ht="20.100000000000001" hidden="1" customHeight="1" x14ac:dyDescent="0.25">
      <c r="A53" s="12" t="s">
        <v>308</v>
      </c>
      <c r="B53" s="9" t="s">
        <v>106</v>
      </c>
      <c r="C53" s="10">
        <v>1</v>
      </c>
      <c r="D53" s="9" t="s">
        <v>9</v>
      </c>
      <c r="E53" s="13">
        <v>1</v>
      </c>
      <c r="F53" s="43">
        <v>2</v>
      </c>
      <c r="G53" s="47">
        <v>0</v>
      </c>
      <c r="H53" s="45"/>
      <c r="I53" s="48">
        <f t="shared" si="74"/>
        <v>2</v>
      </c>
      <c r="J53" s="43">
        <v>1.5</v>
      </c>
      <c r="K53" s="47">
        <f t="shared" si="75"/>
        <v>0.5</v>
      </c>
      <c r="L53" s="45">
        <v>1</v>
      </c>
      <c r="M53" s="48">
        <f t="shared" si="76"/>
        <v>2.5</v>
      </c>
      <c r="N53" s="43">
        <v>1</v>
      </c>
      <c r="O53" s="47">
        <f t="shared" si="77"/>
        <v>1.5</v>
      </c>
      <c r="P53" s="45">
        <v>1</v>
      </c>
      <c r="Q53" s="48">
        <f t="shared" si="78"/>
        <v>2</v>
      </c>
      <c r="R53" s="43">
        <v>2</v>
      </c>
      <c r="S53" s="47">
        <f t="shared" si="79"/>
        <v>0</v>
      </c>
      <c r="T53" s="45"/>
      <c r="U53" s="48">
        <f t="shared" si="80"/>
        <v>2</v>
      </c>
      <c r="V53" s="43">
        <v>1</v>
      </c>
      <c r="W53" s="47">
        <f t="shared" si="66"/>
        <v>1</v>
      </c>
      <c r="X53" s="45"/>
      <c r="Y53" s="48">
        <f t="shared" si="81"/>
        <v>1</v>
      </c>
      <c r="Z53" s="43">
        <v>1</v>
      </c>
      <c r="AA53" s="47">
        <f t="shared" si="30"/>
        <v>0</v>
      </c>
      <c r="AB53" s="45"/>
      <c r="AC53" s="48">
        <f t="shared" si="82"/>
        <v>1</v>
      </c>
      <c r="AD53" s="43">
        <v>1</v>
      </c>
      <c r="AE53" s="32">
        <f t="shared" si="22"/>
        <v>0</v>
      </c>
      <c r="AF53" s="45"/>
      <c r="AG53" s="48">
        <f t="shared" si="83"/>
        <v>1</v>
      </c>
      <c r="AH53" s="43">
        <v>0</v>
      </c>
      <c r="AI53" s="32">
        <f t="shared" si="23"/>
        <v>1</v>
      </c>
      <c r="AJ53" s="45">
        <v>1</v>
      </c>
      <c r="AK53" s="48">
        <f t="shared" si="84"/>
        <v>1</v>
      </c>
      <c r="AL53" s="43">
        <v>1</v>
      </c>
      <c r="AM53" s="32">
        <f t="shared" si="24"/>
        <v>0</v>
      </c>
      <c r="AN53" s="45"/>
      <c r="AO53" s="48">
        <f t="shared" si="85"/>
        <v>1</v>
      </c>
      <c r="AP53" s="43">
        <v>1</v>
      </c>
      <c r="AQ53" s="47">
        <f t="shared" si="67"/>
        <v>0</v>
      </c>
      <c r="AR53" s="45"/>
      <c r="AS53" s="48">
        <f t="shared" si="86"/>
        <v>1</v>
      </c>
      <c r="AT53" s="43">
        <v>1</v>
      </c>
      <c r="AU53" s="47">
        <f t="shared" si="35"/>
        <v>0</v>
      </c>
      <c r="AV53" s="45"/>
      <c r="AW53" s="48">
        <f t="shared" si="87"/>
        <v>1</v>
      </c>
      <c r="AX53" s="43">
        <v>0</v>
      </c>
      <c r="AY53" s="47">
        <f t="shared" si="36"/>
        <v>1</v>
      </c>
      <c r="AZ53" s="45">
        <v>1</v>
      </c>
      <c r="BA53" s="48">
        <f t="shared" si="88"/>
        <v>1</v>
      </c>
      <c r="BB53" s="43">
        <v>1</v>
      </c>
      <c r="BC53" s="32">
        <f t="shared" si="26"/>
        <v>0</v>
      </c>
      <c r="BD53" s="45"/>
      <c r="BE53" s="48">
        <f t="shared" si="89"/>
        <v>1</v>
      </c>
      <c r="BF53" s="43">
        <v>1</v>
      </c>
      <c r="BG53" s="47">
        <f t="shared" si="68"/>
        <v>0</v>
      </c>
      <c r="BH53" s="45"/>
      <c r="BI53" s="48">
        <f t="shared" si="90"/>
        <v>1</v>
      </c>
      <c r="BJ53" s="43">
        <v>1</v>
      </c>
      <c r="BK53" s="47">
        <f t="shared" si="69"/>
        <v>0</v>
      </c>
      <c r="BL53" s="45"/>
      <c r="BM53" s="48">
        <f t="shared" si="91"/>
        <v>1</v>
      </c>
      <c r="BN53" s="43"/>
      <c r="BO53" s="47">
        <f t="shared" si="70"/>
        <v>1</v>
      </c>
      <c r="BP53" s="45"/>
      <c r="BQ53" s="48">
        <f t="shared" si="92"/>
        <v>0</v>
      </c>
      <c r="BR53" s="43"/>
      <c r="BS53" s="47">
        <f t="shared" si="71"/>
        <v>0</v>
      </c>
      <c r="BT53" s="45"/>
      <c r="BU53" s="48">
        <f t="shared" si="93"/>
        <v>0</v>
      </c>
      <c r="BV53" s="43"/>
      <c r="BW53" s="47">
        <f t="shared" si="72"/>
        <v>0</v>
      </c>
      <c r="BX53" s="45"/>
      <c r="BY53" s="48">
        <f t="shared" si="94"/>
        <v>0</v>
      </c>
      <c r="BZ53" s="43"/>
      <c r="CA53" s="47">
        <f t="shared" si="73"/>
        <v>0</v>
      </c>
      <c r="CB53" s="45"/>
      <c r="CC53" s="48">
        <f t="shared" si="95"/>
        <v>0</v>
      </c>
    </row>
    <row r="54" spans="1:81" ht="20.100000000000001" hidden="1" customHeight="1" x14ac:dyDescent="0.25">
      <c r="A54" s="12" t="s">
        <v>131</v>
      </c>
      <c r="B54" s="9" t="s">
        <v>106</v>
      </c>
      <c r="C54" s="10">
        <v>1</v>
      </c>
      <c r="D54" s="9" t="s">
        <v>9</v>
      </c>
      <c r="E54" s="13">
        <v>1</v>
      </c>
      <c r="F54" s="43">
        <v>1</v>
      </c>
      <c r="G54" s="47">
        <v>0</v>
      </c>
      <c r="H54" s="45"/>
      <c r="I54" s="48">
        <f t="shared" si="74"/>
        <v>1</v>
      </c>
      <c r="J54" s="43">
        <v>1</v>
      </c>
      <c r="K54" s="47">
        <f t="shared" si="75"/>
        <v>0</v>
      </c>
      <c r="L54" s="45">
        <v>1</v>
      </c>
      <c r="M54" s="48">
        <f t="shared" si="76"/>
        <v>2</v>
      </c>
      <c r="N54" s="43">
        <v>1</v>
      </c>
      <c r="O54" s="47">
        <f t="shared" si="77"/>
        <v>1</v>
      </c>
      <c r="P54" s="45"/>
      <c r="Q54" s="48">
        <f t="shared" si="78"/>
        <v>1</v>
      </c>
      <c r="R54" s="43">
        <v>1</v>
      </c>
      <c r="S54" s="47">
        <f t="shared" si="79"/>
        <v>0</v>
      </c>
      <c r="T54" s="45"/>
      <c r="U54" s="48">
        <f t="shared" si="80"/>
        <v>1</v>
      </c>
      <c r="V54" s="43">
        <v>1</v>
      </c>
      <c r="W54" s="47">
        <f t="shared" si="66"/>
        <v>0</v>
      </c>
      <c r="X54" s="45"/>
      <c r="Y54" s="48">
        <f t="shared" si="81"/>
        <v>1</v>
      </c>
      <c r="Z54" s="43">
        <v>1</v>
      </c>
      <c r="AA54" s="47">
        <f t="shared" si="30"/>
        <v>0</v>
      </c>
      <c r="AB54" s="45"/>
      <c r="AC54" s="48">
        <f t="shared" si="82"/>
        <v>1</v>
      </c>
      <c r="AD54" s="43">
        <v>1</v>
      </c>
      <c r="AE54" s="32">
        <f t="shared" si="22"/>
        <v>0</v>
      </c>
      <c r="AF54" s="45"/>
      <c r="AG54" s="48">
        <f t="shared" si="83"/>
        <v>1</v>
      </c>
      <c r="AH54" s="43">
        <v>1</v>
      </c>
      <c r="AI54" s="32">
        <f t="shared" si="23"/>
        <v>0</v>
      </c>
      <c r="AJ54" s="45"/>
      <c r="AK54" s="48">
        <f t="shared" si="84"/>
        <v>1</v>
      </c>
      <c r="AL54" s="43">
        <v>1</v>
      </c>
      <c r="AM54" s="32">
        <f t="shared" si="24"/>
        <v>0</v>
      </c>
      <c r="AN54" s="45"/>
      <c r="AO54" s="48">
        <f t="shared" si="85"/>
        <v>1</v>
      </c>
      <c r="AP54" s="43">
        <v>1</v>
      </c>
      <c r="AQ54" s="47">
        <f t="shared" si="67"/>
        <v>0</v>
      </c>
      <c r="AR54" s="45"/>
      <c r="AS54" s="48">
        <f t="shared" si="86"/>
        <v>1</v>
      </c>
      <c r="AT54" s="43">
        <v>1</v>
      </c>
      <c r="AU54" s="47">
        <f t="shared" si="35"/>
        <v>0</v>
      </c>
      <c r="AV54" s="45"/>
      <c r="AW54" s="48">
        <f t="shared" si="87"/>
        <v>1</v>
      </c>
      <c r="AX54" s="43">
        <v>1</v>
      </c>
      <c r="AY54" s="47">
        <f t="shared" si="36"/>
        <v>0</v>
      </c>
      <c r="AZ54" s="45"/>
      <c r="BA54" s="48">
        <f t="shared" si="88"/>
        <v>1</v>
      </c>
      <c r="BB54" s="43">
        <v>1</v>
      </c>
      <c r="BC54" s="32">
        <f t="shared" si="26"/>
        <v>0</v>
      </c>
      <c r="BD54" s="45"/>
      <c r="BE54" s="48">
        <f t="shared" si="89"/>
        <v>1</v>
      </c>
      <c r="BF54" s="43">
        <v>1</v>
      </c>
      <c r="BG54" s="47">
        <f t="shared" si="68"/>
        <v>0</v>
      </c>
      <c r="BH54" s="45"/>
      <c r="BI54" s="48">
        <f t="shared" si="90"/>
        <v>1</v>
      </c>
      <c r="BJ54" s="43">
        <v>1</v>
      </c>
      <c r="BK54" s="47">
        <f t="shared" si="69"/>
        <v>0</v>
      </c>
      <c r="BL54" s="45"/>
      <c r="BM54" s="48">
        <f t="shared" si="91"/>
        <v>1</v>
      </c>
      <c r="BN54" s="43"/>
      <c r="BO54" s="47">
        <f t="shared" si="70"/>
        <v>1</v>
      </c>
      <c r="BP54" s="45"/>
      <c r="BQ54" s="48">
        <f t="shared" si="92"/>
        <v>0</v>
      </c>
      <c r="BR54" s="43"/>
      <c r="BS54" s="47">
        <f t="shared" si="71"/>
        <v>0</v>
      </c>
      <c r="BT54" s="45"/>
      <c r="BU54" s="48">
        <f t="shared" si="93"/>
        <v>0</v>
      </c>
      <c r="BV54" s="43"/>
      <c r="BW54" s="47">
        <f t="shared" si="72"/>
        <v>0</v>
      </c>
      <c r="BX54" s="45"/>
      <c r="BY54" s="48">
        <f t="shared" si="94"/>
        <v>0</v>
      </c>
      <c r="BZ54" s="43"/>
      <c r="CA54" s="47">
        <f t="shared" si="73"/>
        <v>0</v>
      </c>
      <c r="CB54" s="45"/>
      <c r="CC54" s="48">
        <f t="shared" si="95"/>
        <v>0</v>
      </c>
    </row>
    <row r="55" spans="1:81" ht="20.100000000000001" hidden="1" customHeight="1" x14ac:dyDescent="0.25">
      <c r="A55" s="19" t="s">
        <v>319</v>
      </c>
      <c r="B55" s="9" t="s">
        <v>106</v>
      </c>
      <c r="C55" s="10">
        <v>100</v>
      </c>
      <c r="D55" s="9" t="s">
        <v>9</v>
      </c>
      <c r="E55" s="13">
        <v>100</v>
      </c>
      <c r="F55" s="43">
        <v>300</v>
      </c>
      <c r="G55" s="47">
        <v>0</v>
      </c>
      <c r="H55" s="45"/>
      <c r="I55" s="48">
        <f t="shared" si="74"/>
        <v>300</v>
      </c>
      <c r="J55" s="43">
        <v>300</v>
      </c>
      <c r="K55" s="47">
        <f t="shared" si="75"/>
        <v>0</v>
      </c>
      <c r="L55" s="45"/>
      <c r="M55" s="48">
        <f t="shared" si="76"/>
        <v>300</v>
      </c>
      <c r="N55" s="43">
        <v>300</v>
      </c>
      <c r="O55" s="47">
        <f t="shared" si="77"/>
        <v>0</v>
      </c>
      <c r="P55" s="45"/>
      <c r="Q55" s="48">
        <f t="shared" si="78"/>
        <v>300</v>
      </c>
      <c r="R55" s="43">
        <v>300</v>
      </c>
      <c r="S55" s="47">
        <f t="shared" si="79"/>
        <v>0</v>
      </c>
      <c r="T55" s="45"/>
      <c r="U55" s="48">
        <f t="shared" si="80"/>
        <v>300</v>
      </c>
      <c r="V55" s="43">
        <v>300</v>
      </c>
      <c r="W55" s="47">
        <f t="shared" si="66"/>
        <v>0</v>
      </c>
      <c r="X55" s="45"/>
      <c r="Y55" s="48">
        <f t="shared" si="81"/>
        <v>300</v>
      </c>
      <c r="Z55" s="43">
        <v>300</v>
      </c>
      <c r="AA55" s="47">
        <f t="shared" si="30"/>
        <v>0</v>
      </c>
      <c r="AB55" s="45"/>
      <c r="AC55" s="48">
        <f t="shared" si="82"/>
        <v>300</v>
      </c>
      <c r="AD55" s="43">
        <v>300</v>
      </c>
      <c r="AE55" s="32">
        <f t="shared" si="22"/>
        <v>0</v>
      </c>
      <c r="AF55" s="45"/>
      <c r="AG55" s="48">
        <f t="shared" si="83"/>
        <v>300</v>
      </c>
      <c r="AH55" s="43">
        <v>300</v>
      </c>
      <c r="AI55" s="32">
        <f t="shared" si="23"/>
        <v>0</v>
      </c>
      <c r="AJ55" s="45"/>
      <c r="AK55" s="48">
        <f t="shared" si="84"/>
        <v>300</v>
      </c>
      <c r="AL55" s="43">
        <v>300</v>
      </c>
      <c r="AM55" s="32">
        <f t="shared" si="24"/>
        <v>0</v>
      </c>
      <c r="AN55" s="45"/>
      <c r="AO55" s="48">
        <f t="shared" si="85"/>
        <v>300</v>
      </c>
      <c r="AP55" s="43">
        <v>300</v>
      </c>
      <c r="AQ55" s="47">
        <f t="shared" si="67"/>
        <v>0</v>
      </c>
      <c r="AR55" s="45"/>
      <c r="AS55" s="48">
        <f t="shared" si="86"/>
        <v>300</v>
      </c>
      <c r="AT55" s="43">
        <v>300</v>
      </c>
      <c r="AU55" s="47">
        <f t="shared" si="35"/>
        <v>0</v>
      </c>
      <c r="AV55" s="45"/>
      <c r="AW55" s="48">
        <f t="shared" si="87"/>
        <v>300</v>
      </c>
      <c r="AX55" s="43">
        <v>300</v>
      </c>
      <c r="AY55" s="47">
        <f t="shared" si="36"/>
        <v>0</v>
      </c>
      <c r="AZ55" s="45"/>
      <c r="BA55" s="48">
        <f t="shared" si="88"/>
        <v>300</v>
      </c>
      <c r="BB55" s="43">
        <v>200</v>
      </c>
      <c r="BC55" s="32">
        <f t="shared" si="26"/>
        <v>100</v>
      </c>
      <c r="BD55" s="45"/>
      <c r="BE55" s="48">
        <f t="shared" si="89"/>
        <v>200</v>
      </c>
      <c r="BF55" s="43">
        <v>200</v>
      </c>
      <c r="BG55" s="47">
        <f t="shared" si="68"/>
        <v>0</v>
      </c>
      <c r="BH55" s="45"/>
      <c r="BI55" s="48">
        <f t="shared" si="90"/>
        <v>200</v>
      </c>
      <c r="BJ55" s="43">
        <v>200</v>
      </c>
      <c r="BK55" s="47">
        <f t="shared" si="69"/>
        <v>0</v>
      </c>
      <c r="BL55" s="45"/>
      <c r="BM55" s="48">
        <f t="shared" si="91"/>
        <v>200</v>
      </c>
      <c r="BN55" s="43"/>
      <c r="BO55" s="47">
        <f t="shared" si="70"/>
        <v>200</v>
      </c>
      <c r="BP55" s="45"/>
      <c r="BQ55" s="48">
        <f t="shared" si="92"/>
        <v>0</v>
      </c>
      <c r="BR55" s="43"/>
      <c r="BS55" s="47">
        <f t="shared" si="71"/>
        <v>0</v>
      </c>
      <c r="BT55" s="45"/>
      <c r="BU55" s="48">
        <f t="shared" si="93"/>
        <v>0</v>
      </c>
      <c r="BV55" s="43"/>
      <c r="BW55" s="47">
        <f t="shared" si="72"/>
        <v>0</v>
      </c>
      <c r="BX55" s="45"/>
      <c r="BY55" s="48">
        <f t="shared" si="94"/>
        <v>0</v>
      </c>
      <c r="BZ55" s="43"/>
      <c r="CA55" s="47">
        <f t="shared" si="73"/>
        <v>0</v>
      </c>
      <c r="CB55" s="45"/>
      <c r="CC55" s="48">
        <f t="shared" si="95"/>
        <v>0</v>
      </c>
    </row>
    <row r="56" spans="1:81" ht="20.100000000000001" hidden="1" customHeight="1" x14ac:dyDescent="0.25">
      <c r="A56" s="12" t="s">
        <v>309</v>
      </c>
      <c r="B56" s="9" t="s">
        <v>106</v>
      </c>
      <c r="C56" s="10">
        <v>1</v>
      </c>
      <c r="D56" s="9" t="s">
        <v>9</v>
      </c>
      <c r="E56" s="13">
        <v>1</v>
      </c>
      <c r="F56" s="43">
        <v>1</v>
      </c>
      <c r="G56" s="47">
        <v>0</v>
      </c>
      <c r="H56" s="45"/>
      <c r="I56" s="48">
        <f t="shared" si="74"/>
        <v>1</v>
      </c>
      <c r="J56" s="43">
        <v>1</v>
      </c>
      <c r="K56" s="47">
        <f t="shared" si="75"/>
        <v>0</v>
      </c>
      <c r="L56" s="45"/>
      <c r="M56" s="48">
        <f t="shared" si="76"/>
        <v>1</v>
      </c>
      <c r="N56" s="43">
        <v>1</v>
      </c>
      <c r="O56" s="47">
        <f t="shared" si="77"/>
        <v>0</v>
      </c>
      <c r="P56" s="45"/>
      <c r="Q56" s="48">
        <f t="shared" si="78"/>
        <v>1</v>
      </c>
      <c r="R56" s="43">
        <v>1</v>
      </c>
      <c r="S56" s="47">
        <f t="shared" si="79"/>
        <v>0</v>
      </c>
      <c r="T56" s="45"/>
      <c r="U56" s="48">
        <f t="shared" si="80"/>
        <v>1</v>
      </c>
      <c r="V56" s="43">
        <v>1</v>
      </c>
      <c r="W56" s="47">
        <f t="shared" si="66"/>
        <v>0</v>
      </c>
      <c r="X56" s="45"/>
      <c r="Y56" s="48">
        <f t="shared" si="81"/>
        <v>1</v>
      </c>
      <c r="Z56" s="43">
        <v>1</v>
      </c>
      <c r="AA56" s="47">
        <f t="shared" si="30"/>
        <v>0</v>
      </c>
      <c r="AB56" s="45"/>
      <c r="AC56" s="48">
        <f t="shared" si="82"/>
        <v>1</v>
      </c>
      <c r="AD56" s="43">
        <v>1</v>
      </c>
      <c r="AE56" s="32">
        <f t="shared" si="22"/>
        <v>0</v>
      </c>
      <c r="AF56" s="45"/>
      <c r="AG56" s="48">
        <f t="shared" si="83"/>
        <v>1</v>
      </c>
      <c r="AH56" s="43">
        <v>1</v>
      </c>
      <c r="AI56" s="32">
        <f t="shared" si="23"/>
        <v>0</v>
      </c>
      <c r="AJ56" s="45"/>
      <c r="AK56" s="48">
        <f t="shared" si="84"/>
        <v>1</v>
      </c>
      <c r="AL56" s="43">
        <v>1</v>
      </c>
      <c r="AM56" s="32">
        <f t="shared" si="24"/>
        <v>0</v>
      </c>
      <c r="AN56" s="45"/>
      <c r="AO56" s="48">
        <f t="shared" si="85"/>
        <v>1</v>
      </c>
      <c r="AP56" s="43">
        <v>1</v>
      </c>
      <c r="AQ56" s="47">
        <f t="shared" si="67"/>
        <v>0</v>
      </c>
      <c r="AR56" s="45"/>
      <c r="AS56" s="48">
        <f t="shared" si="86"/>
        <v>1</v>
      </c>
      <c r="AT56" s="43">
        <v>1</v>
      </c>
      <c r="AU56" s="47">
        <f t="shared" si="35"/>
        <v>0</v>
      </c>
      <c r="AV56" s="45"/>
      <c r="AW56" s="48">
        <f t="shared" si="87"/>
        <v>1</v>
      </c>
      <c r="AX56" s="43">
        <v>1</v>
      </c>
      <c r="AY56" s="47">
        <f t="shared" si="36"/>
        <v>0</v>
      </c>
      <c r="AZ56" s="45"/>
      <c r="BA56" s="48">
        <f t="shared" si="88"/>
        <v>1</v>
      </c>
      <c r="BB56" s="43">
        <v>1</v>
      </c>
      <c r="BC56" s="32">
        <f t="shared" si="26"/>
        <v>0</v>
      </c>
      <c r="BD56" s="45"/>
      <c r="BE56" s="48">
        <f t="shared" si="89"/>
        <v>1</v>
      </c>
      <c r="BF56" s="43">
        <v>1</v>
      </c>
      <c r="BG56" s="47">
        <f t="shared" si="68"/>
        <v>0</v>
      </c>
      <c r="BH56" s="45"/>
      <c r="BI56" s="48">
        <f t="shared" si="90"/>
        <v>1</v>
      </c>
      <c r="BJ56" s="43">
        <v>1</v>
      </c>
      <c r="BK56" s="47">
        <f t="shared" si="69"/>
        <v>0</v>
      </c>
      <c r="BL56" s="45"/>
      <c r="BM56" s="48">
        <f t="shared" si="91"/>
        <v>1</v>
      </c>
      <c r="BN56" s="43"/>
      <c r="BO56" s="47">
        <f t="shared" si="70"/>
        <v>1</v>
      </c>
      <c r="BP56" s="45"/>
      <c r="BQ56" s="48">
        <f t="shared" si="92"/>
        <v>0</v>
      </c>
      <c r="BR56" s="43"/>
      <c r="BS56" s="47">
        <f t="shared" si="71"/>
        <v>0</v>
      </c>
      <c r="BT56" s="45"/>
      <c r="BU56" s="48">
        <f t="shared" si="93"/>
        <v>0</v>
      </c>
      <c r="BV56" s="43"/>
      <c r="BW56" s="47">
        <f t="shared" si="72"/>
        <v>0</v>
      </c>
      <c r="BX56" s="45"/>
      <c r="BY56" s="48">
        <f t="shared" si="94"/>
        <v>0</v>
      </c>
      <c r="BZ56" s="43"/>
      <c r="CA56" s="47">
        <f t="shared" si="73"/>
        <v>0</v>
      </c>
      <c r="CB56" s="45"/>
      <c r="CC56" s="48">
        <f t="shared" si="95"/>
        <v>0</v>
      </c>
    </row>
    <row r="57" spans="1:81" ht="20.100000000000001" hidden="1" customHeight="1" x14ac:dyDescent="0.25">
      <c r="A57" s="12" t="s">
        <v>310</v>
      </c>
      <c r="B57" s="9" t="s">
        <v>106</v>
      </c>
      <c r="C57" s="10">
        <v>1</v>
      </c>
      <c r="D57" s="9" t="s">
        <v>9</v>
      </c>
      <c r="E57" s="13">
        <v>1</v>
      </c>
      <c r="F57" s="43">
        <v>1</v>
      </c>
      <c r="G57" s="47">
        <v>0</v>
      </c>
      <c r="H57" s="45"/>
      <c r="I57" s="48">
        <f t="shared" si="74"/>
        <v>1</v>
      </c>
      <c r="J57" s="43">
        <v>1</v>
      </c>
      <c r="K57" s="47">
        <f t="shared" si="75"/>
        <v>0</v>
      </c>
      <c r="L57" s="45"/>
      <c r="M57" s="48">
        <f t="shared" si="76"/>
        <v>1</v>
      </c>
      <c r="N57" s="43">
        <v>1</v>
      </c>
      <c r="O57" s="47">
        <f t="shared" si="77"/>
        <v>0</v>
      </c>
      <c r="P57" s="45"/>
      <c r="Q57" s="48">
        <f t="shared" si="78"/>
        <v>1</v>
      </c>
      <c r="R57" s="43">
        <v>1</v>
      </c>
      <c r="S57" s="47">
        <f t="shared" si="79"/>
        <v>0</v>
      </c>
      <c r="T57" s="45"/>
      <c r="U57" s="48">
        <f t="shared" si="80"/>
        <v>1</v>
      </c>
      <c r="V57" s="43">
        <v>1</v>
      </c>
      <c r="W57" s="47">
        <f t="shared" si="66"/>
        <v>0</v>
      </c>
      <c r="X57" s="45"/>
      <c r="Y57" s="48">
        <f t="shared" si="81"/>
        <v>1</v>
      </c>
      <c r="Z57" s="43">
        <v>1</v>
      </c>
      <c r="AA57" s="47">
        <f t="shared" si="30"/>
        <v>0</v>
      </c>
      <c r="AB57" s="45"/>
      <c r="AC57" s="48">
        <f t="shared" si="82"/>
        <v>1</v>
      </c>
      <c r="AD57" s="43">
        <v>1</v>
      </c>
      <c r="AE57" s="32">
        <f t="shared" si="22"/>
        <v>0</v>
      </c>
      <c r="AF57" s="45"/>
      <c r="AG57" s="48">
        <f t="shared" si="83"/>
        <v>1</v>
      </c>
      <c r="AH57" s="43">
        <v>0</v>
      </c>
      <c r="AI57" s="32">
        <f t="shared" si="23"/>
        <v>1</v>
      </c>
      <c r="AJ57" s="45">
        <v>1</v>
      </c>
      <c r="AK57" s="48">
        <f t="shared" si="84"/>
        <v>1</v>
      </c>
      <c r="AL57" s="43">
        <v>1</v>
      </c>
      <c r="AM57" s="32">
        <f t="shared" si="24"/>
        <v>0</v>
      </c>
      <c r="AN57" s="45"/>
      <c r="AO57" s="48">
        <f t="shared" si="85"/>
        <v>1</v>
      </c>
      <c r="AP57" s="43"/>
      <c r="AQ57" s="47">
        <f t="shared" si="67"/>
        <v>1</v>
      </c>
      <c r="AR57" s="45">
        <v>1</v>
      </c>
      <c r="AS57" s="48">
        <f t="shared" si="86"/>
        <v>1</v>
      </c>
      <c r="AT57" s="43">
        <v>1</v>
      </c>
      <c r="AU57" s="47">
        <f t="shared" si="35"/>
        <v>0</v>
      </c>
      <c r="AV57" s="45"/>
      <c r="AW57" s="48">
        <f t="shared" si="87"/>
        <v>1</v>
      </c>
      <c r="AX57" s="43">
        <v>1</v>
      </c>
      <c r="AY57" s="47">
        <f t="shared" si="36"/>
        <v>0</v>
      </c>
      <c r="AZ57" s="45"/>
      <c r="BA57" s="48">
        <f t="shared" si="88"/>
        <v>1</v>
      </c>
      <c r="BB57" s="43">
        <v>1</v>
      </c>
      <c r="BC57" s="32">
        <f t="shared" si="26"/>
        <v>0</v>
      </c>
      <c r="BD57" s="45"/>
      <c r="BE57" s="48">
        <f t="shared" si="89"/>
        <v>1</v>
      </c>
      <c r="BF57" s="43">
        <v>1</v>
      </c>
      <c r="BG57" s="47">
        <f t="shared" si="68"/>
        <v>0</v>
      </c>
      <c r="BH57" s="45"/>
      <c r="BI57" s="48">
        <f t="shared" si="90"/>
        <v>1</v>
      </c>
      <c r="BJ57" s="43">
        <v>1</v>
      </c>
      <c r="BK57" s="47">
        <f t="shared" si="69"/>
        <v>0</v>
      </c>
      <c r="BL57" s="45"/>
      <c r="BM57" s="48">
        <f t="shared" si="91"/>
        <v>1</v>
      </c>
      <c r="BN57" s="43"/>
      <c r="BO57" s="47">
        <f t="shared" si="70"/>
        <v>1</v>
      </c>
      <c r="BP57" s="45"/>
      <c r="BQ57" s="48">
        <f t="shared" si="92"/>
        <v>0</v>
      </c>
      <c r="BR57" s="43"/>
      <c r="BS57" s="47">
        <f t="shared" si="71"/>
        <v>0</v>
      </c>
      <c r="BT57" s="45"/>
      <c r="BU57" s="48">
        <f t="shared" si="93"/>
        <v>0</v>
      </c>
      <c r="BV57" s="43"/>
      <c r="BW57" s="47">
        <f t="shared" si="72"/>
        <v>0</v>
      </c>
      <c r="BX57" s="45"/>
      <c r="BY57" s="48">
        <f t="shared" si="94"/>
        <v>0</v>
      </c>
      <c r="BZ57" s="43"/>
      <c r="CA57" s="47">
        <f t="shared" si="73"/>
        <v>0</v>
      </c>
      <c r="CB57" s="45"/>
      <c r="CC57" s="48">
        <f t="shared" si="95"/>
        <v>0</v>
      </c>
    </row>
    <row r="58" spans="1:81" s="171" customFormat="1" ht="20.100000000000001" hidden="1" customHeight="1" x14ac:dyDescent="0.25">
      <c r="A58" s="61" t="s">
        <v>311</v>
      </c>
      <c r="B58" s="51" t="s">
        <v>106</v>
      </c>
      <c r="C58" s="52">
        <v>1</v>
      </c>
      <c r="D58" s="51" t="s">
        <v>9</v>
      </c>
      <c r="E58" s="62">
        <v>1</v>
      </c>
      <c r="F58" s="30"/>
      <c r="G58" s="32">
        <v>0</v>
      </c>
      <c r="H58" s="31"/>
      <c r="I58" s="33">
        <f t="shared" si="74"/>
        <v>0</v>
      </c>
      <c r="J58" s="30"/>
      <c r="K58" s="32">
        <f t="shared" si="75"/>
        <v>0</v>
      </c>
      <c r="L58" s="31"/>
      <c r="M58" s="33">
        <f t="shared" si="76"/>
        <v>0</v>
      </c>
      <c r="N58" s="30">
        <v>0</v>
      </c>
      <c r="O58" s="32">
        <f t="shared" si="77"/>
        <v>0</v>
      </c>
      <c r="P58" s="31"/>
      <c r="Q58" s="33">
        <f t="shared" si="78"/>
        <v>0</v>
      </c>
      <c r="R58" s="30"/>
      <c r="S58" s="32">
        <f t="shared" si="79"/>
        <v>0</v>
      </c>
      <c r="T58" s="31"/>
      <c r="U58" s="33">
        <f t="shared" si="80"/>
        <v>0</v>
      </c>
      <c r="V58" s="30"/>
      <c r="W58" s="32">
        <f t="shared" si="66"/>
        <v>0</v>
      </c>
      <c r="X58" s="31"/>
      <c r="Y58" s="33">
        <f t="shared" si="81"/>
        <v>0</v>
      </c>
      <c r="Z58" s="30"/>
      <c r="AA58" s="47">
        <f t="shared" si="30"/>
        <v>0</v>
      </c>
      <c r="AB58" s="34"/>
      <c r="AC58" s="33">
        <f t="shared" si="82"/>
        <v>0</v>
      </c>
      <c r="AD58" s="30"/>
      <c r="AE58" s="32">
        <f t="shared" si="22"/>
        <v>0</v>
      </c>
      <c r="AF58" s="31"/>
      <c r="AG58" s="33">
        <f t="shared" si="83"/>
        <v>0</v>
      </c>
      <c r="AH58" s="30"/>
      <c r="AI58" s="32">
        <f t="shared" si="23"/>
        <v>0</v>
      </c>
      <c r="AJ58" s="31"/>
      <c r="AK58" s="33">
        <f t="shared" si="84"/>
        <v>0</v>
      </c>
      <c r="AL58" s="30"/>
      <c r="AM58" s="32">
        <f t="shared" si="24"/>
        <v>0</v>
      </c>
      <c r="AN58" s="31"/>
      <c r="AO58" s="33">
        <f t="shared" si="85"/>
        <v>0</v>
      </c>
      <c r="AP58" s="30"/>
      <c r="AQ58" s="32">
        <f t="shared" si="67"/>
        <v>0</v>
      </c>
      <c r="AR58" s="31"/>
      <c r="AS58" s="33">
        <f t="shared" si="86"/>
        <v>0</v>
      </c>
      <c r="AT58" s="30"/>
      <c r="AU58" s="47">
        <f t="shared" si="35"/>
        <v>0</v>
      </c>
      <c r="AV58" s="31"/>
      <c r="AW58" s="33">
        <f t="shared" si="87"/>
        <v>0</v>
      </c>
      <c r="AX58" s="30"/>
      <c r="AY58" s="47">
        <f t="shared" si="36"/>
        <v>0</v>
      </c>
      <c r="AZ58" s="31"/>
      <c r="BA58" s="33">
        <f t="shared" si="88"/>
        <v>0</v>
      </c>
      <c r="BB58" s="30"/>
      <c r="BC58" s="32">
        <f t="shared" si="26"/>
        <v>0</v>
      </c>
      <c r="BD58" s="31"/>
      <c r="BE58" s="33">
        <f t="shared" si="89"/>
        <v>0</v>
      </c>
      <c r="BF58" s="30"/>
      <c r="BG58" s="32">
        <f t="shared" si="68"/>
        <v>0</v>
      </c>
      <c r="BH58" s="31"/>
      <c r="BI58" s="33">
        <f t="shared" si="90"/>
        <v>0</v>
      </c>
      <c r="BJ58" s="30"/>
      <c r="BK58" s="32">
        <f t="shared" si="69"/>
        <v>0</v>
      </c>
      <c r="BL58" s="31"/>
      <c r="BM58" s="33">
        <f t="shared" si="91"/>
        <v>0</v>
      </c>
      <c r="BN58" s="30"/>
      <c r="BO58" s="32">
        <f t="shared" si="70"/>
        <v>0</v>
      </c>
      <c r="BP58" s="31"/>
      <c r="BQ58" s="33">
        <f t="shared" si="92"/>
        <v>0</v>
      </c>
      <c r="BR58" s="30"/>
      <c r="BS58" s="32">
        <f t="shared" si="71"/>
        <v>0</v>
      </c>
      <c r="BT58" s="31"/>
      <c r="BU58" s="33">
        <f t="shared" si="93"/>
        <v>0</v>
      </c>
      <c r="BV58" s="30"/>
      <c r="BW58" s="32">
        <f t="shared" si="72"/>
        <v>0</v>
      </c>
      <c r="BX58" s="31"/>
      <c r="BY58" s="33">
        <f t="shared" si="94"/>
        <v>0</v>
      </c>
      <c r="BZ58" s="30"/>
      <c r="CA58" s="32">
        <f t="shared" si="73"/>
        <v>0</v>
      </c>
      <c r="CB58" s="31"/>
      <c r="CC58" s="33">
        <f t="shared" si="95"/>
        <v>0</v>
      </c>
    </row>
    <row r="59" spans="1:81" s="171" customFormat="1" ht="20.100000000000001" hidden="1" customHeight="1" x14ac:dyDescent="0.25">
      <c r="A59" s="61" t="s">
        <v>312</v>
      </c>
      <c r="B59" s="51" t="s">
        <v>106</v>
      </c>
      <c r="C59" s="52">
        <v>1</v>
      </c>
      <c r="D59" s="51" t="s">
        <v>9</v>
      </c>
      <c r="E59" s="62">
        <v>1</v>
      </c>
      <c r="F59" s="30"/>
      <c r="G59" s="32">
        <v>0</v>
      </c>
      <c r="H59" s="31"/>
      <c r="I59" s="33">
        <f t="shared" si="74"/>
        <v>0</v>
      </c>
      <c r="J59" s="30"/>
      <c r="K59" s="32">
        <f t="shared" si="75"/>
        <v>0</v>
      </c>
      <c r="L59" s="31"/>
      <c r="M59" s="33">
        <f t="shared" si="76"/>
        <v>0</v>
      </c>
      <c r="N59" s="30">
        <v>0</v>
      </c>
      <c r="O59" s="32">
        <f t="shared" si="77"/>
        <v>0</v>
      </c>
      <c r="P59" s="31"/>
      <c r="Q59" s="33">
        <f t="shared" si="78"/>
        <v>0</v>
      </c>
      <c r="R59" s="30"/>
      <c r="S59" s="32">
        <f t="shared" si="79"/>
        <v>0</v>
      </c>
      <c r="T59" s="31"/>
      <c r="U59" s="33">
        <f t="shared" si="80"/>
        <v>0</v>
      </c>
      <c r="V59" s="30"/>
      <c r="W59" s="32">
        <f t="shared" si="66"/>
        <v>0</v>
      </c>
      <c r="X59" s="31"/>
      <c r="Y59" s="33">
        <f t="shared" si="81"/>
        <v>0</v>
      </c>
      <c r="Z59" s="30"/>
      <c r="AA59" s="47">
        <f t="shared" si="30"/>
        <v>0</v>
      </c>
      <c r="AB59" s="31"/>
      <c r="AC59" s="33">
        <f t="shared" si="82"/>
        <v>0</v>
      </c>
      <c r="AD59" s="30"/>
      <c r="AE59" s="32">
        <f t="shared" si="22"/>
        <v>0</v>
      </c>
      <c r="AF59" s="31"/>
      <c r="AG59" s="33">
        <f t="shared" si="83"/>
        <v>0</v>
      </c>
      <c r="AH59" s="30"/>
      <c r="AI59" s="32">
        <f t="shared" si="23"/>
        <v>0</v>
      </c>
      <c r="AJ59" s="31"/>
      <c r="AK59" s="33">
        <f t="shared" si="84"/>
        <v>0</v>
      </c>
      <c r="AL59" s="30"/>
      <c r="AM59" s="32">
        <f t="shared" si="24"/>
        <v>0</v>
      </c>
      <c r="AN59" s="31"/>
      <c r="AO59" s="33">
        <f t="shared" si="85"/>
        <v>0</v>
      </c>
      <c r="AP59" s="30"/>
      <c r="AQ59" s="32">
        <f t="shared" si="67"/>
        <v>0</v>
      </c>
      <c r="AR59" s="31"/>
      <c r="AS59" s="33">
        <f t="shared" si="86"/>
        <v>0</v>
      </c>
      <c r="AT59" s="30"/>
      <c r="AU59" s="47">
        <f t="shared" si="35"/>
        <v>0</v>
      </c>
      <c r="AV59" s="31"/>
      <c r="AW59" s="33">
        <f t="shared" si="87"/>
        <v>0</v>
      </c>
      <c r="AX59" s="30"/>
      <c r="AY59" s="47">
        <f t="shared" si="36"/>
        <v>0</v>
      </c>
      <c r="AZ59" s="31"/>
      <c r="BA59" s="33">
        <f t="shared" si="88"/>
        <v>0</v>
      </c>
      <c r="BB59" s="30"/>
      <c r="BC59" s="32">
        <f t="shared" si="26"/>
        <v>0</v>
      </c>
      <c r="BD59" s="31"/>
      <c r="BE59" s="33">
        <f t="shared" si="89"/>
        <v>0</v>
      </c>
      <c r="BF59" s="30"/>
      <c r="BG59" s="32">
        <f t="shared" si="68"/>
        <v>0</v>
      </c>
      <c r="BH59" s="31"/>
      <c r="BI59" s="33">
        <f t="shared" si="90"/>
        <v>0</v>
      </c>
      <c r="BJ59" s="30"/>
      <c r="BK59" s="32">
        <f t="shared" si="69"/>
        <v>0</v>
      </c>
      <c r="BL59" s="31"/>
      <c r="BM59" s="33">
        <f t="shared" si="91"/>
        <v>0</v>
      </c>
      <c r="BN59" s="30"/>
      <c r="BO59" s="32">
        <f t="shared" si="70"/>
        <v>0</v>
      </c>
      <c r="BP59" s="31"/>
      <c r="BQ59" s="33">
        <f t="shared" si="92"/>
        <v>0</v>
      </c>
      <c r="BR59" s="30"/>
      <c r="BS59" s="32">
        <f t="shared" si="71"/>
        <v>0</v>
      </c>
      <c r="BT59" s="31"/>
      <c r="BU59" s="33">
        <f t="shared" si="93"/>
        <v>0</v>
      </c>
      <c r="BV59" s="30"/>
      <c r="BW59" s="32">
        <f t="shared" si="72"/>
        <v>0</v>
      </c>
      <c r="BX59" s="31"/>
      <c r="BY59" s="33">
        <f t="shared" si="94"/>
        <v>0</v>
      </c>
      <c r="BZ59" s="30"/>
      <c r="CA59" s="32">
        <f t="shared" si="73"/>
        <v>0</v>
      </c>
      <c r="CB59" s="31"/>
      <c r="CC59" s="33">
        <f t="shared" si="95"/>
        <v>0</v>
      </c>
    </row>
    <row r="60" spans="1:81" s="171" customFormat="1" ht="20.100000000000001" hidden="1" customHeight="1" x14ac:dyDescent="0.25">
      <c r="A60" s="61" t="s">
        <v>313</v>
      </c>
      <c r="B60" s="51" t="s">
        <v>106</v>
      </c>
      <c r="C60" s="52">
        <v>1</v>
      </c>
      <c r="D60" s="51" t="s">
        <v>9</v>
      </c>
      <c r="E60" s="62">
        <v>1</v>
      </c>
      <c r="F60" s="30"/>
      <c r="G60" s="32">
        <v>0</v>
      </c>
      <c r="H60" s="31"/>
      <c r="I60" s="33">
        <f t="shared" si="74"/>
        <v>0</v>
      </c>
      <c r="J60" s="30"/>
      <c r="K60" s="32">
        <f t="shared" si="75"/>
        <v>0</v>
      </c>
      <c r="L60" s="31"/>
      <c r="M60" s="33">
        <f t="shared" si="76"/>
        <v>0</v>
      </c>
      <c r="N60" s="30">
        <v>0</v>
      </c>
      <c r="O60" s="32">
        <f t="shared" si="77"/>
        <v>0</v>
      </c>
      <c r="P60" s="31"/>
      <c r="Q60" s="33">
        <f t="shared" si="78"/>
        <v>0</v>
      </c>
      <c r="R60" s="30"/>
      <c r="S60" s="32">
        <f t="shared" si="79"/>
        <v>0</v>
      </c>
      <c r="T60" s="31"/>
      <c r="U60" s="33">
        <f t="shared" si="80"/>
        <v>0</v>
      </c>
      <c r="V60" s="30"/>
      <c r="W60" s="32">
        <f t="shared" si="66"/>
        <v>0</v>
      </c>
      <c r="X60" s="31"/>
      <c r="Y60" s="33">
        <f t="shared" si="81"/>
        <v>0</v>
      </c>
      <c r="Z60" s="30"/>
      <c r="AA60" s="47">
        <f t="shared" si="30"/>
        <v>0</v>
      </c>
      <c r="AB60" s="31"/>
      <c r="AC60" s="33">
        <f t="shared" si="82"/>
        <v>0</v>
      </c>
      <c r="AD60" s="30"/>
      <c r="AE60" s="32">
        <f t="shared" si="22"/>
        <v>0</v>
      </c>
      <c r="AF60" s="31"/>
      <c r="AG60" s="33">
        <f t="shared" si="83"/>
        <v>0</v>
      </c>
      <c r="AH60" s="30"/>
      <c r="AI60" s="32">
        <f t="shared" si="23"/>
        <v>0</v>
      </c>
      <c r="AJ60" s="31"/>
      <c r="AK60" s="33">
        <f t="shared" si="84"/>
        <v>0</v>
      </c>
      <c r="AL60" s="30"/>
      <c r="AM60" s="32">
        <f t="shared" si="24"/>
        <v>0</v>
      </c>
      <c r="AN60" s="31"/>
      <c r="AO60" s="33">
        <f t="shared" si="85"/>
        <v>0</v>
      </c>
      <c r="AP60" s="30"/>
      <c r="AQ60" s="32">
        <f t="shared" si="67"/>
        <v>0</v>
      </c>
      <c r="AR60" s="31"/>
      <c r="AS60" s="33">
        <f t="shared" si="86"/>
        <v>0</v>
      </c>
      <c r="AT60" s="30"/>
      <c r="AU60" s="47">
        <f t="shared" si="35"/>
        <v>0</v>
      </c>
      <c r="AV60" s="31"/>
      <c r="AW60" s="33">
        <f t="shared" si="87"/>
        <v>0</v>
      </c>
      <c r="AX60" s="30"/>
      <c r="AY60" s="47">
        <f t="shared" si="36"/>
        <v>0</v>
      </c>
      <c r="AZ60" s="31"/>
      <c r="BA60" s="33">
        <f t="shared" si="88"/>
        <v>0</v>
      </c>
      <c r="BB60" s="30"/>
      <c r="BC60" s="32">
        <f t="shared" si="26"/>
        <v>0</v>
      </c>
      <c r="BD60" s="31"/>
      <c r="BE60" s="33">
        <f t="shared" si="89"/>
        <v>0</v>
      </c>
      <c r="BF60" s="30"/>
      <c r="BG60" s="32">
        <f t="shared" si="68"/>
        <v>0</v>
      </c>
      <c r="BH60" s="31"/>
      <c r="BI60" s="33">
        <f t="shared" si="90"/>
        <v>0</v>
      </c>
      <c r="BJ60" s="30"/>
      <c r="BK60" s="32">
        <f t="shared" si="69"/>
        <v>0</v>
      </c>
      <c r="BL60" s="31"/>
      <c r="BM60" s="33">
        <f t="shared" si="91"/>
        <v>0</v>
      </c>
      <c r="BN60" s="30"/>
      <c r="BO60" s="32">
        <f t="shared" si="70"/>
        <v>0</v>
      </c>
      <c r="BP60" s="31"/>
      <c r="BQ60" s="33">
        <f t="shared" si="92"/>
        <v>0</v>
      </c>
      <c r="BR60" s="30"/>
      <c r="BS60" s="32">
        <f t="shared" si="71"/>
        <v>0</v>
      </c>
      <c r="BT60" s="31"/>
      <c r="BU60" s="33">
        <f t="shared" si="93"/>
        <v>0</v>
      </c>
      <c r="BV60" s="30"/>
      <c r="BW60" s="32">
        <f t="shared" si="72"/>
        <v>0</v>
      </c>
      <c r="BX60" s="31"/>
      <c r="BY60" s="33">
        <f t="shared" si="94"/>
        <v>0</v>
      </c>
      <c r="BZ60" s="30"/>
      <c r="CA60" s="32">
        <f t="shared" si="73"/>
        <v>0</v>
      </c>
      <c r="CB60" s="31"/>
      <c r="CC60" s="33">
        <f t="shared" si="95"/>
        <v>0</v>
      </c>
    </row>
    <row r="61" spans="1:81" s="171" customFormat="1" ht="20.100000000000001" hidden="1" customHeight="1" x14ac:dyDescent="0.25">
      <c r="A61" s="61" t="s">
        <v>314</v>
      </c>
      <c r="B61" s="51" t="s">
        <v>106</v>
      </c>
      <c r="C61" s="52">
        <v>1</v>
      </c>
      <c r="D61" s="51" t="s">
        <v>9</v>
      </c>
      <c r="E61" s="62">
        <v>1</v>
      </c>
      <c r="F61" s="30"/>
      <c r="G61" s="32">
        <v>0</v>
      </c>
      <c r="H61" s="31"/>
      <c r="I61" s="33">
        <f t="shared" si="74"/>
        <v>0</v>
      </c>
      <c r="J61" s="30"/>
      <c r="K61" s="32">
        <f t="shared" si="75"/>
        <v>0</v>
      </c>
      <c r="L61" s="31"/>
      <c r="M61" s="33">
        <f t="shared" si="76"/>
        <v>0</v>
      </c>
      <c r="N61" s="30">
        <v>0</v>
      </c>
      <c r="O61" s="32">
        <f t="shared" si="77"/>
        <v>0</v>
      </c>
      <c r="P61" s="31"/>
      <c r="Q61" s="33">
        <f t="shared" si="78"/>
        <v>0</v>
      </c>
      <c r="R61" s="30"/>
      <c r="S61" s="32">
        <f t="shared" si="79"/>
        <v>0</v>
      </c>
      <c r="T61" s="31"/>
      <c r="U61" s="33">
        <f t="shared" si="80"/>
        <v>0</v>
      </c>
      <c r="V61" s="30"/>
      <c r="W61" s="32">
        <f t="shared" si="66"/>
        <v>0</v>
      </c>
      <c r="X61" s="31"/>
      <c r="Y61" s="33">
        <f t="shared" si="81"/>
        <v>0</v>
      </c>
      <c r="Z61" s="30"/>
      <c r="AA61" s="47">
        <f t="shared" si="30"/>
        <v>0</v>
      </c>
      <c r="AB61" s="31"/>
      <c r="AC61" s="33">
        <f t="shared" si="82"/>
        <v>0</v>
      </c>
      <c r="AD61" s="30"/>
      <c r="AE61" s="32">
        <f t="shared" si="22"/>
        <v>0</v>
      </c>
      <c r="AF61" s="31"/>
      <c r="AG61" s="33">
        <f t="shared" si="83"/>
        <v>0</v>
      </c>
      <c r="AH61" s="30"/>
      <c r="AI61" s="32">
        <f t="shared" si="23"/>
        <v>0</v>
      </c>
      <c r="AJ61" s="31"/>
      <c r="AK61" s="33">
        <f t="shared" si="84"/>
        <v>0</v>
      </c>
      <c r="AL61" s="30"/>
      <c r="AM61" s="32">
        <f t="shared" si="24"/>
        <v>0</v>
      </c>
      <c r="AN61" s="31"/>
      <c r="AO61" s="33">
        <f t="shared" si="85"/>
        <v>0</v>
      </c>
      <c r="AP61" s="30"/>
      <c r="AQ61" s="32">
        <f t="shared" si="67"/>
        <v>0</v>
      </c>
      <c r="AR61" s="31"/>
      <c r="AS61" s="33">
        <f t="shared" si="86"/>
        <v>0</v>
      </c>
      <c r="AT61" s="30"/>
      <c r="AU61" s="47">
        <f t="shared" si="35"/>
        <v>0</v>
      </c>
      <c r="AV61" s="31"/>
      <c r="AW61" s="33">
        <f t="shared" si="87"/>
        <v>0</v>
      </c>
      <c r="AX61" s="30"/>
      <c r="AY61" s="47">
        <f t="shared" si="36"/>
        <v>0</v>
      </c>
      <c r="AZ61" s="31"/>
      <c r="BA61" s="33">
        <f t="shared" si="88"/>
        <v>0</v>
      </c>
      <c r="BB61" s="30"/>
      <c r="BC61" s="32">
        <f t="shared" si="26"/>
        <v>0</v>
      </c>
      <c r="BD61" s="31"/>
      <c r="BE61" s="33">
        <f t="shared" si="89"/>
        <v>0</v>
      </c>
      <c r="BF61" s="30"/>
      <c r="BG61" s="32">
        <f t="shared" si="68"/>
        <v>0</v>
      </c>
      <c r="BH61" s="31"/>
      <c r="BI61" s="33">
        <f t="shared" si="90"/>
        <v>0</v>
      </c>
      <c r="BJ61" s="30"/>
      <c r="BK61" s="32">
        <f t="shared" si="69"/>
        <v>0</v>
      </c>
      <c r="BL61" s="31"/>
      <c r="BM61" s="33">
        <f t="shared" si="91"/>
        <v>0</v>
      </c>
      <c r="BN61" s="30"/>
      <c r="BO61" s="32">
        <f t="shared" si="70"/>
        <v>0</v>
      </c>
      <c r="BP61" s="31"/>
      <c r="BQ61" s="33">
        <f t="shared" si="92"/>
        <v>0</v>
      </c>
      <c r="BR61" s="30"/>
      <c r="BS61" s="32">
        <f t="shared" si="71"/>
        <v>0</v>
      </c>
      <c r="BT61" s="31"/>
      <c r="BU61" s="33">
        <f t="shared" si="93"/>
        <v>0</v>
      </c>
      <c r="BV61" s="30"/>
      <c r="BW61" s="32">
        <f t="shared" si="72"/>
        <v>0</v>
      </c>
      <c r="BX61" s="31"/>
      <c r="BY61" s="33">
        <f t="shared" si="94"/>
        <v>0</v>
      </c>
      <c r="BZ61" s="30"/>
      <c r="CA61" s="32">
        <f t="shared" si="73"/>
        <v>0</v>
      </c>
      <c r="CB61" s="31"/>
      <c r="CC61" s="33">
        <f t="shared" si="95"/>
        <v>0</v>
      </c>
    </row>
    <row r="62" spans="1:81" ht="20.100000000000001" hidden="1" customHeight="1" x14ac:dyDescent="0.25">
      <c r="A62" s="12" t="s">
        <v>315</v>
      </c>
      <c r="B62" s="9" t="s">
        <v>106</v>
      </c>
      <c r="C62" s="136">
        <v>1</v>
      </c>
      <c r="D62" s="9" t="s">
        <v>9</v>
      </c>
      <c r="E62" s="13">
        <v>1</v>
      </c>
      <c r="F62" s="43">
        <v>1</v>
      </c>
      <c r="G62" s="47">
        <v>1</v>
      </c>
      <c r="H62" s="45">
        <v>1</v>
      </c>
      <c r="I62" s="48">
        <f t="shared" si="74"/>
        <v>2</v>
      </c>
      <c r="J62" s="43">
        <v>2</v>
      </c>
      <c r="K62" s="47">
        <f t="shared" si="75"/>
        <v>0</v>
      </c>
      <c r="L62" s="45"/>
      <c r="M62" s="48">
        <f t="shared" si="76"/>
        <v>2</v>
      </c>
      <c r="N62" s="43">
        <v>1</v>
      </c>
      <c r="O62" s="47">
        <f t="shared" si="77"/>
        <v>1</v>
      </c>
      <c r="P62" s="45">
        <v>1</v>
      </c>
      <c r="Q62" s="48">
        <f t="shared" si="78"/>
        <v>2</v>
      </c>
      <c r="R62" s="43">
        <v>1</v>
      </c>
      <c r="S62" s="47">
        <f t="shared" si="79"/>
        <v>1</v>
      </c>
      <c r="T62" s="45">
        <v>1</v>
      </c>
      <c r="U62" s="48">
        <f t="shared" si="80"/>
        <v>2</v>
      </c>
      <c r="V62" s="43">
        <v>2</v>
      </c>
      <c r="W62" s="47">
        <f t="shared" si="66"/>
        <v>0</v>
      </c>
      <c r="X62" s="45"/>
      <c r="Y62" s="48">
        <f t="shared" si="81"/>
        <v>2</v>
      </c>
      <c r="Z62" s="43">
        <v>1</v>
      </c>
      <c r="AA62" s="47">
        <f t="shared" si="30"/>
        <v>1</v>
      </c>
      <c r="AB62" s="49">
        <v>1</v>
      </c>
      <c r="AC62" s="48">
        <f t="shared" si="82"/>
        <v>2</v>
      </c>
      <c r="AD62" s="43">
        <v>2</v>
      </c>
      <c r="AE62" s="32">
        <f t="shared" si="22"/>
        <v>0</v>
      </c>
      <c r="AF62" s="45"/>
      <c r="AG62" s="48">
        <f t="shared" si="83"/>
        <v>2</v>
      </c>
      <c r="AH62" s="43">
        <v>1</v>
      </c>
      <c r="AI62" s="32">
        <f t="shared" si="23"/>
        <v>1</v>
      </c>
      <c r="AJ62" s="45">
        <v>1</v>
      </c>
      <c r="AK62" s="48">
        <f t="shared" si="84"/>
        <v>2</v>
      </c>
      <c r="AL62" s="43">
        <v>1</v>
      </c>
      <c r="AM62" s="32">
        <f t="shared" si="24"/>
        <v>1</v>
      </c>
      <c r="AN62" s="45">
        <v>1</v>
      </c>
      <c r="AO62" s="48">
        <f t="shared" si="85"/>
        <v>2</v>
      </c>
      <c r="AP62" s="43">
        <v>1</v>
      </c>
      <c r="AQ62" s="47">
        <f t="shared" si="67"/>
        <v>1</v>
      </c>
      <c r="AR62" s="45">
        <v>1</v>
      </c>
      <c r="AS62" s="48">
        <f t="shared" si="86"/>
        <v>2</v>
      </c>
      <c r="AT62" s="43">
        <v>2</v>
      </c>
      <c r="AU62" s="47">
        <f t="shared" si="35"/>
        <v>0</v>
      </c>
      <c r="AV62" s="45"/>
      <c r="AW62" s="48">
        <f t="shared" si="87"/>
        <v>2</v>
      </c>
      <c r="AX62" s="43">
        <v>1</v>
      </c>
      <c r="AY62" s="47">
        <f t="shared" si="36"/>
        <v>1</v>
      </c>
      <c r="AZ62" s="45">
        <v>1</v>
      </c>
      <c r="BA62" s="48">
        <f t="shared" si="88"/>
        <v>2</v>
      </c>
      <c r="BB62" s="43">
        <v>2</v>
      </c>
      <c r="BC62" s="32">
        <f t="shared" si="26"/>
        <v>0</v>
      </c>
      <c r="BD62" s="45"/>
      <c r="BE62" s="48">
        <f t="shared" si="89"/>
        <v>2</v>
      </c>
      <c r="BF62" s="43">
        <v>2</v>
      </c>
      <c r="BG62" s="47">
        <f t="shared" si="68"/>
        <v>0</v>
      </c>
      <c r="BH62" s="45"/>
      <c r="BI62" s="48">
        <f t="shared" si="90"/>
        <v>2</v>
      </c>
      <c r="BJ62" s="43">
        <v>2</v>
      </c>
      <c r="BK62" s="47">
        <f t="shared" si="69"/>
        <v>0</v>
      </c>
      <c r="BL62" s="45"/>
      <c r="BM62" s="48">
        <f t="shared" si="91"/>
        <v>2</v>
      </c>
      <c r="BN62" s="43"/>
      <c r="BO62" s="47">
        <f t="shared" si="70"/>
        <v>2</v>
      </c>
      <c r="BP62" s="45"/>
      <c r="BQ62" s="48">
        <f t="shared" si="92"/>
        <v>0</v>
      </c>
      <c r="BR62" s="43"/>
      <c r="BS62" s="47">
        <f t="shared" si="71"/>
        <v>0</v>
      </c>
      <c r="BT62" s="45"/>
      <c r="BU62" s="48">
        <f t="shared" si="93"/>
        <v>0</v>
      </c>
      <c r="BV62" s="43"/>
      <c r="BW62" s="47">
        <f t="shared" si="72"/>
        <v>0</v>
      </c>
      <c r="BX62" s="45"/>
      <c r="BY62" s="48">
        <f t="shared" si="94"/>
        <v>0</v>
      </c>
      <c r="BZ62" s="43"/>
      <c r="CA62" s="47">
        <f t="shared" si="73"/>
        <v>0</v>
      </c>
      <c r="CB62" s="45"/>
      <c r="CC62" s="48">
        <f t="shared" si="95"/>
        <v>0</v>
      </c>
    </row>
    <row r="63" spans="1:81" ht="20.100000000000001" hidden="1" customHeight="1" x14ac:dyDescent="0.25">
      <c r="A63" s="12" t="s">
        <v>132</v>
      </c>
      <c r="B63" s="9" t="s">
        <v>106</v>
      </c>
      <c r="C63" s="10">
        <v>1</v>
      </c>
      <c r="D63" s="9" t="s">
        <v>9</v>
      </c>
      <c r="E63" s="13">
        <v>1</v>
      </c>
      <c r="F63" s="43">
        <v>2</v>
      </c>
      <c r="G63" s="47">
        <v>1</v>
      </c>
      <c r="H63" s="45">
        <v>1</v>
      </c>
      <c r="I63" s="48">
        <f t="shared" si="74"/>
        <v>3</v>
      </c>
      <c r="J63" s="43">
        <v>2</v>
      </c>
      <c r="K63" s="47">
        <f t="shared" si="75"/>
        <v>1</v>
      </c>
      <c r="L63" s="45">
        <v>1</v>
      </c>
      <c r="M63" s="48">
        <f t="shared" si="76"/>
        <v>3</v>
      </c>
      <c r="N63" s="43">
        <v>2</v>
      </c>
      <c r="O63" s="47">
        <f t="shared" si="77"/>
        <v>1</v>
      </c>
      <c r="P63" s="45">
        <v>1</v>
      </c>
      <c r="Q63" s="48">
        <f t="shared" si="78"/>
        <v>3</v>
      </c>
      <c r="R63" s="43">
        <v>2</v>
      </c>
      <c r="S63" s="47">
        <f t="shared" si="79"/>
        <v>1</v>
      </c>
      <c r="T63" s="45"/>
      <c r="U63" s="48">
        <f t="shared" si="80"/>
        <v>2</v>
      </c>
      <c r="V63" s="43">
        <v>1</v>
      </c>
      <c r="W63" s="47">
        <f t="shared" si="66"/>
        <v>1</v>
      </c>
      <c r="X63" s="49">
        <v>1</v>
      </c>
      <c r="Y63" s="48">
        <f t="shared" si="81"/>
        <v>2</v>
      </c>
      <c r="Z63" s="43">
        <v>1</v>
      </c>
      <c r="AA63" s="47">
        <f t="shared" si="30"/>
        <v>1</v>
      </c>
      <c r="AB63" s="49">
        <v>1</v>
      </c>
      <c r="AC63" s="48">
        <f t="shared" si="82"/>
        <v>2</v>
      </c>
      <c r="AD63" s="43"/>
      <c r="AE63" s="32">
        <f t="shared" si="22"/>
        <v>2</v>
      </c>
      <c r="AF63" s="45">
        <v>2</v>
      </c>
      <c r="AG63" s="48">
        <f t="shared" si="83"/>
        <v>2</v>
      </c>
      <c r="AH63" s="43">
        <v>2</v>
      </c>
      <c r="AI63" s="32">
        <f t="shared" si="23"/>
        <v>0</v>
      </c>
      <c r="AJ63" s="45"/>
      <c r="AK63" s="48">
        <f t="shared" si="84"/>
        <v>2</v>
      </c>
      <c r="AL63" s="43">
        <v>1</v>
      </c>
      <c r="AM63" s="32">
        <f t="shared" si="24"/>
        <v>1</v>
      </c>
      <c r="AN63" s="45">
        <v>1</v>
      </c>
      <c r="AO63" s="48">
        <f t="shared" si="85"/>
        <v>2</v>
      </c>
      <c r="AP63" s="43">
        <v>1</v>
      </c>
      <c r="AQ63" s="47">
        <f t="shared" si="67"/>
        <v>1</v>
      </c>
      <c r="AR63" s="45">
        <v>2</v>
      </c>
      <c r="AS63" s="48">
        <f t="shared" si="86"/>
        <v>3</v>
      </c>
      <c r="AT63" s="43">
        <v>3</v>
      </c>
      <c r="AU63" s="47">
        <f t="shared" si="35"/>
        <v>0</v>
      </c>
      <c r="AV63" s="45"/>
      <c r="AW63" s="48">
        <f t="shared" si="87"/>
        <v>3</v>
      </c>
      <c r="AX63" s="43">
        <v>2</v>
      </c>
      <c r="AY63" s="47">
        <f t="shared" si="36"/>
        <v>1</v>
      </c>
      <c r="AZ63" s="45">
        <v>1</v>
      </c>
      <c r="BA63" s="48">
        <f t="shared" si="88"/>
        <v>3</v>
      </c>
      <c r="BB63" s="43">
        <v>2</v>
      </c>
      <c r="BC63" s="32">
        <f t="shared" si="26"/>
        <v>1</v>
      </c>
      <c r="BD63" s="45">
        <v>1</v>
      </c>
      <c r="BE63" s="48">
        <f t="shared" si="89"/>
        <v>3</v>
      </c>
      <c r="BF63" s="43">
        <v>1</v>
      </c>
      <c r="BG63" s="47">
        <f t="shared" si="68"/>
        <v>2</v>
      </c>
      <c r="BH63" s="45">
        <v>2</v>
      </c>
      <c r="BI63" s="48">
        <f t="shared" si="90"/>
        <v>3</v>
      </c>
      <c r="BJ63" s="43">
        <v>3</v>
      </c>
      <c r="BK63" s="47">
        <f t="shared" si="69"/>
        <v>0</v>
      </c>
      <c r="BL63" s="45"/>
      <c r="BM63" s="48">
        <f t="shared" si="91"/>
        <v>3</v>
      </c>
      <c r="BN63" s="43"/>
      <c r="BO63" s="47">
        <f t="shared" si="70"/>
        <v>3</v>
      </c>
      <c r="BP63" s="45"/>
      <c r="BQ63" s="48">
        <f t="shared" si="92"/>
        <v>0</v>
      </c>
      <c r="BR63" s="43"/>
      <c r="BS63" s="47">
        <f t="shared" si="71"/>
        <v>0</v>
      </c>
      <c r="BT63" s="45"/>
      <c r="BU63" s="48">
        <f t="shared" si="93"/>
        <v>0</v>
      </c>
      <c r="BV63" s="43"/>
      <c r="BW63" s="47">
        <f t="shared" si="72"/>
        <v>0</v>
      </c>
      <c r="BX63" s="45"/>
      <c r="BY63" s="48">
        <f t="shared" si="94"/>
        <v>0</v>
      </c>
      <c r="BZ63" s="43"/>
      <c r="CA63" s="47">
        <f t="shared" si="73"/>
        <v>0</v>
      </c>
      <c r="CB63" s="45"/>
      <c r="CC63" s="48">
        <f t="shared" si="95"/>
        <v>0</v>
      </c>
    </row>
    <row r="64" spans="1:81" ht="20.100000000000001" customHeight="1" x14ac:dyDescent="0.25">
      <c r="A64" s="19" t="s">
        <v>133</v>
      </c>
      <c r="B64" s="9" t="s">
        <v>106</v>
      </c>
      <c r="C64" s="136">
        <v>1</v>
      </c>
      <c r="D64" s="9" t="s">
        <v>9</v>
      </c>
      <c r="E64" s="13">
        <v>1</v>
      </c>
      <c r="F64" s="43">
        <v>1</v>
      </c>
      <c r="G64" s="47">
        <v>1</v>
      </c>
      <c r="H64" s="45">
        <v>1</v>
      </c>
      <c r="I64" s="48">
        <f t="shared" si="74"/>
        <v>2</v>
      </c>
      <c r="J64" s="43">
        <v>2</v>
      </c>
      <c r="K64" s="47">
        <f t="shared" si="75"/>
        <v>0</v>
      </c>
      <c r="L64" s="45"/>
      <c r="M64" s="48">
        <f t="shared" si="76"/>
        <v>2</v>
      </c>
      <c r="N64" s="43">
        <v>1</v>
      </c>
      <c r="O64" s="47">
        <f t="shared" si="77"/>
        <v>1</v>
      </c>
      <c r="P64" s="45">
        <v>1</v>
      </c>
      <c r="Q64" s="48">
        <f t="shared" si="78"/>
        <v>2</v>
      </c>
      <c r="R64" s="43">
        <v>0</v>
      </c>
      <c r="S64" s="47">
        <f t="shared" si="79"/>
        <v>2</v>
      </c>
      <c r="T64" s="45">
        <v>3</v>
      </c>
      <c r="U64" s="48">
        <f t="shared" si="80"/>
        <v>3</v>
      </c>
      <c r="V64" s="43">
        <v>3</v>
      </c>
      <c r="W64" s="47">
        <f t="shared" si="66"/>
        <v>0</v>
      </c>
      <c r="X64" s="45"/>
      <c r="Y64" s="48">
        <f t="shared" si="81"/>
        <v>3</v>
      </c>
      <c r="Z64" s="43">
        <v>2</v>
      </c>
      <c r="AA64" s="47">
        <f t="shared" si="30"/>
        <v>1</v>
      </c>
      <c r="AB64" s="45"/>
      <c r="AC64" s="48">
        <f t="shared" si="82"/>
        <v>2</v>
      </c>
      <c r="AD64" s="43"/>
      <c r="AE64" s="32">
        <f t="shared" si="22"/>
        <v>2</v>
      </c>
      <c r="AF64" s="45">
        <v>2</v>
      </c>
      <c r="AG64" s="48">
        <f t="shared" si="83"/>
        <v>2</v>
      </c>
      <c r="AH64" s="43">
        <v>2</v>
      </c>
      <c r="AI64" s="32">
        <f t="shared" si="23"/>
        <v>0</v>
      </c>
      <c r="AJ64" s="45"/>
      <c r="AK64" s="48">
        <f t="shared" si="84"/>
        <v>2</v>
      </c>
      <c r="AL64" s="43"/>
      <c r="AM64" s="32">
        <f t="shared" si="24"/>
        <v>2</v>
      </c>
      <c r="AN64" s="45">
        <v>2</v>
      </c>
      <c r="AO64" s="48">
        <f t="shared" si="85"/>
        <v>2</v>
      </c>
      <c r="AP64" s="43">
        <v>1</v>
      </c>
      <c r="AQ64" s="47">
        <f t="shared" si="67"/>
        <v>1</v>
      </c>
      <c r="AR64" s="45">
        <v>2</v>
      </c>
      <c r="AS64" s="48">
        <f t="shared" si="86"/>
        <v>3</v>
      </c>
      <c r="AT64" s="43">
        <v>1</v>
      </c>
      <c r="AU64" s="47">
        <f t="shared" si="35"/>
        <v>2</v>
      </c>
      <c r="AV64" s="45">
        <v>2</v>
      </c>
      <c r="AW64" s="48">
        <f t="shared" si="87"/>
        <v>3</v>
      </c>
      <c r="AX64" s="43">
        <v>2</v>
      </c>
      <c r="AY64" s="47">
        <f t="shared" si="36"/>
        <v>1</v>
      </c>
      <c r="AZ64" s="45">
        <v>1</v>
      </c>
      <c r="BA64" s="48">
        <f t="shared" si="88"/>
        <v>3</v>
      </c>
      <c r="BB64" s="43">
        <v>2</v>
      </c>
      <c r="BC64" s="32">
        <f t="shared" si="26"/>
        <v>1</v>
      </c>
      <c r="BD64" s="45">
        <v>1</v>
      </c>
      <c r="BE64" s="48">
        <f t="shared" si="89"/>
        <v>3</v>
      </c>
      <c r="BF64" s="43">
        <v>3</v>
      </c>
      <c r="BG64" s="47">
        <f t="shared" si="68"/>
        <v>0</v>
      </c>
      <c r="BH64" s="45"/>
      <c r="BI64" s="48">
        <f t="shared" si="90"/>
        <v>3</v>
      </c>
      <c r="BJ64" s="43">
        <v>2</v>
      </c>
      <c r="BK64" s="47">
        <f t="shared" si="69"/>
        <v>1</v>
      </c>
      <c r="BL64" s="45">
        <v>1</v>
      </c>
      <c r="BM64" s="48">
        <f t="shared" si="91"/>
        <v>3</v>
      </c>
      <c r="BN64" s="43"/>
      <c r="BO64" s="47">
        <f t="shared" si="70"/>
        <v>3</v>
      </c>
      <c r="BP64" s="45"/>
      <c r="BQ64" s="48">
        <f t="shared" si="92"/>
        <v>0</v>
      </c>
      <c r="BR64" s="43"/>
      <c r="BS64" s="47">
        <f t="shared" si="71"/>
        <v>0</v>
      </c>
      <c r="BT64" s="45"/>
      <c r="BU64" s="48">
        <f t="shared" si="93"/>
        <v>0</v>
      </c>
      <c r="BV64" s="43"/>
      <c r="BW64" s="47">
        <f t="shared" si="72"/>
        <v>0</v>
      </c>
      <c r="BX64" s="45"/>
      <c r="BY64" s="48">
        <f t="shared" si="94"/>
        <v>0</v>
      </c>
      <c r="BZ64" s="43"/>
      <c r="CA64" s="47">
        <f t="shared" si="73"/>
        <v>0</v>
      </c>
      <c r="CB64" s="45"/>
      <c r="CC64" s="48">
        <f t="shared" si="95"/>
        <v>0</v>
      </c>
    </row>
    <row r="65" spans="1:81" ht="20.100000000000001" hidden="1" customHeight="1" x14ac:dyDescent="0.25">
      <c r="A65" s="12" t="s">
        <v>316</v>
      </c>
      <c r="B65" s="9" t="s">
        <v>106</v>
      </c>
      <c r="C65" s="136">
        <v>2.5</v>
      </c>
      <c r="D65" s="9" t="s">
        <v>8</v>
      </c>
      <c r="E65" s="13">
        <v>1</v>
      </c>
      <c r="F65" s="43"/>
      <c r="G65" s="47">
        <v>0</v>
      </c>
      <c r="H65" s="45"/>
      <c r="I65" s="48">
        <f t="shared" si="74"/>
        <v>0</v>
      </c>
      <c r="J65" s="43"/>
      <c r="K65" s="47">
        <f t="shared" si="75"/>
        <v>0</v>
      </c>
      <c r="L65" s="45"/>
      <c r="M65" s="48">
        <f t="shared" si="76"/>
        <v>0</v>
      </c>
      <c r="N65" s="43"/>
      <c r="O65" s="47">
        <f t="shared" si="77"/>
        <v>0</v>
      </c>
      <c r="P65" s="45">
        <v>1</v>
      </c>
      <c r="Q65" s="48">
        <f t="shared" si="78"/>
        <v>1</v>
      </c>
      <c r="R65" s="43">
        <v>1</v>
      </c>
      <c r="S65" s="47">
        <f t="shared" si="79"/>
        <v>0</v>
      </c>
      <c r="T65" s="45"/>
      <c r="U65" s="48">
        <f t="shared" si="80"/>
        <v>1</v>
      </c>
      <c r="V65" s="43">
        <v>1</v>
      </c>
      <c r="W65" s="47">
        <f t="shared" si="66"/>
        <v>0</v>
      </c>
      <c r="X65" s="45"/>
      <c r="Y65" s="48">
        <f t="shared" si="81"/>
        <v>1</v>
      </c>
      <c r="Z65" s="43">
        <v>1</v>
      </c>
      <c r="AA65" s="47">
        <f t="shared" si="30"/>
        <v>0</v>
      </c>
      <c r="AB65" s="45"/>
      <c r="AC65" s="48">
        <f t="shared" si="82"/>
        <v>1</v>
      </c>
      <c r="AD65" s="43">
        <v>1</v>
      </c>
      <c r="AE65" s="32">
        <f t="shared" si="22"/>
        <v>0</v>
      </c>
      <c r="AF65" s="45"/>
      <c r="AG65" s="48">
        <f t="shared" si="83"/>
        <v>1</v>
      </c>
      <c r="AH65" s="43"/>
      <c r="AI65" s="32">
        <f t="shared" si="23"/>
        <v>1</v>
      </c>
      <c r="AJ65" s="45"/>
      <c r="AK65" s="48">
        <f t="shared" si="84"/>
        <v>0</v>
      </c>
      <c r="AL65" s="43"/>
      <c r="AM65" s="32">
        <f t="shared" si="24"/>
        <v>0</v>
      </c>
      <c r="AN65" s="45"/>
      <c r="AO65" s="48">
        <f t="shared" si="85"/>
        <v>0</v>
      </c>
      <c r="AP65" s="43"/>
      <c r="AQ65" s="47">
        <f t="shared" si="67"/>
        <v>0</v>
      </c>
      <c r="AR65" s="45"/>
      <c r="AS65" s="48">
        <f t="shared" si="86"/>
        <v>0</v>
      </c>
      <c r="AT65" s="43"/>
      <c r="AU65" s="47">
        <f t="shared" si="35"/>
        <v>0</v>
      </c>
      <c r="AV65" s="45"/>
      <c r="AW65" s="48">
        <f t="shared" si="87"/>
        <v>0</v>
      </c>
      <c r="AX65" s="43"/>
      <c r="AY65" s="47">
        <f t="shared" si="36"/>
        <v>0</v>
      </c>
      <c r="AZ65" s="45"/>
      <c r="BA65" s="48">
        <f t="shared" si="88"/>
        <v>0</v>
      </c>
      <c r="BB65" s="43"/>
      <c r="BC65" s="32">
        <f t="shared" si="26"/>
        <v>0</v>
      </c>
      <c r="BD65" s="45"/>
      <c r="BE65" s="48">
        <f t="shared" si="89"/>
        <v>0</v>
      </c>
      <c r="BF65" s="43"/>
      <c r="BG65" s="47">
        <f t="shared" si="68"/>
        <v>0</v>
      </c>
      <c r="BH65" s="45"/>
      <c r="BI65" s="48">
        <f t="shared" si="90"/>
        <v>0</v>
      </c>
      <c r="BJ65" s="43"/>
      <c r="BK65" s="47">
        <f t="shared" si="69"/>
        <v>0</v>
      </c>
      <c r="BL65" s="45"/>
      <c r="BM65" s="48">
        <f t="shared" si="91"/>
        <v>0</v>
      </c>
      <c r="BN65" s="43"/>
      <c r="BO65" s="47">
        <f t="shared" si="70"/>
        <v>0</v>
      </c>
      <c r="BP65" s="45"/>
      <c r="BQ65" s="48">
        <f t="shared" si="92"/>
        <v>0</v>
      </c>
      <c r="BR65" s="43"/>
      <c r="BS65" s="47">
        <f t="shared" si="71"/>
        <v>0</v>
      </c>
      <c r="BT65" s="45"/>
      <c r="BU65" s="48">
        <f t="shared" si="93"/>
        <v>0</v>
      </c>
      <c r="BV65" s="43"/>
      <c r="BW65" s="47">
        <f t="shared" si="72"/>
        <v>0</v>
      </c>
      <c r="BX65" s="45"/>
      <c r="BY65" s="48">
        <f t="shared" si="94"/>
        <v>0</v>
      </c>
      <c r="BZ65" s="43"/>
      <c r="CA65" s="47">
        <f t="shared" si="73"/>
        <v>0</v>
      </c>
      <c r="CB65" s="45"/>
      <c r="CC65" s="48">
        <f t="shared" si="95"/>
        <v>0</v>
      </c>
    </row>
    <row r="66" spans="1:81" ht="20.100000000000001" hidden="1" customHeight="1" x14ac:dyDescent="0.25">
      <c r="A66" s="67" t="s">
        <v>317</v>
      </c>
      <c r="B66" s="57" t="s">
        <v>106</v>
      </c>
      <c r="C66" s="143">
        <v>1</v>
      </c>
      <c r="D66" s="57" t="s">
        <v>9</v>
      </c>
      <c r="E66" s="68"/>
      <c r="F66" s="43"/>
      <c r="G66" s="47">
        <v>0</v>
      </c>
      <c r="H66" s="45"/>
      <c r="I66" s="48">
        <f t="shared" si="74"/>
        <v>0</v>
      </c>
      <c r="J66" s="43"/>
      <c r="K66" s="47">
        <f t="shared" si="75"/>
        <v>0</v>
      </c>
      <c r="L66" s="45"/>
      <c r="M66" s="48">
        <f t="shared" si="76"/>
        <v>0</v>
      </c>
      <c r="N66" s="43"/>
      <c r="O66" s="47">
        <f t="shared" si="77"/>
        <v>0</v>
      </c>
      <c r="P66" s="45"/>
      <c r="Q66" s="48">
        <f t="shared" si="78"/>
        <v>0</v>
      </c>
      <c r="R66" s="43"/>
      <c r="S66" s="47">
        <f t="shared" si="79"/>
        <v>0</v>
      </c>
      <c r="T66" s="45"/>
      <c r="U66" s="48">
        <f t="shared" si="80"/>
        <v>0</v>
      </c>
      <c r="V66" s="43"/>
      <c r="W66" s="47">
        <f t="shared" si="66"/>
        <v>0</v>
      </c>
      <c r="X66" s="45"/>
      <c r="Y66" s="48">
        <f t="shared" si="81"/>
        <v>0</v>
      </c>
      <c r="Z66" s="43"/>
      <c r="AA66" s="47">
        <f t="shared" si="30"/>
        <v>0</v>
      </c>
      <c r="AB66" s="45"/>
      <c r="AC66" s="48">
        <f t="shared" si="82"/>
        <v>0</v>
      </c>
      <c r="AD66" s="43"/>
      <c r="AE66" s="32">
        <f t="shared" si="22"/>
        <v>0</v>
      </c>
      <c r="AF66" s="45"/>
      <c r="AG66" s="48">
        <f t="shared" si="83"/>
        <v>0</v>
      </c>
      <c r="AH66" s="43"/>
      <c r="AI66" s="32">
        <f t="shared" si="23"/>
        <v>0</v>
      </c>
      <c r="AJ66" s="45"/>
      <c r="AK66" s="48">
        <f t="shared" si="84"/>
        <v>0</v>
      </c>
      <c r="AL66" s="43"/>
      <c r="AM66" s="32">
        <f t="shared" si="24"/>
        <v>0</v>
      </c>
      <c r="AN66" s="45"/>
      <c r="AO66" s="48">
        <f t="shared" si="85"/>
        <v>0</v>
      </c>
      <c r="AP66" s="43"/>
      <c r="AQ66" s="47">
        <f t="shared" si="67"/>
        <v>0</v>
      </c>
      <c r="AR66" s="45"/>
      <c r="AS66" s="48">
        <f t="shared" si="86"/>
        <v>0</v>
      </c>
      <c r="AT66" s="43"/>
      <c r="AU66" s="47">
        <f t="shared" si="35"/>
        <v>0</v>
      </c>
      <c r="AV66" s="45"/>
      <c r="AW66" s="48">
        <f t="shared" si="87"/>
        <v>0</v>
      </c>
      <c r="AX66" s="43"/>
      <c r="AY66" s="47">
        <f t="shared" si="36"/>
        <v>0</v>
      </c>
      <c r="AZ66" s="45"/>
      <c r="BA66" s="48">
        <f t="shared" si="88"/>
        <v>0</v>
      </c>
      <c r="BB66" s="43"/>
      <c r="BC66" s="32">
        <f t="shared" si="26"/>
        <v>0</v>
      </c>
      <c r="BD66" s="45"/>
      <c r="BE66" s="48">
        <f t="shared" si="89"/>
        <v>0</v>
      </c>
      <c r="BF66" s="43"/>
      <c r="BG66" s="47">
        <f t="shared" si="68"/>
        <v>0</v>
      </c>
      <c r="BH66" s="45"/>
      <c r="BI66" s="48">
        <f t="shared" si="90"/>
        <v>0</v>
      </c>
      <c r="BJ66" s="43"/>
      <c r="BK66" s="47">
        <f t="shared" si="69"/>
        <v>0</v>
      </c>
      <c r="BL66" s="45"/>
      <c r="BM66" s="48">
        <f t="shared" si="91"/>
        <v>0</v>
      </c>
      <c r="BN66" s="43"/>
      <c r="BO66" s="47">
        <f t="shared" si="70"/>
        <v>0</v>
      </c>
      <c r="BP66" s="45"/>
      <c r="BQ66" s="48">
        <f t="shared" si="92"/>
        <v>0</v>
      </c>
      <c r="BR66" s="43"/>
      <c r="BS66" s="47">
        <f t="shared" si="71"/>
        <v>0</v>
      </c>
      <c r="BT66" s="45"/>
      <c r="BU66" s="48">
        <f t="shared" si="93"/>
        <v>0</v>
      </c>
      <c r="BV66" s="43"/>
      <c r="BW66" s="47">
        <f t="shared" si="72"/>
        <v>0</v>
      </c>
      <c r="BX66" s="45"/>
      <c r="BY66" s="48">
        <f t="shared" si="94"/>
        <v>0</v>
      </c>
      <c r="BZ66" s="43"/>
      <c r="CA66" s="47">
        <f t="shared" si="73"/>
        <v>0</v>
      </c>
      <c r="CB66" s="45"/>
      <c r="CC66" s="48">
        <f t="shared" si="95"/>
        <v>0</v>
      </c>
    </row>
    <row r="67" spans="1:81" ht="20.100000000000001" hidden="1" customHeight="1" x14ac:dyDescent="0.25">
      <c r="A67" s="65" t="s">
        <v>318</v>
      </c>
      <c r="B67" s="55" t="s">
        <v>106</v>
      </c>
      <c r="C67" s="142">
        <v>1</v>
      </c>
      <c r="D67" s="55" t="s">
        <v>9</v>
      </c>
      <c r="E67" s="66">
        <v>100</v>
      </c>
      <c r="F67" s="43"/>
      <c r="G67" s="47">
        <v>0</v>
      </c>
      <c r="H67" s="45"/>
      <c r="I67" s="48">
        <f t="shared" si="74"/>
        <v>0</v>
      </c>
      <c r="J67" s="43"/>
      <c r="K67" s="47">
        <f t="shared" si="75"/>
        <v>0</v>
      </c>
      <c r="L67" s="45"/>
      <c r="M67" s="48">
        <f t="shared" si="76"/>
        <v>0</v>
      </c>
      <c r="N67" s="43"/>
      <c r="O67" s="47">
        <f t="shared" si="77"/>
        <v>0</v>
      </c>
      <c r="P67" s="45"/>
      <c r="Q67" s="48">
        <f t="shared" si="78"/>
        <v>0</v>
      </c>
      <c r="R67" s="43"/>
      <c r="S67" s="47">
        <f t="shared" si="79"/>
        <v>0</v>
      </c>
      <c r="T67" s="45"/>
      <c r="U67" s="48">
        <f t="shared" si="80"/>
        <v>0</v>
      </c>
      <c r="V67" s="43"/>
      <c r="W67" s="47">
        <f t="shared" si="66"/>
        <v>0</v>
      </c>
      <c r="X67" s="45"/>
      <c r="Y67" s="48">
        <f t="shared" si="81"/>
        <v>0</v>
      </c>
      <c r="Z67" s="43"/>
      <c r="AA67" s="47">
        <f t="shared" si="30"/>
        <v>0</v>
      </c>
      <c r="AB67" s="45"/>
      <c r="AC67" s="48">
        <f t="shared" si="82"/>
        <v>0</v>
      </c>
      <c r="AD67" s="43"/>
      <c r="AE67" s="32">
        <f t="shared" si="22"/>
        <v>0</v>
      </c>
      <c r="AF67" s="45"/>
      <c r="AG67" s="48">
        <f t="shared" si="83"/>
        <v>0</v>
      </c>
      <c r="AH67" s="43"/>
      <c r="AI67" s="32">
        <f t="shared" si="23"/>
        <v>0</v>
      </c>
      <c r="AJ67" s="45"/>
      <c r="AK67" s="48">
        <f t="shared" si="84"/>
        <v>0</v>
      </c>
      <c r="AL67" s="43"/>
      <c r="AM67" s="32">
        <f t="shared" si="24"/>
        <v>0</v>
      </c>
      <c r="AN67" s="45"/>
      <c r="AO67" s="48">
        <f t="shared" si="85"/>
        <v>0</v>
      </c>
      <c r="AP67" s="43"/>
      <c r="AQ67" s="47">
        <f t="shared" si="67"/>
        <v>0</v>
      </c>
      <c r="AR67" s="45"/>
      <c r="AS67" s="48">
        <f t="shared" si="86"/>
        <v>0</v>
      </c>
      <c r="AT67" s="43"/>
      <c r="AU67" s="47">
        <f t="shared" si="35"/>
        <v>0</v>
      </c>
      <c r="AV67" s="45"/>
      <c r="AW67" s="48">
        <f t="shared" si="87"/>
        <v>0</v>
      </c>
      <c r="AX67" s="43"/>
      <c r="AY67" s="47">
        <f t="shared" si="36"/>
        <v>0</v>
      </c>
      <c r="AZ67" s="45"/>
      <c r="BA67" s="48">
        <f t="shared" si="88"/>
        <v>0</v>
      </c>
      <c r="BB67" s="43"/>
      <c r="BC67" s="32">
        <f t="shared" si="26"/>
        <v>0</v>
      </c>
      <c r="BD67" s="45"/>
      <c r="BE67" s="48">
        <f t="shared" si="89"/>
        <v>0</v>
      </c>
      <c r="BF67" s="43"/>
      <c r="BG67" s="47">
        <f t="shared" si="68"/>
        <v>0</v>
      </c>
      <c r="BH67" s="45"/>
      <c r="BI67" s="48">
        <f t="shared" si="90"/>
        <v>0</v>
      </c>
      <c r="BJ67" s="43"/>
      <c r="BK67" s="47">
        <f t="shared" si="69"/>
        <v>0</v>
      </c>
      <c r="BL67" s="45"/>
      <c r="BM67" s="48">
        <f t="shared" si="91"/>
        <v>0</v>
      </c>
      <c r="BN67" s="43"/>
      <c r="BO67" s="47">
        <f t="shared" si="70"/>
        <v>0</v>
      </c>
      <c r="BP67" s="45"/>
      <c r="BQ67" s="48">
        <f t="shared" si="92"/>
        <v>0</v>
      </c>
      <c r="BR67" s="43"/>
      <c r="BS67" s="47">
        <f t="shared" si="71"/>
        <v>0</v>
      </c>
      <c r="BT67" s="45"/>
      <c r="BU67" s="48">
        <f t="shared" si="93"/>
        <v>0</v>
      </c>
      <c r="BV67" s="43"/>
      <c r="BW67" s="47">
        <f t="shared" si="72"/>
        <v>0</v>
      </c>
      <c r="BX67" s="45"/>
      <c r="BY67" s="48">
        <f t="shared" si="94"/>
        <v>0</v>
      </c>
      <c r="BZ67" s="43"/>
      <c r="CA67" s="47">
        <f t="shared" si="73"/>
        <v>0</v>
      </c>
      <c r="CB67" s="45"/>
      <c r="CC67" s="48">
        <f t="shared" si="95"/>
        <v>0</v>
      </c>
    </row>
    <row r="68" spans="1:81" ht="20.100000000000001" hidden="1" customHeight="1" x14ac:dyDescent="0.25">
      <c r="A68" s="19" t="s">
        <v>320</v>
      </c>
      <c r="B68" s="9" t="s">
        <v>106</v>
      </c>
      <c r="C68" s="136">
        <v>50</v>
      </c>
      <c r="D68" s="9" t="s">
        <v>9</v>
      </c>
      <c r="E68" s="13">
        <v>50</v>
      </c>
      <c r="F68" s="43">
        <v>50</v>
      </c>
      <c r="G68" s="47">
        <v>3</v>
      </c>
      <c r="H68" s="45"/>
      <c r="I68" s="48">
        <f t="shared" si="74"/>
        <v>50</v>
      </c>
      <c r="J68" s="43">
        <v>50</v>
      </c>
      <c r="K68" s="47">
        <f t="shared" si="75"/>
        <v>0</v>
      </c>
      <c r="L68" s="45"/>
      <c r="M68" s="48">
        <f t="shared" si="76"/>
        <v>50</v>
      </c>
      <c r="N68" s="43">
        <v>50</v>
      </c>
      <c r="O68" s="47">
        <f t="shared" si="77"/>
        <v>0</v>
      </c>
      <c r="P68" s="45"/>
      <c r="Q68" s="48">
        <f t="shared" si="78"/>
        <v>50</v>
      </c>
      <c r="R68" s="43">
        <v>50</v>
      </c>
      <c r="S68" s="47">
        <f t="shared" si="79"/>
        <v>0</v>
      </c>
      <c r="T68" s="45"/>
      <c r="U68" s="48">
        <f t="shared" si="80"/>
        <v>50</v>
      </c>
      <c r="V68" s="43">
        <v>50</v>
      </c>
      <c r="W68" s="47">
        <f t="shared" si="66"/>
        <v>0</v>
      </c>
      <c r="X68" s="45"/>
      <c r="Y68" s="48">
        <f t="shared" si="81"/>
        <v>50</v>
      </c>
      <c r="Z68" s="43">
        <v>50</v>
      </c>
      <c r="AA68" s="47">
        <f t="shared" si="30"/>
        <v>0</v>
      </c>
      <c r="AB68" s="45"/>
      <c r="AC68" s="48">
        <f t="shared" si="82"/>
        <v>50</v>
      </c>
      <c r="AD68" s="43">
        <v>50</v>
      </c>
      <c r="AE68" s="32">
        <f t="shared" si="22"/>
        <v>0</v>
      </c>
      <c r="AF68" s="45"/>
      <c r="AG68" s="48">
        <f t="shared" si="83"/>
        <v>50</v>
      </c>
      <c r="AH68" s="43">
        <v>50</v>
      </c>
      <c r="AI68" s="32">
        <f t="shared" si="23"/>
        <v>0</v>
      </c>
      <c r="AJ68" s="45"/>
      <c r="AK68" s="48">
        <f t="shared" si="84"/>
        <v>50</v>
      </c>
      <c r="AL68" s="43">
        <v>50</v>
      </c>
      <c r="AM68" s="32">
        <f t="shared" si="24"/>
        <v>0</v>
      </c>
      <c r="AN68" s="45"/>
      <c r="AO68" s="48">
        <f t="shared" si="85"/>
        <v>50</v>
      </c>
      <c r="AP68" s="43">
        <v>50</v>
      </c>
      <c r="AQ68" s="47">
        <f t="shared" si="67"/>
        <v>0</v>
      </c>
      <c r="AR68" s="45"/>
      <c r="AS68" s="48">
        <f t="shared" si="86"/>
        <v>50</v>
      </c>
      <c r="AT68" s="43">
        <v>50</v>
      </c>
      <c r="AU68" s="47">
        <f t="shared" si="35"/>
        <v>0</v>
      </c>
      <c r="AV68" s="45"/>
      <c r="AW68" s="48">
        <f t="shared" si="87"/>
        <v>50</v>
      </c>
      <c r="AX68" s="43">
        <v>50</v>
      </c>
      <c r="AY68" s="47">
        <f t="shared" si="36"/>
        <v>0</v>
      </c>
      <c r="AZ68" s="45"/>
      <c r="BA68" s="48">
        <f t="shared" si="88"/>
        <v>50</v>
      </c>
      <c r="BB68" s="43">
        <v>50</v>
      </c>
      <c r="BC68" s="32">
        <f t="shared" si="26"/>
        <v>0</v>
      </c>
      <c r="BD68" s="45"/>
      <c r="BE68" s="48">
        <f t="shared" si="89"/>
        <v>50</v>
      </c>
      <c r="BF68" s="43">
        <v>50</v>
      </c>
      <c r="BG68" s="47">
        <f t="shared" si="68"/>
        <v>0</v>
      </c>
      <c r="BH68" s="45"/>
      <c r="BI68" s="48">
        <f t="shared" si="90"/>
        <v>50</v>
      </c>
      <c r="BJ68" s="43">
        <v>50</v>
      </c>
      <c r="BK68" s="47">
        <f t="shared" si="69"/>
        <v>0</v>
      </c>
      <c r="BL68" s="45"/>
      <c r="BM68" s="48">
        <f t="shared" si="91"/>
        <v>50</v>
      </c>
      <c r="BN68" s="43"/>
      <c r="BO68" s="47">
        <f t="shared" si="70"/>
        <v>50</v>
      </c>
      <c r="BP68" s="45"/>
      <c r="BQ68" s="48">
        <f t="shared" si="92"/>
        <v>0</v>
      </c>
      <c r="BR68" s="43"/>
      <c r="BS68" s="47">
        <f t="shared" si="71"/>
        <v>0</v>
      </c>
      <c r="BT68" s="45"/>
      <c r="BU68" s="48">
        <f t="shared" si="93"/>
        <v>0</v>
      </c>
      <c r="BV68" s="43"/>
      <c r="BW68" s="47">
        <f t="shared" si="72"/>
        <v>0</v>
      </c>
      <c r="BX68" s="45"/>
      <c r="BY68" s="48">
        <f t="shared" si="94"/>
        <v>0</v>
      </c>
      <c r="BZ68" s="43"/>
      <c r="CA68" s="47">
        <f t="shared" si="73"/>
        <v>0</v>
      </c>
      <c r="CB68" s="45"/>
      <c r="CC68" s="48">
        <f t="shared" si="95"/>
        <v>0</v>
      </c>
    </row>
    <row r="69" spans="1:81" ht="20.100000000000001" hidden="1" customHeight="1" x14ac:dyDescent="0.25">
      <c r="A69" s="12" t="s">
        <v>134</v>
      </c>
      <c r="B69" s="9" t="s">
        <v>106</v>
      </c>
      <c r="C69" s="136">
        <v>1</v>
      </c>
      <c r="D69" s="9" t="s">
        <v>9</v>
      </c>
      <c r="E69" s="13">
        <v>1</v>
      </c>
      <c r="F69" s="43">
        <v>2</v>
      </c>
      <c r="G69" s="47">
        <v>0</v>
      </c>
      <c r="H69" s="45"/>
      <c r="I69" s="48">
        <f t="shared" si="74"/>
        <v>2</v>
      </c>
      <c r="J69" s="43">
        <v>2</v>
      </c>
      <c r="K69" s="47">
        <f t="shared" si="75"/>
        <v>0</v>
      </c>
      <c r="L69" s="45"/>
      <c r="M69" s="48">
        <f t="shared" si="76"/>
        <v>2</v>
      </c>
      <c r="N69" s="43">
        <v>2</v>
      </c>
      <c r="O69" s="47">
        <f t="shared" si="77"/>
        <v>0</v>
      </c>
      <c r="P69" s="45"/>
      <c r="Q69" s="48">
        <f t="shared" si="78"/>
        <v>2</v>
      </c>
      <c r="R69" s="43">
        <v>2</v>
      </c>
      <c r="S69" s="47">
        <f t="shared" si="79"/>
        <v>0</v>
      </c>
      <c r="T69" s="45"/>
      <c r="U69" s="48">
        <f t="shared" si="80"/>
        <v>2</v>
      </c>
      <c r="V69" s="43">
        <v>1</v>
      </c>
      <c r="W69" s="47">
        <f t="shared" si="66"/>
        <v>1</v>
      </c>
      <c r="X69" s="49">
        <v>1</v>
      </c>
      <c r="Y69" s="48">
        <f t="shared" si="81"/>
        <v>2</v>
      </c>
      <c r="Z69" s="43">
        <v>1</v>
      </c>
      <c r="AA69" s="47">
        <f t="shared" si="30"/>
        <v>1</v>
      </c>
      <c r="AB69" s="49">
        <v>1</v>
      </c>
      <c r="AC69" s="48">
        <f t="shared" si="82"/>
        <v>2</v>
      </c>
      <c r="AD69" s="43">
        <v>2</v>
      </c>
      <c r="AE69" s="32">
        <f>+AC69-AD69</f>
        <v>0</v>
      </c>
      <c r="AF69" s="45"/>
      <c r="AG69" s="48">
        <f t="shared" si="83"/>
        <v>2</v>
      </c>
      <c r="AH69" s="43">
        <v>2</v>
      </c>
      <c r="AI69" s="32">
        <f t="shared" ref="AI69:AI70" si="96">+AG69-AH69</f>
        <v>0</v>
      </c>
      <c r="AJ69" s="45"/>
      <c r="AK69" s="48">
        <f t="shared" si="84"/>
        <v>2</v>
      </c>
      <c r="AL69" s="43">
        <v>1</v>
      </c>
      <c r="AM69" s="32">
        <f t="shared" ref="AM69:AM70" si="97">+AK69-AL69</f>
        <v>1</v>
      </c>
      <c r="AN69" s="45">
        <v>1</v>
      </c>
      <c r="AO69" s="48">
        <f t="shared" si="85"/>
        <v>2</v>
      </c>
      <c r="AP69" s="43">
        <v>2</v>
      </c>
      <c r="AQ69" s="47">
        <f t="shared" si="67"/>
        <v>0</v>
      </c>
      <c r="AR69" s="45"/>
      <c r="AS69" s="48">
        <f t="shared" si="86"/>
        <v>2</v>
      </c>
      <c r="AT69" s="43">
        <v>2</v>
      </c>
      <c r="AU69" s="47">
        <f t="shared" si="35"/>
        <v>0</v>
      </c>
      <c r="AV69" s="45"/>
      <c r="AW69" s="48">
        <f t="shared" si="87"/>
        <v>2</v>
      </c>
      <c r="AX69" s="43">
        <v>2</v>
      </c>
      <c r="AY69" s="47">
        <f t="shared" si="36"/>
        <v>0</v>
      </c>
      <c r="AZ69" s="45"/>
      <c r="BA69" s="48">
        <f t="shared" si="88"/>
        <v>2</v>
      </c>
      <c r="BB69" s="43">
        <v>2</v>
      </c>
      <c r="BC69" s="32">
        <f t="shared" ref="BC69:BC70" si="98">+BA69-BB69</f>
        <v>0</v>
      </c>
      <c r="BD69" s="45"/>
      <c r="BE69" s="48">
        <f t="shared" si="89"/>
        <v>2</v>
      </c>
      <c r="BF69" s="43">
        <v>1</v>
      </c>
      <c r="BG69" s="47">
        <f t="shared" si="68"/>
        <v>1</v>
      </c>
      <c r="BH69" s="45">
        <v>1</v>
      </c>
      <c r="BI69" s="48">
        <f t="shared" si="90"/>
        <v>2</v>
      </c>
      <c r="BJ69" s="43">
        <v>2</v>
      </c>
      <c r="BK69" s="47">
        <f t="shared" si="69"/>
        <v>0</v>
      </c>
      <c r="BL69" s="45"/>
      <c r="BM69" s="48">
        <f t="shared" si="91"/>
        <v>2</v>
      </c>
      <c r="BN69" s="43"/>
      <c r="BO69" s="47">
        <f t="shared" si="70"/>
        <v>2</v>
      </c>
      <c r="BP69" s="45"/>
      <c r="BQ69" s="48">
        <f t="shared" si="92"/>
        <v>0</v>
      </c>
      <c r="BR69" s="43"/>
      <c r="BS69" s="47">
        <f t="shared" si="71"/>
        <v>0</v>
      </c>
      <c r="BT69" s="45"/>
      <c r="BU69" s="48">
        <f t="shared" si="93"/>
        <v>0</v>
      </c>
      <c r="BV69" s="43"/>
      <c r="BW69" s="47">
        <f t="shared" si="72"/>
        <v>0</v>
      </c>
      <c r="BX69" s="45"/>
      <c r="BY69" s="48">
        <f t="shared" si="94"/>
        <v>0</v>
      </c>
      <c r="BZ69" s="43"/>
      <c r="CA69" s="47">
        <f t="shared" si="73"/>
        <v>0</v>
      </c>
      <c r="CB69" s="45"/>
      <c r="CC69" s="48">
        <f t="shared" si="95"/>
        <v>0</v>
      </c>
    </row>
    <row r="70" spans="1:81" ht="20.100000000000001" hidden="1" customHeight="1" thickBot="1" x14ac:dyDescent="0.3">
      <c r="A70" s="70" t="s">
        <v>135</v>
      </c>
      <c r="B70" s="23" t="s">
        <v>106</v>
      </c>
      <c r="C70" s="144">
        <v>1</v>
      </c>
      <c r="D70" s="23" t="s">
        <v>9</v>
      </c>
      <c r="E70" s="25">
        <v>1</v>
      </c>
      <c r="F70" s="43">
        <v>1</v>
      </c>
      <c r="G70" s="47">
        <v>1</v>
      </c>
      <c r="H70" s="45">
        <v>1</v>
      </c>
      <c r="I70" s="48">
        <f t="shared" si="74"/>
        <v>2</v>
      </c>
      <c r="J70" s="43">
        <v>2</v>
      </c>
      <c r="K70" s="47">
        <f t="shared" si="75"/>
        <v>0</v>
      </c>
      <c r="L70" s="45"/>
      <c r="M70" s="48">
        <f t="shared" si="76"/>
        <v>2</v>
      </c>
      <c r="N70" s="43">
        <v>1</v>
      </c>
      <c r="O70" s="47">
        <f t="shared" si="77"/>
        <v>1</v>
      </c>
      <c r="P70" s="45"/>
      <c r="Q70" s="48">
        <f t="shared" si="78"/>
        <v>1</v>
      </c>
      <c r="R70" s="43">
        <v>0</v>
      </c>
      <c r="S70" s="47">
        <f t="shared" si="79"/>
        <v>1</v>
      </c>
      <c r="T70" s="45">
        <v>2</v>
      </c>
      <c r="U70" s="48">
        <f t="shared" si="80"/>
        <v>2</v>
      </c>
      <c r="V70" s="43">
        <v>2</v>
      </c>
      <c r="W70" s="47">
        <f t="shared" si="66"/>
        <v>0</v>
      </c>
      <c r="X70" s="45"/>
      <c r="Y70" s="48">
        <f t="shared" si="81"/>
        <v>2</v>
      </c>
      <c r="Z70" s="43">
        <v>1</v>
      </c>
      <c r="AA70" s="47">
        <f t="shared" si="30"/>
        <v>1</v>
      </c>
      <c r="AB70" s="49">
        <v>1</v>
      </c>
      <c r="AC70" s="48">
        <f t="shared" si="82"/>
        <v>2</v>
      </c>
      <c r="AD70" s="43">
        <v>1</v>
      </c>
      <c r="AE70" s="32">
        <f>+AC70-AD70</f>
        <v>1</v>
      </c>
      <c r="AF70" s="45">
        <v>1</v>
      </c>
      <c r="AG70" s="48">
        <f t="shared" si="83"/>
        <v>2</v>
      </c>
      <c r="AH70" s="43">
        <v>2</v>
      </c>
      <c r="AI70" s="32">
        <f t="shared" si="96"/>
        <v>0</v>
      </c>
      <c r="AJ70" s="45"/>
      <c r="AK70" s="48">
        <f t="shared" si="84"/>
        <v>2</v>
      </c>
      <c r="AL70" s="43">
        <v>1</v>
      </c>
      <c r="AM70" s="32">
        <f t="shared" si="97"/>
        <v>1</v>
      </c>
      <c r="AN70" s="45">
        <v>1</v>
      </c>
      <c r="AO70" s="48">
        <f t="shared" si="85"/>
        <v>2</v>
      </c>
      <c r="AP70" s="43">
        <v>2</v>
      </c>
      <c r="AQ70" s="47">
        <f t="shared" si="67"/>
        <v>0</v>
      </c>
      <c r="AR70" s="45"/>
      <c r="AS70" s="48">
        <f t="shared" si="86"/>
        <v>2</v>
      </c>
      <c r="AT70" s="43">
        <v>1</v>
      </c>
      <c r="AU70" s="47">
        <f t="shared" si="35"/>
        <v>1</v>
      </c>
      <c r="AV70" s="45">
        <v>1</v>
      </c>
      <c r="AW70" s="48">
        <f t="shared" si="87"/>
        <v>2</v>
      </c>
      <c r="AX70" s="43">
        <v>2</v>
      </c>
      <c r="AY70" s="47">
        <f t="shared" si="36"/>
        <v>0</v>
      </c>
      <c r="AZ70" s="45"/>
      <c r="BA70" s="48">
        <f t="shared" si="88"/>
        <v>2</v>
      </c>
      <c r="BB70" s="43">
        <v>1</v>
      </c>
      <c r="BC70" s="32">
        <f t="shared" si="98"/>
        <v>1</v>
      </c>
      <c r="BD70" s="45">
        <v>1</v>
      </c>
      <c r="BE70" s="48">
        <f t="shared" si="89"/>
        <v>2</v>
      </c>
      <c r="BF70" s="43">
        <v>1</v>
      </c>
      <c r="BG70" s="47">
        <f t="shared" si="68"/>
        <v>1</v>
      </c>
      <c r="BH70" s="45">
        <v>1</v>
      </c>
      <c r="BI70" s="48">
        <f t="shared" si="90"/>
        <v>2</v>
      </c>
      <c r="BJ70" s="43">
        <v>2</v>
      </c>
      <c r="BK70" s="47">
        <f t="shared" si="69"/>
        <v>0</v>
      </c>
      <c r="BL70" s="45"/>
      <c r="BM70" s="48">
        <f t="shared" si="91"/>
        <v>2</v>
      </c>
      <c r="BN70" s="43"/>
      <c r="BO70" s="47">
        <f t="shared" si="70"/>
        <v>2</v>
      </c>
      <c r="BP70" s="45"/>
      <c r="BQ70" s="48">
        <f t="shared" si="92"/>
        <v>0</v>
      </c>
      <c r="BR70" s="43"/>
      <c r="BS70" s="47">
        <f t="shared" si="71"/>
        <v>0</v>
      </c>
      <c r="BT70" s="45"/>
      <c r="BU70" s="48">
        <f t="shared" si="93"/>
        <v>0</v>
      </c>
      <c r="BV70" s="43"/>
      <c r="BW70" s="47">
        <f t="shared" si="72"/>
        <v>0</v>
      </c>
      <c r="BX70" s="45"/>
      <c r="BY70" s="48">
        <f t="shared" si="94"/>
        <v>0</v>
      </c>
      <c r="BZ70" s="43"/>
      <c r="CA70" s="47">
        <f t="shared" si="73"/>
        <v>0</v>
      </c>
      <c r="CB70" s="45"/>
      <c r="CC70" s="48">
        <f t="shared" si="95"/>
        <v>0</v>
      </c>
    </row>
  </sheetData>
  <autoFilter ref="A1:CC70" xr:uid="{F6F16D72-1E29-4016-8405-F0826C81ECE1}">
    <filterColumn colId="0" showButton="0"/>
    <filterColumn colId="1" showButton="0"/>
    <filterColumn colId="2" showButton="0"/>
    <filterColumn colId="3" showButton="0"/>
    <filterColumn colId="63">
      <customFilters>
        <customFilter operator="notEqual" val=" "/>
      </customFilters>
    </filterColumn>
  </autoFilter>
  <mergeCells count="21">
    <mergeCell ref="Z2:AC2"/>
    <mergeCell ref="A1:E1"/>
    <mergeCell ref="A2:D2"/>
    <mergeCell ref="AD2:AG2"/>
    <mergeCell ref="AH2:AK2"/>
    <mergeCell ref="BV2:BY2"/>
    <mergeCell ref="BZ2:CC2"/>
    <mergeCell ref="R2:U2"/>
    <mergeCell ref="F2:I2"/>
    <mergeCell ref="J2:M2"/>
    <mergeCell ref="N2:Q2"/>
    <mergeCell ref="BJ2:BM2"/>
    <mergeCell ref="BN2:BQ2"/>
    <mergeCell ref="BR2:BU2"/>
    <mergeCell ref="AP2:AS2"/>
    <mergeCell ref="AT2:AW2"/>
    <mergeCell ref="AX2:BA2"/>
    <mergeCell ref="BB2:BE2"/>
    <mergeCell ref="BF2:BI2"/>
    <mergeCell ref="AL2:AO2"/>
    <mergeCell ref="V2:Y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13F0-C86A-489D-8B26-709865CC4B38}">
  <sheetPr filterMode="1">
    <tabColor theme="9"/>
  </sheetPr>
  <dimension ref="A1:WYR39"/>
  <sheetViews>
    <sheetView zoomScale="80" zoomScaleNormal="80" workbookViewId="0">
      <pane xSplit="5" ySplit="2" topLeftCell="BB6" activePane="bottomRight" state="frozen"/>
      <selection pane="topRight" activeCell="F1" sqref="F1"/>
      <selection pane="bottomLeft" activeCell="A3" sqref="A3"/>
      <selection pane="bottomRight" activeCell="BM33" sqref="BM33"/>
    </sheetView>
  </sheetViews>
  <sheetFormatPr baseColWidth="10" defaultColWidth="11.42578125" defaultRowHeight="12" x14ac:dyDescent="0.2"/>
  <cols>
    <col min="1" max="1" width="46.140625" style="37" customWidth="1"/>
    <col min="2" max="4" width="11.42578125" style="37"/>
    <col min="5" max="5" width="4" style="37" bestFit="1" customWidth="1"/>
    <col min="6" max="6" width="16" style="37" bestFit="1" customWidth="1"/>
    <col min="7" max="16384" width="11.42578125" style="37"/>
  </cols>
  <sheetData>
    <row r="1" spans="1:85 16212:16216" ht="12.75" thickBot="1" x14ac:dyDescent="0.25">
      <c r="B1" s="37" t="s">
        <v>157</v>
      </c>
      <c r="AI1" s="150">
        <v>46230</v>
      </c>
    </row>
    <row r="2" spans="1:85 16212:16216" ht="12.75" hidden="1" thickBot="1" x14ac:dyDescent="0.25">
      <c r="A2" s="29"/>
      <c r="B2" s="29"/>
      <c r="C2" s="29"/>
      <c r="D2" s="29"/>
      <c r="E2" s="42"/>
      <c r="F2" s="212">
        <v>46181</v>
      </c>
      <c r="G2" s="213"/>
      <c r="H2" s="213"/>
      <c r="I2" s="214"/>
      <c r="J2" s="212">
        <v>46188</v>
      </c>
      <c r="K2" s="213"/>
      <c r="L2" s="213"/>
      <c r="M2" s="214"/>
      <c r="N2" s="212">
        <v>46194</v>
      </c>
      <c r="O2" s="213"/>
      <c r="P2" s="213"/>
      <c r="Q2" s="214"/>
      <c r="R2" s="212">
        <v>46202</v>
      </c>
      <c r="S2" s="213"/>
      <c r="T2" s="213"/>
      <c r="U2" s="214"/>
      <c r="V2" s="212">
        <v>46209</v>
      </c>
      <c r="W2" s="213"/>
      <c r="X2" s="213"/>
      <c r="Y2" s="214"/>
      <c r="Z2" s="212">
        <v>46216</v>
      </c>
      <c r="AA2" s="213"/>
      <c r="AB2" s="213"/>
      <c r="AC2" s="214"/>
      <c r="AD2" s="212">
        <v>46223</v>
      </c>
      <c r="AE2" s="213"/>
      <c r="AF2" s="213"/>
      <c r="AG2" s="214"/>
      <c r="AH2" s="212">
        <v>46230</v>
      </c>
      <c r="AI2" s="213"/>
      <c r="AJ2" s="213"/>
      <c r="AK2" s="214"/>
      <c r="AL2" s="212">
        <v>46237</v>
      </c>
      <c r="AM2" s="213"/>
      <c r="AN2" s="213"/>
      <c r="AO2" s="214"/>
      <c r="AP2" s="212">
        <v>46244</v>
      </c>
      <c r="AQ2" s="213"/>
      <c r="AR2" s="213"/>
      <c r="AS2" s="214"/>
      <c r="AT2" s="212">
        <v>46251</v>
      </c>
      <c r="AU2" s="213"/>
      <c r="AV2" s="213"/>
      <c r="AW2" s="214"/>
      <c r="AX2" s="212">
        <v>46258</v>
      </c>
      <c r="AY2" s="213"/>
      <c r="AZ2" s="213"/>
      <c r="BA2" s="214"/>
      <c r="BB2" s="212">
        <v>46265</v>
      </c>
      <c r="BC2" s="213"/>
      <c r="BD2" s="213"/>
      <c r="BE2" s="214"/>
      <c r="BF2" s="212">
        <v>46272</v>
      </c>
      <c r="BG2" s="213"/>
      <c r="BH2" s="213"/>
      <c r="BI2" s="214"/>
      <c r="BJ2" s="212">
        <v>46279</v>
      </c>
      <c r="BK2" s="213"/>
      <c r="BL2" s="213"/>
      <c r="BM2" s="214"/>
      <c r="BN2" s="212"/>
      <c r="BO2" s="213"/>
      <c r="BP2" s="213"/>
      <c r="BQ2" s="214"/>
      <c r="BR2" s="212"/>
      <c r="BS2" s="213"/>
      <c r="BT2" s="213"/>
      <c r="BU2" s="214"/>
      <c r="BV2" s="212"/>
      <c r="BW2" s="213"/>
      <c r="BX2" s="213"/>
      <c r="BY2" s="214"/>
      <c r="BZ2" s="212"/>
      <c r="CA2" s="213"/>
      <c r="CB2" s="213"/>
      <c r="CC2" s="214"/>
      <c r="CD2" s="212"/>
      <c r="CE2" s="213"/>
      <c r="CF2" s="213"/>
      <c r="CG2" s="214"/>
    </row>
    <row r="3" spans="1:85 16212:16216" ht="33.75" x14ac:dyDescent="0.2">
      <c r="A3" s="11" t="s">
        <v>1</v>
      </c>
      <c r="B3" s="138" t="s">
        <v>345</v>
      </c>
      <c r="C3" s="137" t="s">
        <v>348</v>
      </c>
      <c r="D3" s="139" t="s">
        <v>347</v>
      </c>
      <c r="E3" s="76"/>
      <c r="F3" s="1" t="s">
        <v>3</v>
      </c>
      <c r="G3" s="2" t="s">
        <v>4</v>
      </c>
      <c r="H3" s="3" t="s">
        <v>5</v>
      </c>
      <c r="I3" s="4" t="s">
        <v>6</v>
      </c>
      <c r="J3" s="1" t="s">
        <v>3</v>
      </c>
      <c r="K3" s="2" t="s">
        <v>4</v>
      </c>
      <c r="L3" s="3" t="s">
        <v>5</v>
      </c>
      <c r="M3" s="4" t="s">
        <v>6</v>
      </c>
      <c r="N3" s="1" t="s">
        <v>3</v>
      </c>
      <c r="O3" s="2" t="s">
        <v>4</v>
      </c>
      <c r="P3" s="3" t="s">
        <v>5</v>
      </c>
      <c r="Q3" s="4" t="s">
        <v>6</v>
      </c>
      <c r="R3" s="1" t="s">
        <v>3</v>
      </c>
      <c r="S3" s="2" t="s">
        <v>4</v>
      </c>
      <c r="T3" s="3" t="s">
        <v>5</v>
      </c>
      <c r="U3" s="4" t="s">
        <v>6</v>
      </c>
      <c r="V3" s="1" t="s">
        <v>3</v>
      </c>
      <c r="W3" s="2" t="s">
        <v>4</v>
      </c>
      <c r="X3" s="3" t="s">
        <v>5</v>
      </c>
      <c r="Y3" s="4" t="s">
        <v>6</v>
      </c>
      <c r="Z3" s="1" t="s">
        <v>3</v>
      </c>
      <c r="AA3" s="2" t="s">
        <v>4</v>
      </c>
      <c r="AB3" s="3" t="s">
        <v>5</v>
      </c>
      <c r="AC3" s="4" t="s">
        <v>6</v>
      </c>
      <c r="AD3" s="1" t="s">
        <v>3</v>
      </c>
      <c r="AE3" s="2" t="s">
        <v>4</v>
      </c>
      <c r="AF3" s="3" t="s">
        <v>5</v>
      </c>
      <c r="AG3" s="4" t="s">
        <v>6</v>
      </c>
      <c r="AH3" s="1" t="s">
        <v>3</v>
      </c>
      <c r="AI3" s="2" t="s">
        <v>4</v>
      </c>
      <c r="AJ3" s="3" t="s">
        <v>5</v>
      </c>
      <c r="AK3" s="4" t="s">
        <v>6</v>
      </c>
      <c r="AL3" s="1" t="s">
        <v>3</v>
      </c>
      <c r="AM3" s="2" t="s">
        <v>4</v>
      </c>
      <c r="AN3" s="3" t="s">
        <v>5</v>
      </c>
      <c r="AO3" s="4" t="s">
        <v>6</v>
      </c>
      <c r="AP3" s="1" t="s">
        <v>3</v>
      </c>
      <c r="AQ3" s="2" t="s">
        <v>4</v>
      </c>
      <c r="AR3" s="3" t="s">
        <v>5</v>
      </c>
      <c r="AS3" s="4" t="s">
        <v>6</v>
      </c>
      <c r="AT3" s="1" t="s">
        <v>3</v>
      </c>
      <c r="AU3" s="2" t="s">
        <v>4</v>
      </c>
      <c r="AV3" s="3" t="s">
        <v>5</v>
      </c>
      <c r="AW3" s="4" t="s">
        <v>6</v>
      </c>
      <c r="AX3" s="1" t="s">
        <v>3</v>
      </c>
      <c r="AY3" s="2" t="s">
        <v>4</v>
      </c>
      <c r="AZ3" s="3" t="s">
        <v>5</v>
      </c>
      <c r="BA3" s="4" t="s">
        <v>6</v>
      </c>
      <c r="BB3" s="1" t="s">
        <v>3</v>
      </c>
      <c r="BC3" s="2" t="s">
        <v>4</v>
      </c>
      <c r="BD3" s="3" t="s">
        <v>5</v>
      </c>
      <c r="BE3" s="4" t="s">
        <v>6</v>
      </c>
      <c r="BF3" s="1" t="s">
        <v>3</v>
      </c>
      <c r="BG3" s="2" t="s">
        <v>4</v>
      </c>
      <c r="BH3" s="3" t="s">
        <v>5</v>
      </c>
      <c r="BI3" s="4" t="s">
        <v>6</v>
      </c>
      <c r="BJ3" s="1" t="s">
        <v>3</v>
      </c>
      <c r="BK3" s="2" t="s">
        <v>4</v>
      </c>
      <c r="BL3" s="3" t="s">
        <v>5</v>
      </c>
      <c r="BM3" s="4" t="s">
        <v>6</v>
      </c>
      <c r="BN3" s="1" t="s">
        <v>3</v>
      </c>
      <c r="BO3" s="2" t="s">
        <v>4</v>
      </c>
      <c r="BP3" s="3" t="s">
        <v>5</v>
      </c>
      <c r="BQ3" s="4" t="s">
        <v>6</v>
      </c>
      <c r="BR3" s="1" t="s">
        <v>3</v>
      </c>
      <c r="BS3" s="2" t="s">
        <v>4</v>
      </c>
      <c r="BT3" s="3" t="s">
        <v>5</v>
      </c>
      <c r="BU3" s="4" t="s">
        <v>6</v>
      </c>
      <c r="BV3" s="1" t="s">
        <v>3</v>
      </c>
      <c r="BW3" s="2" t="s">
        <v>4</v>
      </c>
      <c r="BX3" s="3" t="s">
        <v>5</v>
      </c>
      <c r="BY3" s="4" t="s">
        <v>6</v>
      </c>
      <c r="BZ3" s="1" t="s">
        <v>3</v>
      </c>
      <c r="CA3" s="2" t="s">
        <v>4</v>
      </c>
      <c r="CB3" s="3" t="s">
        <v>5</v>
      </c>
      <c r="CC3" s="4" t="s">
        <v>6</v>
      </c>
      <c r="CD3" s="1" t="s">
        <v>3</v>
      </c>
      <c r="CE3" s="2" t="s">
        <v>4</v>
      </c>
      <c r="CF3" s="3" t="s">
        <v>5</v>
      </c>
      <c r="CG3" s="4" t="s">
        <v>6</v>
      </c>
    </row>
    <row r="4" spans="1:85 16212:16216" s="89" customFormat="1" ht="20.100000000000001" customHeight="1" x14ac:dyDescent="0.25">
      <c r="A4" s="19" t="s">
        <v>321</v>
      </c>
      <c r="B4" s="156" t="s">
        <v>7</v>
      </c>
      <c r="C4" s="160">
        <v>6.3</v>
      </c>
      <c r="D4" s="156" t="s">
        <v>354</v>
      </c>
      <c r="E4" s="77">
        <v>6</v>
      </c>
      <c r="F4" s="43">
        <v>6</v>
      </c>
      <c r="G4" s="47">
        <v>5</v>
      </c>
      <c r="H4" s="45">
        <v>1</v>
      </c>
      <c r="I4" s="48">
        <f>+F4+H4*$E4</f>
        <v>12</v>
      </c>
      <c r="J4" s="43">
        <v>8</v>
      </c>
      <c r="K4" s="47">
        <f>+I4-J4</f>
        <v>4</v>
      </c>
      <c r="L4" s="45">
        <v>1</v>
      </c>
      <c r="M4" s="48">
        <f>+J4+L4*$E4</f>
        <v>14</v>
      </c>
      <c r="N4" s="43">
        <v>8</v>
      </c>
      <c r="O4" s="47">
        <f>+M4-N4</f>
        <v>6</v>
      </c>
      <c r="P4" s="45">
        <v>1</v>
      </c>
      <c r="Q4" s="48">
        <f>+N4+P4*$E4</f>
        <v>14</v>
      </c>
      <c r="R4" s="43">
        <v>8</v>
      </c>
      <c r="S4" s="47">
        <f>+Q4-R4</f>
        <v>6</v>
      </c>
      <c r="T4" s="45">
        <v>1</v>
      </c>
      <c r="U4" s="48">
        <f>+R4+T4*$E4</f>
        <v>14</v>
      </c>
      <c r="V4" s="43">
        <v>9</v>
      </c>
      <c r="W4" s="47">
        <f>+U4-V4</f>
        <v>5</v>
      </c>
      <c r="X4" s="45"/>
      <c r="Y4" s="48">
        <f t="shared" ref="Y4:Y10" si="0">+V4+X4*$E4</f>
        <v>9</v>
      </c>
      <c r="Z4" s="43">
        <v>6</v>
      </c>
      <c r="AA4" s="47">
        <f t="shared" ref="AA4:AA39" si="1">+Y4-Z4</f>
        <v>3</v>
      </c>
      <c r="AB4" s="49">
        <v>1</v>
      </c>
      <c r="AC4" s="48">
        <f t="shared" ref="AC4:AC15" si="2">+Z4+AB4*$E4</f>
        <v>12</v>
      </c>
      <c r="AD4" s="43">
        <v>6</v>
      </c>
      <c r="AE4" s="47">
        <f>+AC4-AD4</f>
        <v>6</v>
      </c>
      <c r="AF4" s="45">
        <v>1</v>
      </c>
      <c r="AG4" s="48">
        <f t="shared" ref="AG4:AG15" si="3">+AD4+AF4*$E4</f>
        <v>12</v>
      </c>
      <c r="AH4" s="43">
        <v>6</v>
      </c>
      <c r="AI4" s="47">
        <f>+AG4-AH4</f>
        <v>6</v>
      </c>
      <c r="AJ4" s="45">
        <v>1</v>
      </c>
      <c r="AK4" s="48">
        <f t="shared" ref="AK4:AK15" si="4">+AH4+AJ4*$E4</f>
        <v>12</v>
      </c>
      <c r="AL4" s="43">
        <v>8</v>
      </c>
      <c r="AM4" s="47">
        <f>+AK4-AL4</f>
        <v>4</v>
      </c>
      <c r="AN4" s="45">
        <v>1</v>
      </c>
      <c r="AO4" s="48">
        <f t="shared" ref="AO4:AO15" si="5">+AL4+AN4*$E4</f>
        <v>14</v>
      </c>
      <c r="AP4" s="43">
        <v>6</v>
      </c>
      <c r="AQ4" s="47">
        <f>+AO4-AP4</f>
        <v>8</v>
      </c>
      <c r="AR4" s="45">
        <v>1</v>
      </c>
      <c r="AS4" s="48">
        <f t="shared" ref="AS4:AS15" si="6">+AP4+AR4*$E4</f>
        <v>12</v>
      </c>
      <c r="AT4" s="43">
        <v>1</v>
      </c>
      <c r="AU4" s="47">
        <f>+AS4-AT4</f>
        <v>11</v>
      </c>
      <c r="AV4" s="45">
        <v>3</v>
      </c>
      <c r="AW4" s="48">
        <f t="shared" ref="AW4:AW15" si="7">+AT4+AV4*$E4</f>
        <v>19</v>
      </c>
      <c r="AX4" s="43">
        <v>15</v>
      </c>
      <c r="AY4" s="47">
        <f>+AW4-AX4</f>
        <v>4</v>
      </c>
      <c r="AZ4" s="45"/>
      <c r="BA4" s="48">
        <f t="shared" ref="BA4:BA15" si="8">+AX4+AZ4*$E4</f>
        <v>15</v>
      </c>
      <c r="BB4" s="43">
        <v>9</v>
      </c>
      <c r="BC4" s="47">
        <f>+BA4-BB4</f>
        <v>6</v>
      </c>
      <c r="BD4" s="45">
        <v>1</v>
      </c>
      <c r="BE4" s="48">
        <f t="shared" ref="BE4:BE15" si="9">+BB4+BD4*$E4</f>
        <v>15</v>
      </c>
      <c r="BF4" s="43">
        <v>11</v>
      </c>
      <c r="BG4" s="47">
        <f>+BE4-BF4</f>
        <v>4</v>
      </c>
      <c r="BH4" s="45">
        <v>1</v>
      </c>
      <c r="BI4" s="48">
        <f t="shared" ref="BI4:BI15" si="10">+BF4+BH4*$E4</f>
        <v>17</v>
      </c>
      <c r="BJ4" s="43">
        <v>10</v>
      </c>
      <c r="BK4" s="47">
        <f>+BI4-BJ4</f>
        <v>7</v>
      </c>
      <c r="BL4" s="45">
        <v>1</v>
      </c>
      <c r="BM4" s="48">
        <f t="shared" ref="BM4:BM15" si="11">+BJ4+BL4*$E4</f>
        <v>16</v>
      </c>
      <c r="BN4" s="43"/>
      <c r="BO4" s="47">
        <f>+BM4-BN4</f>
        <v>16</v>
      </c>
      <c r="BP4" s="45"/>
      <c r="BQ4" s="48">
        <f t="shared" ref="BQ4:BQ15" si="12">+BN4+BP4*$E4</f>
        <v>0</v>
      </c>
      <c r="BR4" s="43"/>
      <c r="BS4" s="47">
        <f>+BQ4-BR4</f>
        <v>0</v>
      </c>
      <c r="BT4" s="45"/>
      <c r="BU4" s="48">
        <f t="shared" ref="BU4:BU15" si="13">+BR4+BT4*$E4</f>
        <v>0</v>
      </c>
      <c r="BV4" s="43"/>
      <c r="BW4" s="47">
        <f>+BU4-BV4</f>
        <v>0</v>
      </c>
      <c r="BX4" s="45"/>
      <c r="BY4" s="48">
        <f t="shared" ref="BY4:BY15" si="14">+BV4+BX4*$E4</f>
        <v>0</v>
      </c>
      <c r="BZ4" s="43"/>
      <c r="CA4" s="47">
        <f>+BY4-BZ4</f>
        <v>0</v>
      </c>
      <c r="CB4" s="45"/>
      <c r="CC4" s="48">
        <f t="shared" ref="CC4:CC15" si="15">+BZ4+CB4*$E4</f>
        <v>0</v>
      </c>
      <c r="CD4" s="43"/>
      <c r="CE4" s="47">
        <f>+CC4-CD4</f>
        <v>0</v>
      </c>
      <c r="CF4" s="45"/>
      <c r="CG4" s="48">
        <f>+CD4+CF4*$E4</f>
        <v>0</v>
      </c>
    </row>
    <row r="5" spans="1:85 16212:16216" s="89" customFormat="1" ht="20.100000000000001" hidden="1" customHeight="1" x14ac:dyDescent="0.25">
      <c r="A5" s="27" t="s">
        <v>322</v>
      </c>
      <c r="B5" s="161" t="s">
        <v>7</v>
      </c>
      <c r="C5" s="162">
        <v>8</v>
      </c>
      <c r="D5" s="161" t="s">
        <v>9</v>
      </c>
      <c r="E5" s="77">
        <v>8</v>
      </c>
      <c r="F5" s="43">
        <v>72</v>
      </c>
      <c r="G5" s="47">
        <v>44</v>
      </c>
      <c r="H5" s="45">
        <v>4</v>
      </c>
      <c r="I5" s="48">
        <f t="shared" ref="I5:I13" si="16">+F5+H5*$E5</f>
        <v>104</v>
      </c>
      <c r="J5" s="43">
        <v>28</v>
      </c>
      <c r="K5" s="47">
        <f>+I5-J5</f>
        <v>76</v>
      </c>
      <c r="L5" s="45">
        <v>12</v>
      </c>
      <c r="M5" s="48">
        <f t="shared" ref="M5:M13" si="17">+J5+L5*$E5</f>
        <v>124</v>
      </c>
      <c r="N5" s="43">
        <v>47</v>
      </c>
      <c r="O5" s="47">
        <f t="shared" ref="O5:O39" si="18">+M5-N5</f>
        <v>77</v>
      </c>
      <c r="P5" s="45">
        <v>8</v>
      </c>
      <c r="Q5" s="48">
        <f t="shared" ref="Q5:Q13" si="19">+N5+P5*$E5</f>
        <v>111</v>
      </c>
      <c r="R5" s="43">
        <v>12</v>
      </c>
      <c r="S5" s="47">
        <f t="shared" ref="S5:S39" si="20">+Q5-R5</f>
        <v>99</v>
      </c>
      <c r="T5" s="45">
        <v>14</v>
      </c>
      <c r="U5" s="48">
        <f t="shared" ref="U5:U13" si="21">+R5+T5*$E5</f>
        <v>124</v>
      </c>
      <c r="V5" s="43">
        <v>60</v>
      </c>
      <c r="W5" s="47">
        <f t="shared" ref="W5:W39" si="22">+U5-V5</f>
        <v>64</v>
      </c>
      <c r="X5" s="45">
        <v>8</v>
      </c>
      <c r="Y5" s="48">
        <f t="shared" si="0"/>
        <v>124</v>
      </c>
      <c r="Z5" s="43">
        <f>48+4</f>
        <v>52</v>
      </c>
      <c r="AA5" s="47">
        <f t="shared" si="1"/>
        <v>72</v>
      </c>
      <c r="AB5" s="49">
        <v>9</v>
      </c>
      <c r="AC5" s="48">
        <f t="shared" si="2"/>
        <v>124</v>
      </c>
      <c r="AD5" s="43">
        <v>22</v>
      </c>
      <c r="AE5" s="47">
        <f t="shared" ref="AE5:AE39" si="23">+AC5-AD5</f>
        <v>102</v>
      </c>
      <c r="AF5" s="49">
        <v>12</v>
      </c>
      <c r="AG5" s="48">
        <f t="shared" si="3"/>
        <v>118</v>
      </c>
      <c r="AH5" s="43">
        <v>57</v>
      </c>
      <c r="AI5" s="47">
        <f t="shared" ref="AI5:AI39" si="24">+AG5-AH5</f>
        <v>61</v>
      </c>
      <c r="AJ5" s="45">
        <v>12</v>
      </c>
      <c r="AK5" s="48">
        <f t="shared" si="4"/>
        <v>153</v>
      </c>
      <c r="AL5" s="43">
        <v>38</v>
      </c>
      <c r="AM5" s="47">
        <f t="shared" ref="AM5:AM39" si="25">+AK5-AL5</f>
        <v>115</v>
      </c>
      <c r="AN5" s="45">
        <v>10</v>
      </c>
      <c r="AO5" s="48">
        <f t="shared" si="5"/>
        <v>118</v>
      </c>
      <c r="AP5" s="43">
        <v>35</v>
      </c>
      <c r="AQ5" s="47">
        <f t="shared" ref="AQ5:AQ39" si="26">+AO5-AP5</f>
        <v>83</v>
      </c>
      <c r="AR5" s="45">
        <v>10</v>
      </c>
      <c r="AS5" s="48">
        <f t="shared" si="6"/>
        <v>115</v>
      </c>
      <c r="AT5" s="43">
        <v>68</v>
      </c>
      <c r="AU5" s="47">
        <f t="shared" ref="AU5:AU39" si="27">+AS5-AT5</f>
        <v>47</v>
      </c>
      <c r="AV5" s="45">
        <v>6</v>
      </c>
      <c r="AW5" s="48">
        <f t="shared" si="7"/>
        <v>116</v>
      </c>
      <c r="AX5" s="43">
        <v>31</v>
      </c>
      <c r="AY5" s="47">
        <f t="shared" ref="AY5:AY39" si="28">+AW5-AX5</f>
        <v>85</v>
      </c>
      <c r="AZ5" s="45">
        <v>5</v>
      </c>
      <c r="BA5" s="48">
        <f t="shared" si="8"/>
        <v>71</v>
      </c>
      <c r="BB5" s="43">
        <f>8*5</f>
        <v>40</v>
      </c>
      <c r="BC5" s="47">
        <f t="shared" ref="BC5:BC39" si="29">+BA5-BB5</f>
        <v>31</v>
      </c>
      <c r="BD5" s="45">
        <v>8</v>
      </c>
      <c r="BE5" s="48">
        <f t="shared" si="9"/>
        <v>104</v>
      </c>
      <c r="BF5" s="43"/>
      <c r="BG5" s="47">
        <f t="shared" ref="BG5:BG39" si="30">+BE5-BF5</f>
        <v>104</v>
      </c>
      <c r="BH5" s="45"/>
      <c r="BI5" s="48">
        <f t="shared" si="10"/>
        <v>0</v>
      </c>
      <c r="BJ5" s="43"/>
      <c r="BK5" s="47">
        <f t="shared" ref="BK5:BK39" si="31">+BI5-BJ5</f>
        <v>0</v>
      </c>
      <c r="BL5" s="45"/>
      <c r="BM5" s="48">
        <f t="shared" si="11"/>
        <v>0</v>
      </c>
      <c r="BN5" s="43"/>
      <c r="BO5" s="47">
        <f t="shared" ref="BO5:BO39" si="32">+BM5-BN5</f>
        <v>0</v>
      </c>
      <c r="BP5" s="45"/>
      <c r="BQ5" s="48">
        <f t="shared" si="12"/>
        <v>0</v>
      </c>
      <c r="BR5" s="43"/>
      <c r="BS5" s="47">
        <f t="shared" ref="BS5:BS39" si="33">+BQ5-BR5</f>
        <v>0</v>
      </c>
      <c r="BT5" s="45"/>
      <c r="BU5" s="48">
        <f t="shared" si="13"/>
        <v>0</v>
      </c>
      <c r="BV5" s="43"/>
      <c r="BW5" s="47">
        <f t="shared" ref="BW5:BW39" si="34">+BU5-BV5</f>
        <v>0</v>
      </c>
      <c r="BX5" s="45"/>
      <c r="BY5" s="48">
        <f t="shared" si="14"/>
        <v>0</v>
      </c>
      <c r="BZ5" s="43"/>
      <c r="CA5" s="47">
        <f t="shared" ref="CA5:CA39" si="35">+BY5-BZ5</f>
        <v>0</v>
      </c>
      <c r="CB5" s="45"/>
      <c r="CC5" s="48">
        <f t="shared" si="15"/>
        <v>0</v>
      </c>
      <c r="CD5" s="43"/>
      <c r="CE5" s="47">
        <f t="shared" ref="CE5:CE39" si="36">+CC5-CD5</f>
        <v>0</v>
      </c>
      <c r="CF5" s="45"/>
      <c r="CG5" s="48">
        <f>+CD5+CF5*$E5</f>
        <v>0</v>
      </c>
    </row>
    <row r="6" spans="1:85 16212:16216" s="89" customFormat="1" ht="20.100000000000001" customHeight="1" x14ac:dyDescent="0.25">
      <c r="A6" s="19" t="s">
        <v>154</v>
      </c>
      <c r="B6" s="156" t="s">
        <v>7</v>
      </c>
      <c r="C6" s="163">
        <v>4</v>
      </c>
      <c r="D6" s="156" t="s">
        <v>9</v>
      </c>
      <c r="E6" s="77">
        <v>4</v>
      </c>
      <c r="F6" s="43">
        <v>13</v>
      </c>
      <c r="G6" s="47">
        <v>21</v>
      </c>
      <c r="H6" s="45">
        <v>3</v>
      </c>
      <c r="I6" s="48">
        <f t="shared" si="16"/>
        <v>25</v>
      </c>
      <c r="J6" s="43">
        <v>9</v>
      </c>
      <c r="K6" s="47">
        <f>+I6-J6</f>
        <v>16</v>
      </c>
      <c r="L6" s="45">
        <v>4</v>
      </c>
      <c r="M6" s="48">
        <f t="shared" si="17"/>
        <v>25</v>
      </c>
      <c r="N6" s="43">
        <v>8</v>
      </c>
      <c r="O6" s="47">
        <f t="shared" si="18"/>
        <v>17</v>
      </c>
      <c r="P6" s="45">
        <v>3</v>
      </c>
      <c r="Q6" s="48">
        <f t="shared" si="19"/>
        <v>20</v>
      </c>
      <c r="R6" s="43">
        <v>8</v>
      </c>
      <c r="S6" s="47">
        <f t="shared" si="20"/>
        <v>12</v>
      </c>
      <c r="T6" s="45">
        <v>5</v>
      </c>
      <c r="U6" s="48">
        <f t="shared" si="21"/>
        <v>28</v>
      </c>
      <c r="V6" s="43">
        <v>11</v>
      </c>
      <c r="W6" s="47">
        <f t="shared" si="22"/>
        <v>17</v>
      </c>
      <c r="X6" s="49">
        <v>5</v>
      </c>
      <c r="Y6" s="48">
        <f t="shared" si="0"/>
        <v>31</v>
      </c>
      <c r="Z6" s="43">
        <v>21</v>
      </c>
      <c r="AA6" s="47">
        <f t="shared" si="1"/>
        <v>10</v>
      </c>
      <c r="AB6" s="49">
        <v>1</v>
      </c>
      <c r="AC6" s="48">
        <f t="shared" si="2"/>
        <v>25</v>
      </c>
      <c r="AD6" s="43">
        <v>2</v>
      </c>
      <c r="AE6" s="47">
        <f t="shared" si="23"/>
        <v>23</v>
      </c>
      <c r="AF6" s="45">
        <v>7</v>
      </c>
      <c r="AG6" s="48">
        <f t="shared" si="3"/>
        <v>30</v>
      </c>
      <c r="AH6" s="43">
        <v>22</v>
      </c>
      <c r="AI6" s="47">
        <f t="shared" si="24"/>
        <v>8</v>
      </c>
      <c r="AJ6" s="45"/>
      <c r="AK6" s="48">
        <f t="shared" si="4"/>
        <v>22</v>
      </c>
      <c r="AL6" s="43">
        <v>5</v>
      </c>
      <c r="AM6" s="47">
        <f t="shared" si="25"/>
        <v>17</v>
      </c>
      <c r="AN6" s="45">
        <v>5</v>
      </c>
      <c r="AO6" s="48">
        <f t="shared" si="5"/>
        <v>25</v>
      </c>
      <c r="AP6" s="43">
        <v>8</v>
      </c>
      <c r="AQ6" s="47">
        <f t="shared" si="26"/>
        <v>17</v>
      </c>
      <c r="AR6" s="45">
        <v>4</v>
      </c>
      <c r="AS6" s="48">
        <f t="shared" si="6"/>
        <v>24</v>
      </c>
      <c r="AT6" s="43">
        <v>8</v>
      </c>
      <c r="AU6" s="47">
        <f t="shared" si="27"/>
        <v>16</v>
      </c>
      <c r="AV6" s="45">
        <v>4</v>
      </c>
      <c r="AW6" s="48">
        <f t="shared" si="7"/>
        <v>24</v>
      </c>
      <c r="AX6" s="43">
        <v>12</v>
      </c>
      <c r="AY6" s="47">
        <f t="shared" si="28"/>
        <v>12</v>
      </c>
      <c r="AZ6" s="45">
        <v>2</v>
      </c>
      <c r="BA6" s="48">
        <f t="shared" si="8"/>
        <v>20</v>
      </c>
      <c r="BB6" s="43">
        <v>3</v>
      </c>
      <c r="BC6" s="47">
        <f t="shared" si="29"/>
        <v>17</v>
      </c>
      <c r="BD6" s="45">
        <v>5</v>
      </c>
      <c r="BE6" s="48">
        <f t="shared" si="9"/>
        <v>23</v>
      </c>
      <c r="BF6" s="43">
        <v>8</v>
      </c>
      <c r="BG6" s="47">
        <f t="shared" si="30"/>
        <v>15</v>
      </c>
      <c r="BH6" s="45">
        <v>4</v>
      </c>
      <c r="BI6" s="48">
        <f t="shared" si="10"/>
        <v>24</v>
      </c>
      <c r="BJ6" s="43">
        <v>7</v>
      </c>
      <c r="BK6" s="47">
        <f t="shared" si="31"/>
        <v>17</v>
      </c>
      <c r="BL6" s="45">
        <v>4</v>
      </c>
      <c r="BM6" s="48">
        <f t="shared" si="11"/>
        <v>23</v>
      </c>
      <c r="BN6" s="43"/>
      <c r="BO6" s="47">
        <f t="shared" si="32"/>
        <v>23</v>
      </c>
      <c r="BP6" s="45"/>
      <c r="BQ6" s="48">
        <f t="shared" si="12"/>
        <v>0</v>
      </c>
      <c r="BR6" s="43"/>
      <c r="BS6" s="47">
        <f t="shared" si="33"/>
        <v>0</v>
      </c>
      <c r="BT6" s="45"/>
      <c r="BU6" s="48">
        <f t="shared" si="13"/>
        <v>0</v>
      </c>
      <c r="BV6" s="43"/>
      <c r="BW6" s="47">
        <f t="shared" si="34"/>
        <v>0</v>
      </c>
      <c r="BX6" s="45"/>
      <c r="BY6" s="48">
        <f t="shared" si="14"/>
        <v>0</v>
      </c>
      <c r="BZ6" s="43"/>
      <c r="CA6" s="47">
        <f t="shared" si="35"/>
        <v>0</v>
      </c>
      <c r="CB6" s="45"/>
      <c r="CC6" s="48">
        <f t="shared" si="15"/>
        <v>0</v>
      </c>
      <c r="CD6" s="43"/>
      <c r="CE6" s="47">
        <f t="shared" si="36"/>
        <v>0</v>
      </c>
      <c r="CF6" s="45"/>
      <c r="CG6" s="48">
        <f>+CD6+CF6*$E6</f>
        <v>0</v>
      </c>
    </row>
    <row r="7" spans="1:85 16212:16216" s="89" customFormat="1" ht="20.100000000000001" hidden="1" customHeight="1" x14ac:dyDescent="0.25">
      <c r="A7" s="12" t="s">
        <v>368</v>
      </c>
      <c r="B7" s="156" t="s">
        <v>7</v>
      </c>
      <c r="C7" s="163">
        <v>24</v>
      </c>
      <c r="D7" s="156" t="s">
        <v>9</v>
      </c>
      <c r="E7" s="77">
        <v>72</v>
      </c>
      <c r="F7" s="43"/>
      <c r="G7" s="47">
        <v>48</v>
      </c>
      <c r="H7" s="45"/>
      <c r="I7" s="48">
        <f>+F7+H7*$E7</f>
        <v>0</v>
      </c>
      <c r="J7" s="43"/>
      <c r="K7" s="47">
        <f>+I7-J7</f>
        <v>0</v>
      </c>
      <c r="L7" s="45">
        <v>1</v>
      </c>
      <c r="M7" s="48">
        <f>+J7+L7*$E7</f>
        <v>72</v>
      </c>
      <c r="N7" s="43">
        <v>72</v>
      </c>
      <c r="O7" s="47">
        <f>+M7-N7</f>
        <v>0</v>
      </c>
      <c r="P7" s="45"/>
      <c r="Q7" s="48">
        <f>+N7+P7*$E7</f>
        <v>72</v>
      </c>
      <c r="R7" s="43">
        <v>72</v>
      </c>
      <c r="S7" s="47">
        <f t="shared" si="20"/>
        <v>0</v>
      </c>
      <c r="T7" s="45"/>
      <c r="U7" s="48">
        <f>+R7+T7*$E7</f>
        <v>72</v>
      </c>
      <c r="V7" s="43">
        <v>64</v>
      </c>
      <c r="W7" s="47">
        <f t="shared" si="22"/>
        <v>8</v>
      </c>
      <c r="X7" s="45"/>
      <c r="Y7" s="48">
        <f t="shared" si="0"/>
        <v>64</v>
      </c>
      <c r="Z7" s="43">
        <v>60</v>
      </c>
      <c r="AA7" s="47">
        <f t="shared" si="1"/>
        <v>4</v>
      </c>
      <c r="AB7" s="45"/>
      <c r="AC7" s="48">
        <f t="shared" si="2"/>
        <v>60</v>
      </c>
      <c r="AD7" s="43">
        <v>35</v>
      </c>
      <c r="AE7" s="47">
        <f t="shared" si="23"/>
        <v>25</v>
      </c>
      <c r="AF7" s="45">
        <v>1</v>
      </c>
      <c r="AG7" s="48">
        <f t="shared" si="3"/>
        <v>107</v>
      </c>
      <c r="AH7" s="43">
        <v>93</v>
      </c>
      <c r="AI7" s="47">
        <f t="shared" si="24"/>
        <v>14</v>
      </c>
      <c r="AJ7" s="45"/>
      <c r="AK7" s="48">
        <f t="shared" si="4"/>
        <v>93</v>
      </c>
      <c r="AL7" s="43">
        <v>86</v>
      </c>
      <c r="AM7" s="47">
        <f t="shared" si="25"/>
        <v>7</v>
      </c>
      <c r="AN7" s="45"/>
      <c r="AO7" s="48">
        <f t="shared" si="5"/>
        <v>86</v>
      </c>
      <c r="AP7" s="43">
        <v>81</v>
      </c>
      <c r="AQ7" s="47">
        <f t="shared" si="26"/>
        <v>5</v>
      </c>
      <c r="AR7" s="45"/>
      <c r="AS7" s="48">
        <f t="shared" si="6"/>
        <v>81</v>
      </c>
      <c r="AT7" s="43">
        <v>65</v>
      </c>
      <c r="AU7" s="47">
        <f t="shared" si="27"/>
        <v>16</v>
      </c>
      <c r="AV7" s="45"/>
      <c r="AW7" s="48">
        <f t="shared" si="7"/>
        <v>65</v>
      </c>
      <c r="AX7" s="43">
        <v>50</v>
      </c>
      <c r="AY7" s="47">
        <f t="shared" si="28"/>
        <v>15</v>
      </c>
      <c r="AZ7" s="45"/>
      <c r="BA7" s="48">
        <f t="shared" si="8"/>
        <v>50</v>
      </c>
      <c r="BB7" s="43">
        <v>49</v>
      </c>
      <c r="BC7" s="47">
        <f t="shared" si="29"/>
        <v>1</v>
      </c>
      <c r="BD7" s="45"/>
      <c r="BE7" s="48">
        <f t="shared" si="9"/>
        <v>49</v>
      </c>
      <c r="BF7" s="43">
        <v>29</v>
      </c>
      <c r="BG7" s="47">
        <f t="shared" si="30"/>
        <v>20</v>
      </c>
      <c r="BH7" s="45">
        <v>1</v>
      </c>
      <c r="BI7" s="48">
        <f t="shared" si="10"/>
        <v>101</v>
      </c>
      <c r="BJ7" s="43">
        <v>69</v>
      </c>
      <c r="BK7" s="47">
        <f t="shared" si="31"/>
        <v>32</v>
      </c>
      <c r="BL7" s="45"/>
      <c r="BM7" s="48">
        <f t="shared" si="11"/>
        <v>69</v>
      </c>
      <c r="BN7" s="43"/>
      <c r="BO7" s="47">
        <f t="shared" si="32"/>
        <v>69</v>
      </c>
      <c r="BP7" s="45"/>
      <c r="BQ7" s="48">
        <f t="shared" si="12"/>
        <v>0</v>
      </c>
      <c r="BR7" s="43"/>
      <c r="BS7" s="47">
        <f t="shared" si="33"/>
        <v>0</v>
      </c>
      <c r="BT7" s="45"/>
      <c r="BU7" s="48">
        <f t="shared" si="13"/>
        <v>0</v>
      </c>
      <c r="BV7" s="43"/>
      <c r="BW7" s="47">
        <f t="shared" si="34"/>
        <v>0</v>
      </c>
      <c r="BX7" s="45"/>
      <c r="BY7" s="48">
        <f t="shared" si="14"/>
        <v>0</v>
      </c>
      <c r="BZ7" s="43"/>
      <c r="CA7" s="47">
        <f t="shared" si="35"/>
        <v>0</v>
      </c>
      <c r="CB7" s="45"/>
      <c r="CC7" s="48">
        <f t="shared" si="15"/>
        <v>0</v>
      </c>
      <c r="CD7" s="43"/>
      <c r="CE7" s="47">
        <f t="shared" si="36"/>
        <v>0</v>
      </c>
      <c r="CF7" s="45"/>
      <c r="CG7" s="48">
        <f>+CD7+CF7*$E7</f>
        <v>0</v>
      </c>
    </row>
    <row r="8" spans="1:85 16212:16216" s="89" customFormat="1" ht="20.100000000000001" customHeight="1" x14ac:dyDescent="0.25">
      <c r="A8" s="12" t="s">
        <v>369</v>
      </c>
      <c r="B8" s="156" t="s">
        <v>7</v>
      </c>
      <c r="C8" s="163">
        <v>24</v>
      </c>
      <c r="D8" s="156" t="s">
        <v>9</v>
      </c>
      <c r="E8" s="77">
        <v>60</v>
      </c>
      <c r="F8" s="43"/>
      <c r="G8" s="47">
        <v>48</v>
      </c>
      <c r="H8" s="45"/>
      <c r="I8" s="48">
        <f>+F8+H8*$E8</f>
        <v>0</v>
      </c>
      <c r="J8" s="43"/>
      <c r="K8" s="47">
        <f>+I8-J8</f>
        <v>0</v>
      </c>
      <c r="L8" s="45">
        <v>1</v>
      </c>
      <c r="M8" s="48">
        <f>+J8+L8*$E8</f>
        <v>60</v>
      </c>
      <c r="N8" s="43">
        <v>60</v>
      </c>
      <c r="O8" s="47">
        <f t="shared" si="18"/>
        <v>0</v>
      </c>
      <c r="P8" s="45"/>
      <c r="Q8" s="48">
        <f>+N8+P8*$E8</f>
        <v>60</v>
      </c>
      <c r="R8" s="43">
        <v>54</v>
      </c>
      <c r="S8" s="47">
        <f t="shared" si="20"/>
        <v>6</v>
      </c>
      <c r="T8" s="45"/>
      <c r="U8" s="48">
        <f>+R8+T8*$E8</f>
        <v>54</v>
      </c>
      <c r="V8" s="43">
        <v>36</v>
      </c>
      <c r="W8" s="47">
        <f t="shared" si="22"/>
        <v>18</v>
      </c>
      <c r="X8" s="45"/>
      <c r="Y8" s="48">
        <f t="shared" si="0"/>
        <v>36</v>
      </c>
      <c r="Z8" s="43">
        <v>35</v>
      </c>
      <c r="AA8" s="47">
        <f t="shared" si="1"/>
        <v>1</v>
      </c>
      <c r="AB8" s="45"/>
      <c r="AC8" s="48">
        <f t="shared" si="2"/>
        <v>35</v>
      </c>
      <c r="AD8" s="43">
        <v>15</v>
      </c>
      <c r="AE8" s="47">
        <f t="shared" si="23"/>
        <v>20</v>
      </c>
      <c r="AF8" s="45">
        <v>1</v>
      </c>
      <c r="AG8" s="48">
        <f t="shared" si="3"/>
        <v>75</v>
      </c>
      <c r="AH8" s="43">
        <v>54</v>
      </c>
      <c r="AI8" s="47">
        <f t="shared" si="24"/>
        <v>21</v>
      </c>
      <c r="AJ8" s="45"/>
      <c r="AK8" s="48">
        <f t="shared" si="4"/>
        <v>54</v>
      </c>
      <c r="AL8" s="43">
        <v>39</v>
      </c>
      <c r="AM8" s="47">
        <f t="shared" si="25"/>
        <v>15</v>
      </c>
      <c r="AN8" s="45"/>
      <c r="AO8" s="48">
        <f t="shared" si="5"/>
        <v>39</v>
      </c>
      <c r="AP8" s="43">
        <v>38</v>
      </c>
      <c r="AQ8" s="47">
        <f t="shared" si="26"/>
        <v>1</v>
      </c>
      <c r="AR8" s="45"/>
      <c r="AS8" s="48">
        <f t="shared" si="6"/>
        <v>38</v>
      </c>
      <c r="AT8" s="43">
        <v>38</v>
      </c>
      <c r="AU8" s="47">
        <f t="shared" si="27"/>
        <v>0</v>
      </c>
      <c r="AV8" s="45"/>
      <c r="AW8" s="48">
        <f t="shared" si="7"/>
        <v>38</v>
      </c>
      <c r="AX8" s="43">
        <v>36</v>
      </c>
      <c r="AY8" s="47">
        <f t="shared" si="28"/>
        <v>2</v>
      </c>
      <c r="AZ8" s="45"/>
      <c r="BA8" s="48">
        <f t="shared" si="8"/>
        <v>36</v>
      </c>
      <c r="BB8" s="43">
        <v>29</v>
      </c>
      <c r="BC8" s="47">
        <f t="shared" si="29"/>
        <v>7</v>
      </c>
      <c r="BD8" s="45"/>
      <c r="BE8" s="48">
        <f t="shared" si="9"/>
        <v>29</v>
      </c>
      <c r="BF8" s="43">
        <v>0</v>
      </c>
      <c r="BG8" s="47">
        <f t="shared" si="30"/>
        <v>29</v>
      </c>
      <c r="BH8" s="45"/>
      <c r="BI8" s="48">
        <f t="shared" si="10"/>
        <v>0</v>
      </c>
      <c r="BJ8" s="43">
        <v>0</v>
      </c>
      <c r="BK8" s="47">
        <f t="shared" si="31"/>
        <v>0</v>
      </c>
      <c r="BL8" s="45">
        <v>1</v>
      </c>
      <c r="BM8" s="48">
        <f t="shared" si="11"/>
        <v>60</v>
      </c>
      <c r="BN8" s="43"/>
      <c r="BO8" s="47">
        <f t="shared" si="32"/>
        <v>60</v>
      </c>
      <c r="BP8" s="45"/>
      <c r="BQ8" s="48">
        <f t="shared" si="12"/>
        <v>0</v>
      </c>
      <c r="BR8" s="43"/>
      <c r="BS8" s="47">
        <f t="shared" si="33"/>
        <v>0</v>
      </c>
      <c r="BT8" s="45"/>
      <c r="BU8" s="48">
        <f t="shared" si="13"/>
        <v>0</v>
      </c>
      <c r="BV8" s="43"/>
      <c r="BW8" s="47">
        <f t="shared" si="34"/>
        <v>0</v>
      </c>
      <c r="BX8" s="45"/>
      <c r="BY8" s="48">
        <f t="shared" si="14"/>
        <v>0</v>
      </c>
      <c r="BZ8" s="43"/>
      <c r="CA8" s="47">
        <f t="shared" si="35"/>
        <v>0</v>
      </c>
      <c r="CB8" s="45"/>
      <c r="CC8" s="48">
        <f t="shared" si="15"/>
        <v>0</v>
      </c>
      <c r="CD8" s="43"/>
      <c r="CE8" s="47">
        <f t="shared" si="36"/>
        <v>0</v>
      </c>
      <c r="CF8" s="45"/>
      <c r="CG8" s="48">
        <f>+CD8+CF8*$E8</f>
        <v>0</v>
      </c>
    </row>
    <row r="9" spans="1:85 16212:16216" s="89" customFormat="1" ht="20.100000000000001" hidden="1" customHeight="1" x14ac:dyDescent="0.25">
      <c r="A9" s="152" t="s">
        <v>323</v>
      </c>
      <c r="B9" s="156" t="s">
        <v>7</v>
      </c>
      <c r="C9" s="163">
        <v>3</v>
      </c>
      <c r="D9" s="156" t="s">
        <v>355</v>
      </c>
      <c r="E9" s="77">
        <v>3</v>
      </c>
      <c r="F9" s="43">
        <v>8</v>
      </c>
      <c r="G9" s="47">
        <v>1</v>
      </c>
      <c r="H9" s="45"/>
      <c r="I9" s="48">
        <f t="shared" si="16"/>
        <v>8</v>
      </c>
      <c r="J9" s="43">
        <v>7</v>
      </c>
      <c r="K9" s="47">
        <f t="shared" ref="K9:K27" si="37">+I9-J9</f>
        <v>1</v>
      </c>
      <c r="L9" s="45"/>
      <c r="M9" s="48">
        <f t="shared" si="17"/>
        <v>7</v>
      </c>
      <c r="N9" s="43">
        <v>7</v>
      </c>
      <c r="O9" s="47">
        <f t="shared" si="18"/>
        <v>0</v>
      </c>
      <c r="P9" s="45"/>
      <c r="Q9" s="48">
        <f t="shared" si="19"/>
        <v>7</v>
      </c>
      <c r="R9" s="43">
        <v>5</v>
      </c>
      <c r="S9" s="47">
        <f t="shared" si="20"/>
        <v>2</v>
      </c>
      <c r="T9" s="45"/>
      <c r="U9" s="48">
        <f t="shared" si="21"/>
        <v>5</v>
      </c>
      <c r="V9" s="43">
        <v>5</v>
      </c>
      <c r="W9" s="47">
        <f t="shared" si="22"/>
        <v>0</v>
      </c>
      <c r="X9" s="45"/>
      <c r="Y9" s="48">
        <f t="shared" si="0"/>
        <v>5</v>
      </c>
      <c r="Z9" s="43">
        <v>5</v>
      </c>
      <c r="AA9" s="47">
        <f t="shared" si="1"/>
        <v>0</v>
      </c>
      <c r="AB9" s="45"/>
      <c r="AC9" s="48">
        <f t="shared" si="2"/>
        <v>5</v>
      </c>
      <c r="AD9" s="43">
        <v>4</v>
      </c>
      <c r="AE9" s="47">
        <f t="shared" si="23"/>
        <v>1</v>
      </c>
      <c r="AF9" s="45"/>
      <c r="AG9" s="48">
        <f t="shared" si="3"/>
        <v>4</v>
      </c>
      <c r="AH9" s="43">
        <v>3</v>
      </c>
      <c r="AI9" s="47">
        <f t="shared" si="24"/>
        <v>1</v>
      </c>
      <c r="AJ9" s="45"/>
      <c r="AK9" s="48">
        <f t="shared" si="4"/>
        <v>3</v>
      </c>
      <c r="AL9" s="43">
        <v>2</v>
      </c>
      <c r="AM9" s="47">
        <f t="shared" si="25"/>
        <v>1</v>
      </c>
      <c r="AN9" s="45">
        <v>1</v>
      </c>
      <c r="AO9" s="48">
        <f t="shared" si="5"/>
        <v>5</v>
      </c>
      <c r="AP9" s="43">
        <v>5</v>
      </c>
      <c r="AQ9" s="47">
        <f t="shared" si="26"/>
        <v>0</v>
      </c>
      <c r="AR9" s="45"/>
      <c r="AS9" s="48">
        <f t="shared" si="6"/>
        <v>5</v>
      </c>
      <c r="AT9" s="43">
        <v>4</v>
      </c>
      <c r="AU9" s="47">
        <f t="shared" si="27"/>
        <v>1</v>
      </c>
      <c r="AV9" s="45"/>
      <c r="AW9" s="48">
        <f t="shared" si="7"/>
        <v>4</v>
      </c>
      <c r="AX9" s="43">
        <v>3</v>
      </c>
      <c r="AY9" s="47">
        <f t="shared" si="28"/>
        <v>1</v>
      </c>
      <c r="AZ9" s="45"/>
      <c r="BA9" s="48">
        <f t="shared" si="8"/>
        <v>3</v>
      </c>
      <c r="BB9" s="43">
        <v>2</v>
      </c>
      <c r="BC9" s="47">
        <f t="shared" si="29"/>
        <v>1</v>
      </c>
      <c r="BD9" s="45"/>
      <c r="BE9" s="48">
        <f t="shared" si="9"/>
        <v>2</v>
      </c>
      <c r="BF9" s="43">
        <v>5</v>
      </c>
      <c r="BG9" s="47">
        <f t="shared" si="30"/>
        <v>-3</v>
      </c>
      <c r="BH9" s="45"/>
      <c r="BI9" s="48">
        <f t="shared" si="10"/>
        <v>5</v>
      </c>
      <c r="BJ9" s="43">
        <v>4</v>
      </c>
      <c r="BK9" s="47">
        <f t="shared" si="31"/>
        <v>1</v>
      </c>
      <c r="BL9" s="45"/>
      <c r="BM9" s="48">
        <f t="shared" si="11"/>
        <v>4</v>
      </c>
      <c r="BN9" s="43"/>
      <c r="BO9" s="47">
        <f t="shared" si="32"/>
        <v>4</v>
      </c>
      <c r="BP9" s="45"/>
      <c r="BQ9" s="48">
        <f t="shared" si="12"/>
        <v>0</v>
      </c>
      <c r="BR9" s="43"/>
      <c r="BS9" s="47">
        <f t="shared" si="33"/>
        <v>0</v>
      </c>
      <c r="BT9" s="45"/>
      <c r="BU9" s="48">
        <f t="shared" si="13"/>
        <v>0</v>
      </c>
      <c r="BV9" s="43"/>
      <c r="BW9" s="47">
        <f t="shared" si="34"/>
        <v>0</v>
      </c>
      <c r="BX9" s="45"/>
      <c r="BY9" s="48">
        <f t="shared" si="14"/>
        <v>0</v>
      </c>
      <c r="BZ9" s="43"/>
      <c r="CA9" s="47">
        <f t="shared" si="35"/>
        <v>0</v>
      </c>
      <c r="CB9" s="45"/>
      <c r="CC9" s="48">
        <f t="shared" si="15"/>
        <v>0</v>
      </c>
      <c r="CD9" s="43"/>
      <c r="CE9" s="47">
        <f t="shared" si="36"/>
        <v>0</v>
      </c>
      <c r="CF9" s="45"/>
      <c r="CG9" s="48">
        <f>+CD9+CF9*$E9</f>
        <v>0</v>
      </c>
    </row>
    <row r="10" spans="1:85 16212:16216" s="89" customFormat="1" ht="20.100000000000001" hidden="1" customHeight="1" x14ac:dyDescent="0.25">
      <c r="A10" s="19" t="s">
        <v>324</v>
      </c>
      <c r="B10" s="156" t="s">
        <v>7</v>
      </c>
      <c r="C10" s="160">
        <v>3</v>
      </c>
      <c r="D10" s="156" t="s">
        <v>356</v>
      </c>
      <c r="E10" s="77">
        <v>6</v>
      </c>
      <c r="F10" s="43">
        <v>11</v>
      </c>
      <c r="G10" s="47">
        <v>6</v>
      </c>
      <c r="H10" s="45"/>
      <c r="I10" s="48">
        <f t="shared" si="16"/>
        <v>11</v>
      </c>
      <c r="J10" s="43">
        <v>7</v>
      </c>
      <c r="K10" s="47">
        <f t="shared" si="37"/>
        <v>4</v>
      </c>
      <c r="L10" s="45">
        <v>1</v>
      </c>
      <c r="M10" s="48">
        <f t="shared" si="17"/>
        <v>13</v>
      </c>
      <c r="N10" s="43">
        <v>9</v>
      </c>
      <c r="O10" s="47">
        <f t="shared" si="18"/>
        <v>4</v>
      </c>
      <c r="P10" s="45">
        <v>1</v>
      </c>
      <c r="Q10" s="48">
        <f t="shared" si="19"/>
        <v>15</v>
      </c>
      <c r="R10" s="43">
        <v>9</v>
      </c>
      <c r="S10" s="47">
        <f t="shared" si="20"/>
        <v>6</v>
      </c>
      <c r="T10" s="45">
        <v>1</v>
      </c>
      <c r="U10" s="48">
        <f t="shared" si="21"/>
        <v>15</v>
      </c>
      <c r="V10" s="43">
        <v>13</v>
      </c>
      <c r="W10" s="47">
        <f t="shared" si="22"/>
        <v>2</v>
      </c>
      <c r="X10" s="45"/>
      <c r="Y10" s="48">
        <f t="shared" si="0"/>
        <v>13</v>
      </c>
      <c r="Z10" s="43">
        <v>12</v>
      </c>
      <c r="AA10" s="47">
        <f t="shared" si="1"/>
        <v>1</v>
      </c>
      <c r="AB10" s="45"/>
      <c r="AC10" s="48">
        <f t="shared" si="2"/>
        <v>12</v>
      </c>
      <c r="AD10" s="43">
        <v>8</v>
      </c>
      <c r="AE10" s="47">
        <f t="shared" si="23"/>
        <v>4</v>
      </c>
      <c r="AF10" s="45">
        <v>1</v>
      </c>
      <c r="AG10" s="48">
        <f t="shared" si="3"/>
        <v>14</v>
      </c>
      <c r="AH10" s="43">
        <v>9</v>
      </c>
      <c r="AI10" s="47">
        <f t="shared" si="24"/>
        <v>5</v>
      </c>
      <c r="AJ10" s="45">
        <v>1</v>
      </c>
      <c r="AK10" s="48">
        <f t="shared" si="4"/>
        <v>15</v>
      </c>
      <c r="AL10" s="43">
        <v>13</v>
      </c>
      <c r="AM10" s="47">
        <f t="shared" si="25"/>
        <v>2</v>
      </c>
      <c r="AN10" s="45"/>
      <c r="AO10" s="48">
        <f t="shared" si="5"/>
        <v>13</v>
      </c>
      <c r="AP10" s="43">
        <v>11</v>
      </c>
      <c r="AQ10" s="47">
        <f t="shared" si="26"/>
        <v>2</v>
      </c>
      <c r="AR10" s="45"/>
      <c r="AS10" s="48">
        <f t="shared" si="6"/>
        <v>11</v>
      </c>
      <c r="AT10" s="43">
        <v>11</v>
      </c>
      <c r="AU10" s="47">
        <f t="shared" si="27"/>
        <v>0</v>
      </c>
      <c r="AV10" s="45"/>
      <c r="AW10" s="48">
        <f t="shared" si="7"/>
        <v>11</v>
      </c>
      <c r="AX10" s="43">
        <v>9</v>
      </c>
      <c r="AY10" s="47">
        <f t="shared" si="28"/>
        <v>2</v>
      </c>
      <c r="AZ10" s="45"/>
      <c r="BA10" s="48">
        <f t="shared" si="8"/>
        <v>9</v>
      </c>
      <c r="BB10" s="43">
        <v>6</v>
      </c>
      <c r="BC10" s="47">
        <f t="shared" si="29"/>
        <v>3</v>
      </c>
      <c r="BD10" s="45">
        <v>1</v>
      </c>
      <c r="BE10" s="48">
        <f t="shared" si="9"/>
        <v>12</v>
      </c>
      <c r="BF10" s="43">
        <v>10</v>
      </c>
      <c r="BG10" s="47">
        <f t="shared" si="30"/>
        <v>2</v>
      </c>
      <c r="BH10" s="45">
        <v>1</v>
      </c>
      <c r="BI10" s="48">
        <f t="shared" si="10"/>
        <v>16</v>
      </c>
      <c r="BJ10" s="43">
        <v>13</v>
      </c>
      <c r="BK10" s="47">
        <f t="shared" si="31"/>
        <v>3</v>
      </c>
      <c r="BL10" s="45"/>
      <c r="BM10" s="48">
        <f t="shared" si="11"/>
        <v>13</v>
      </c>
      <c r="BN10" s="43"/>
      <c r="BO10" s="47">
        <f t="shared" si="32"/>
        <v>13</v>
      </c>
      <c r="BP10" s="45"/>
      <c r="BQ10" s="48">
        <f t="shared" si="12"/>
        <v>0</v>
      </c>
      <c r="BR10" s="43"/>
      <c r="BS10" s="47">
        <f t="shared" si="33"/>
        <v>0</v>
      </c>
      <c r="BT10" s="45"/>
      <c r="BU10" s="48">
        <f t="shared" si="13"/>
        <v>0</v>
      </c>
      <c r="BV10" s="43"/>
      <c r="BW10" s="47">
        <f t="shared" si="34"/>
        <v>0</v>
      </c>
      <c r="BX10" s="45"/>
      <c r="BY10" s="48">
        <f t="shared" si="14"/>
        <v>0</v>
      </c>
      <c r="BZ10" s="43"/>
      <c r="CA10" s="47">
        <f t="shared" si="35"/>
        <v>0</v>
      </c>
      <c r="CB10" s="45"/>
      <c r="CC10" s="48">
        <f t="shared" si="15"/>
        <v>0</v>
      </c>
      <c r="CD10" s="43"/>
      <c r="CE10" s="47">
        <f t="shared" si="36"/>
        <v>0</v>
      </c>
      <c r="CF10" s="45"/>
      <c r="CG10" s="48">
        <f>+CD10+CF10*$E10</f>
        <v>0</v>
      </c>
    </row>
    <row r="11" spans="1:85 16212:16216" s="89" customFormat="1" ht="20.100000000000001" hidden="1" customHeight="1" x14ac:dyDescent="0.25">
      <c r="A11" s="19" t="s">
        <v>375</v>
      </c>
      <c r="B11" s="156" t="s">
        <v>106</v>
      </c>
      <c r="C11" s="160">
        <v>1</v>
      </c>
      <c r="D11" s="156" t="s">
        <v>355</v>
      </c>
      <c r="E11" s="77">
        <v>1</v>
      </c>
      <c r="F11" s="43"/>
      <c r="G11" s="47"/>
      <c r="H11" s="45"/>
      <c r="I11" s="48"/>
      <c r="J11" s="43"/>
      <c r="K11" s="47"/>
      <c r="L11" s="45"/>
      <c r="M11" s="48"/>
      <c r="N11" s="43"/>
      <c r="O11" s="47"/>
      <c r="P11" s="45"/>
      <c r="Q11" s="48"/>
      <c r="R11" s="43"/>
      <c r="S11" s="47"/>
      <c r="T11" s="45"/>
      <c r="U11" s="48"/>
      <c r="V11" s="43"/>
      <c r="W11" s="47"/>
      <c r="X11" s="45"/>
      <c r="Y11" s="48"/>
      <c r="Z11" s="43"/>
      <c r="AA11" s="47">
        <f>+Y11-Z11</f>
        <v>0</v>
      </c>
      <c r="AB11" s="49">
        <v>2</v>
      </c>
      <c r="AC11" s="48">
        <f t="shared" si="2"/>
        <v>2</v>
      </c>
      <c r="AD11" s="43">
        <v>3</v>
      </c>
      <c r="AE11" s="47">
        <f>+AC11-AD11</f>
        <v>-1</v>
      </c>
      <c r="AF11" s="45">
        <v>1</v>
      </c>
      <c r="AG11" s="48">
        <f t="shared" si="3"/>
        <v>4</v>
      </c>
      <c r="AH11" s="43">
        <v>2</v>
      </c>
      <c r="AI11" s="47">
        <f>+AG11-AH11</f>
        <v>2</v>
      </c>
      <c r="AJ11" s="45">
        <v>2</v>
      </c>
      <c r="AK11" s="48">
        <f t="shared" si="4"/>
        <v>4</v>
      </c>
      <c r="AL11" s="43">
        <v>1</v>
      </c>
      <c r="AM11" s="47">
        <f>+AK11-AL11</f>
        <v>3</v>
      </c>
      <c r="AN11" s="45">
        <v>3</v>
      </c>
      <c r="AO11" s="48">
        <f t="shared" si="5"/>
        <v>4</v>
      </c>
      <c r="AP11" s="43">
        <v>3</v>
      </c>
      <c r="AQ11" s="47">
        <f t="shared" si="26"/>
        <v>1</v>
      </c>
      <c r="AR11" s="45">
        <v>1</v>
      </c>
      <c r="AS11" s="48">
        <f t="shared" si="6"/>
        <v>4</v>
      </c>
      <c r="AT11" s="43">
        <v>3</v>
      </c>
      <c r="AU11" s="47">
        <f>+AS11-AT11</f>
        <v>1</v>
      </c>
      <c r="AV11" s="45"/>
      <c r="AW11" s="48">
        <f t="shared" si="7"/>
        <v>3</v>
      </c>
      <c r="AX11" s="43">
        <v>2</v>
      </c>
      <c r="AY11" s="47">
        <f>+AW11-AX11</f>
        <v>1</v>
      </c>
      <c r="AZ11" s="45">
        <v>2</v>
      </c>
      <c r="BA11" s="48">
        <f t="shared" si="8"/>
        <v>4</v>
      </c>
      <c r="BB11" s="43">
        <v>4</v>
      </c>
      <c r="BC11" s="47">
        <f>+BA11-BB11</f>
        <v>0</v>
      </c>
      <c r="BD11" s="45"/>
      <c r="BE11" s="48">
        <f t="shared" si="9"/>
        <v>4</v>
      </c>
      <c r="BF11" s="43">
        <v>4</v>
      </c>
      <c r="BG11" s="47">
        <f>+BE11-BF11</f>
        <v>0</v>
      </c>
      <c r="BH11" s="45"/>
      <c r="BI11" s="48">
        <f t="shared" si="10"/>
        <v>4</v>
      </c>
      <c r="BJ11" s="43">
        <v>4</v>
      </c>
      <c r="BK11" s="47">
        <f>+BI11-BJ11</f>
        <v>0</v>
      </c>
      <c r="BL11" s="45"/>
      <c r="BM11" s="48">
        <f t="shared" si="11"/>
        <v>4</v>
      </c>
      <c r="BN11" s="43"/>
      <c r="BO11" s="47">
        <f>+BM11-BN11</f>
        <v>4</v>
      </c>
      <c r="BP11" s="45"/>
      <c r="BQ11" s="48">
        <f t="shared" si="12"/>
        <v>0</v>
      </c>
      <c r="BR11" s="43"/>
      <c r="BS11" s="47">
        <f>+BQ11-BR11</f>
        <v>0</v>
      </c>
      <c r="BT11" s="45"/>
      <c r="BU11" s="48">
        <f t="shared" si="13"/>
        <v>0</v>
      </c>
      <c r="BV11" s="43"/>
      <c r="BW11" s="47">
        <f>+BU11-BV11</f>
        <v>0</v>
      </c>
      <c r="BX11" s="45"/>
      <c r="BY11" s="48">
        <f t="shared" si="14"/>
        <v>0</v>
      </c>
      <c r="BZ11" s="43"/>
      <c r="CA11" s="47">
        <f>+BY11-BZ11</f>
        <v>0</v>
      </c>
      <c r="CB11" s="45"/>
      <c r="CC11" s="48">
        <f t="shared" si="15"/>
        <v>0</v>
      </c>
      <c r="CD11" s="43"/>
      <c r="CE11" s="47">
        <f>+CC11-CD11</f>
        <v>0</v>
      </c>
      <c r="CF11" s="45"/>
      <c r="CG11" s="48">
        <f>+CD11+CF11*$E11</f>
        <v>0</v>
      </c>
    </row>
    <row r="12" spans="1:85 16212:16216" s="89" customFormat="1" ht="20.100000000000001" customHeight="1" x14ac:dyDescent="0.25">
      <c r="A12" s="19" t="s">
        <v>325</v>
      </c>
      <c r="B12" s="156" t="s">
        <v>7</v>
      </c>
      <c r="C12" s="163">
        <v>5</v>
      </c>
      <c r="D12" s="156" t="s">
        <v>357</v>
      </c>
      <c r="E12" s="77">
        <v>1</v>
      </c>
      <c r="F12" s="43">
        <v>5</v>
      </c>
      <c r="G12" s="47">
        <v>5</v>
      </c>
      <c r="H12" s="45">
        <v>5</v>
      </c>
      <c r="I12" s="48">
        <f>+F12+H12*$E12</f>
        <v>10</v>
      </c>
      <c r="J12" s="43">
        <v>5</v>
      </c>
      <c r="K12" s="47">
        <f>+I12-J12</f>
        <v>5</v>
      </c>
      <c r="L12" s="45">
        <v>5</v>
      </c>
      <c r="M12" s="48">
        <f>+J12+L12*$E12</f>
        <v>10</v>
      </c>
      <c r="N12" s="43">
        <v>4</v>
      </c>
      <c r="O12" s="47">
        <f t="shared" si="18"/>
        <v>6</v>
      </c>
      <c r="P12" s="45">
        <v>6</v>
      </c>
      <c r="Q12" s="48">
        <f>+N12+P12*$E12</f>
        <v>10</v>
      </c>
      <c r="R12" s="43">
        <v>5</v>
      </c>
      <c r="S12" s="47">
        <f t="shared" si="20"/>
        <v>5</v>
      </c>
      <c r="T12" s="45">
        <v>3</v>
      </c>
      <c r="U12" s="48">
        <f>+R12+T12*$E12</f>
        <v>8</v>
      </c>
      <c r="V12" s="43">
        <v>2</v>
      </c>
      <c r="W12" s="47">
        <f t="shared" si="22"/>
        <v>6</v>
      </c>
      <c r="X12" s="49">
        <v>8</v>
      </c>
      <c r="Y12" s="48">
        <f>+V12+X12*$E12</f>
        <v>10</v>
      </c>
      <c r="Z12" s="43">
        <v>6</v>
      </c>
      <c r="AA12" s="47">
        <f t="shared" si="1"/>
        <v>4</v>
      </c>
      <c r="AB12" s="49">
        <v>4</v>
      </c>
      <c r="AC12" s="48">
        <f t="shared" si="2"/>
        <v>10</v>
      </c>
      <c r="AD12" s="43">
        <v>2</v>
      </c>
      <c r="AE12" s="47">
        <f t="shared" si="23"/>
        <v>8</v>
      </c>
      <c r="AF12" s="45">
        <v>8</v>
      </c>
      <c r="AG12" s="48">
        <f t="shared" si="3"/>
        <v>10</v>
      </c>
      <c r="AH12" s="43">
        <v>6</v>
      </c>
      <c r="AI12" s="47">
        <f t="shared" si="24"/>
        <v>4</v>
      </c>
      <c r="AJ12" s="45">
        <v>5</v>
      </c>
      <c r="AK12" s="48">
        <f t="shared" si="4"/>
        <v>11</v>
      </c>
      <c r="AL12" s="43">
        <v>5</v>
      </c>
      <c r="AM12" s="47">
        <f t="shared" si="25"/>
        <v>6</v>
      </c>
      <c r="AN12" s="45">
        <v>5</v>
      </c>
      <c r="AO12" s="48">
        <f t="shared" si="5"/>
        <v>10</v>
      </c>
      <c r="AP12" s="43">
        <v>3</v>
      </c>
      <c r="AQ12" s="47">
        <f t="shared" si="26"/>
        <v>7</v>
      </c>
      <c r="AR12" s="45">
        <v>6</v>
      </c>
      <c r="AS12" s="48">
        <f t="shared" si="6"/>
        <v>9</v>
      </c>
      <c r="AT12" s="43">
        <v>5</v>
      </c>
      <c r="AU12" s="47">
        <f t="shared" si="27"/>
        <v>4</v>
      </c>
      <c r="AV12" s="45">
        <v>5</v>
      </c>
      <c r="AW12" s="48">
        <f t="shared" si="7"/>
        <v>10</v>
      </c>
      <c r="AX12" s="43">
        <v>5</v>
      </c>
      <c r="AY12" s="47">
        <f t="shared" si="28"/>
        <v>5</v>
      </c>
      <c r="AZ12" s="45">
        <v>5</v>
      </c>
      <c r="BA12" s="48">
        <f t="shared" si="8"/>
        <v>10</v>
      </c>
      <c r="BB12" s="43">
        <v>5</v>
      </c>
      <c r="BC12" s="47">
        <f t="shared" si="29"/>
        <v>5</v>
      </c>
      <c r="BD12" s="45">
        <v>5</v>
      </c>
      <c r="BE12" s="48">
        <f t="shared" si="9"/>
        <v>10</v>
      </c>
      <c r="BF12" s="43">
        <v>6</v>
      </c>
      <c r="BG12" s="47">
        <f t="shared" si="30"/>
        <v>4</v>
      </c>
      <c r="BH12" s="45">
        <v>5</v>
      </c>
      <c r="BI12" s="48">
        <f t="shared" si="10"/>
        <v>11</v>
      </c>
      <c r="BJ12" s="43">
        <v>7</v>
      </c>
      <c r="BK12" s="47">
        <f t="shared" si="31"/>
        <v>4</v>
      </c>
      <c r="BL12" s="45">
        <v>6</v>
      </c>
      <c r="BM12" s="48">
        <f t="shared" si="11"/>
        <v>13</v>
      </c>
      <c r="BN12" s="43"/>
      <c r="BO12" s="47">
        <f t="shared" si="32"/>
        <v>13</v>
      </c>
      <c r="BP12" s="45"/>
      <c r="BQ12" s="48">
        <f t="shared" si="12"/>
        <v>0</v>
      </c>
      <c r="BR12" s="43"/>
      <c r="BS12" s="47">
        <f t="shared" si="33"/>
        <v>0</v>
      </c>
      <c r="BT12" s="45"/>
      <c r="BU12" s="48">
        <f t="shared" si="13"/>
        <v>0</v>
      </c>
      <c r="BV12" s="43"/>
      <c r="BW12" s="47">
        <f t="shared" si="34"/>
        <v>0</v>
      </c>
      <c r="BX12" s="45"/>
      <c r="BY12" s="48">
        <f t="shared" si="14"/>
        <v>0</v>
      </c>
      <c r="BZ12" s="43"/>
      <c r="CA12" s="47">
        <f t="shared" si="35"/>
        <v>0</v>
      </c>
      <c r="CB12" s="45"/>
      <c r="CC12" s="48">
        <f t="shared" si="15"/>
        <v>0</v>
      </c>
      <c r="CD12" s="43"/>
      <c r="CE12" s="47">
        <f t="shared" si="36"/>
        <v>0</v>
      </c>
      <c r="CF12" s="45"/>
      <c r="CG12" s="48">
        <f>+CD12+CF12*$E12</f>
        <v>0</v>
      </c>
    </row>
    <row r="13" spans="1:85 16212:16216" s="89" customFormat="1" ht="20.100000000000001" hidden="1" customHeight="1" x14ac:dyDescent="0.25">
      <c r="A13" s="27" t="s">
        <v>263</v>
      </c>
      <c r="B13" s="161" t="s">
        <v>7</v>
      </c>
      <c r="C13" s="162">
        <v>5</v>
      </c>
      <c r="D13" s="161" t="s">
        <v>357</v>
      </c>
      <c r="E13" s="77">
        <v>1</v>
      </c>
      <c r="F13" s="72">
        <v>7</v>
      </c>
      <c r="G13" s="47">
        <v>3</v>
      </c>
      <c r="H13" s="73">
        <v>5</v>
      </c>
      <c r="I13" s="48">
        <f t="shared" si="16"/>
        <v>12</v>
      </c>
      <c r="J13" s="72">
        <v>5</v>
      </c>
      <c r="K13" s="47">
        <f t="shared" si="37"/>
        <v>7</v>
      </c>
      <c r="L13" s="73">
        <v>4</v>
      </c>
      <c r="M13" s="48">
        <f t="shared" si="17"/>
        <v>9</v>
      </c>
      <c r="N13" s="72">
        <v>3</v>
      </c>
      <c r="O13" s="47">
        <f t="shared" si="18"/>
        <v>6</v>
      </c>
      <c r="P13" s="73">
        <v>6</v>
      </c>
      <c r="Q13" s="48">
        <f t="shared" si="19"/>
        <v>9</v>
      </c>
      <c r="R13" s="72">
        <v>7</v>
      </c>
      <c r="S13" s="47">
        <f t="shared" si="20"/>
        <v>2</v>
      </c>
      <c r="T13" s="73">
        <v>1</v>
      </c>
      <c r="U13" s="48">
        <f t="shared" si="21"/>
        <v>8</v>
      </c>
      <c r="V13" s="72">
        <v>2</v>
      </c>
      <c r="W13" s="47">
        <f t="shared" si="22"/>
        <v>6</v>
      </c>
      <c r="X13" s="73">
        <v>8</v>
      </c>
      <c r="Y13" s="48">
        <f>+V13+X13*$E13</f>
        <v>10</v>
      </c>
      <c r="Z13" s="72">
        <v>5</v>
      </c>
      <c r="AA13" s="47">
        <f t="shared" si="1"/>
        <v>5</v>
      </c>
      <c r="AB13" s="204">
        <v>6</v>
      </c>
      <c r="AC13" s="48">
        <f t="shared" si="2"/>
        <v>11</v>
      </c>
      <c r="AD13" s="72">
        <v>5</v>
      </c>
      <c r="AE13" s="47">
        <f t="shared" si="23"/>
        <v>6</v>
      </c>
      <c r="AF13" s="204">
        <v>4</v>
      </c>
      <c r="AG13" s="48">
        <f t="shared" si="3"/>
        <v>9</v>
      </c>
      <c r="AH13" s="72">
        <v>2</v>
      </c>
      <c r="AI13" s="47">
        <f t="shared" si="24"/>
        <v>7</v>
      </c>
      <c r="AJ13" s="73">
        <v>6</v>
      </c>
      <c r="AK13" s="48">
        <f t="shared" si="4"/>
        <v>8</v>
      </c>
      <c r="AL13" s="72">
        <v>0</v>
      </c>
      <c r="AM13" s="47">
        <f t="shared" si="25"/>
        <v>8</v>
      </c>
      <c r="AN13" s="73">
        <v>10</v>
      </c>
      <c r="AO13" s="48">
        <f t="shared" si="5"/>
        <v>10</v>
      </c>
      <c r="AP13" s="72">
        <v>1</v>
      </c>
      <c r="AQ13" s="47">
        <f t="shared" si="26"/>
        <v>9</v>
      </c>
      <c r="AR13" s="73">
        <v>10</v>
      </c>
      <c r="AS13" s="48">
        <f t="shared" si="6"/>
        <v>11</v>
      </c>
      <c r="AT13" s="72">
        <v>6</v>
      </c>
      <c r="AU13" s="47">
        <f t="shared" si="27"/>
        <v>5</v>
      </c>
      <c r="AV13" s="73">
        <v>5</v>
      </c>
      <c r="AW13" s="48">
        <f t="shared" si="7"/>
        <v>11</v>
      </c>
      <c r="AX13" s="72">
        <v>4</v>
      </c>
      <c r="AY13" s="47">
        <f t="shared" si="28"/>
        <v>7</v>
      </c>
      <c r="AZ13" s="73">
        <v>7</v>
      </c>
      <c r="BA13" s="48">
        <f t="shared" si="8"/>
        <v>11</v>
      </c>
      <c r="BB13" s="72">
        <v>3</v>
      </c>
      <c r="BC13" s="47">
        <f t="shared" si="29"/>
        <v>8</v>
      </c>
      <c r="BD13" s="73">
        <v>7</v>
      </c>
      <c r="BE13" s="48">
        <f t="shared" si="9"/>
        <v>10</v>
      </c>
      <c r="BF13" s="72">
        <v>3</v>
      </c>
      <c r="BG13" s="47">
        <f t="shared" si="30"/>
        <v>7</v>
      </c>
      <c r="BH13" s="73">
        <v>7</v>
      </c>
      <c r="BI13" s="48">
        <f t="shared" si="10"/>
        <v>10</v>
      </c>
      <c r="BJ13" s="72"/>
      <c r="BK13" s="47">
        <f t="shared" si="31"/>
        <v>10</v>
      </c>
      <c r="BL13" s="73"/>
      <c r="BM13" s="48">
        <f t="shared" si="11"/>
        <v>0</v>
      </c>
      <c r="BN13" s="72"/>
      <c r="BO13" s="47">
        <f t="shared" si="32"/>
        <v>0</v>
      </c>
      <c r="BP13" s="73"/>
      <c r="BQ13" s="48">
        <f t="shared" si="12"/>
        <v>0</v>
      </c>
      <c r="BR13" s="72"/>
      <c r="BS13" s="47">
        <f t="shared" si="33"/>
        <v>0</v>
      </c>
      <c r="BT13" s="73"/>
      <c r="BU13" s="48">
        <f t="shared" si="13"/>
        <v>0</v>
      </c>
      <c r="BV13" s="72"/>
      <c r="BW13" s="47">
        <f t="shared" si="34"/>
        <v>0</v>
      </c>
      <c r="BX13" s="73"/>
      <c r="BY13" s="48">
        <f t="shared" si="14"/>
        <v>0</v>
      </c>
      <c r="BZ13" s="72"/>
      <c r="CA13" s="47">
        <f t="shared" si="35"/>
        <v>0</v>
      </c>
      <c r="CB13" s="73"/>
      <c r="CC13" s="48">
        <f t="shared" si="15"/>
        <v>0</v>
      </c>
      <c r="CD13" s="72"/>
      <c r="CE13" s="47">
        <f t="shared" si="36"/>
        <v>0</v>
      </c>
      <c r="CF13" s="73"/>
      <c r="CG13" s="48">
        <f>+CD13+CF13*$E13</f>
        <v>0</v>
      </c>
    </row>
    <row r="14" spans="1:85 16212:16216" s="89" customFormat="1" ht="20.100000000000001" hidden="1" customHeight="1" x14ac:dyDescent="0.25">
      <c r="A14" s="19" t="s">
        <v>265</v>
      </c>
      <c r="B14" s="156" t="s">
        <v>106</v>
      </c>
      <c r="C14" s="163">
        <v>1</v>
      </c>
      <c r="D14" s="156" t="s">
        <v>358</v>
      </c>
      <c r="E14" s="77">
        <v>1</v>
      </c>
      <c r="F14" s="43">
        <v>3</v>
      </c>
      <c r="G14" s="47">
        <v>0</v>
      </c>
      <c r="H14" s="45"/>
      <c r="I14" s="48">
        <f>+F14+H14*$E14</f>
        <v>3</v>
      </c>
      <c r="J14" s="43">
        <v>1</v>
      </c>
      <c r="K14" s="47">
        <f>+I14-J14</f>
        <v>2</v>
      </c>
      <c r="L14" s="45">
        <v>1</v>
      </c>
      <c r="M14" s="48">
        <f>+J14+L14*$E14</f>
        <v>2</v>
      </c>
      <c r="N14" s="43">
        <v>2</v>
      </c>
      <c r="O14" s="47">
        <f t="shared" si="18"/>
        <v>0</v>
      </c>
      <c r="P14" s="45"/>
      <c r="Q14" s="48">
        <f>+N14+P14*$E14</f>
        <v>2</v>
      </c>
      <c r="R14" s="43">
        <v>1</v>
      </c>
      <c r="S14" s="47">
        <f t="shared" si="20"/>
        <v>1</v>
      </c>
      <c r="T14" s="45">
        <v>1</v>
      </c>
      <c r="U14" s="48">
        <f>+R14+T14*$E14</f>
        <v>2</v>
      </c>
      <c r="V14" s="43">
        <v>1</v>
      </c>
      <c r="W14" s="47">
        <f t="shared" si="22"/>
        <v>1</v>
      </c>
      <c r="X14" s="49">
        <v>1</v>
      </c>
      <c r="Y14" s="48">
        <f>+V14+X14*$E14</f>
        <v>2</v>
      </c>
      <c r="Z14" s="43">
        <v>1</v>
      </c>
      <c r="AA14" s="47">
        <f t="shared" si="1"/>
        <v>1</v>
      </c>
      <c r="AB14" s="49">
        <v>1</v>
      </c>
      <c r="AC14" s="48">
        <f t="shared" si="2"/>
        <v>2</v>
      </c>
      <c r="AD14" s="43">
        <v>2</v>
      </c>
      <c r="AE14" s="47">
        <f t="shared" si="23"/>
        <v>0</v>
      </c>
      <c r="AF14" s="45"/>
      <c r="AG14" s="48">
        <f t="shared" si="3"/>
        <v>2</v>
      </c>
      <c r="AH14" s="43">
        <v>1</v>
      </c>
      <c r="AI14" s="47">
        <f t="shared" si="24"/>
        <v>1</v>
      </c>
      <c r="AJ14" s="45">
        <v>1</v>
      </c>
      <c r="AK14" s="48">
        <f t="shared" si="4"/>
        <v>2</v>
      </c>
      <c r="AL14" s="43">
        <v>0.6</v>
      </c>
      <c r="AM14" s="47">
        <f t="shared" si="25"/>
        <v>1.4</v>
      </c>
      <c r="AN14" s="45">
        <v>1</v>
      </c>
      <c r="AO14" s="48">
        <f t="shared" si="5"/>
        <v>1.6</v>
      </c>
      <c r="AP14" s="43"/>
      <c r="AQ14" s="47">
        <f t="shared" si="26"/>
        <v>1.6</v>
      </c>
      <c r="AR14" s="45">
        <v>2</v>
      </c>
      <c r="AS14" s="48">
        <f t="shared" si="6"/>
        <v>2</v>
      </c>
      <c r="AT14" s="43">
        <v>2</v>
      </c>
      <c r="AU14" s="47">
        <f t="shared" si="27"/>
        <v>0</v>
      </c>
      <c r="AV14" s="45"/>
      <c r="AW14" s="48">
        <f t="shared" si="7"/>
        <v>2</v>
      </c>
      <c r="AX14" s="43">
        <v>1</v>
      </c>
      <c r="AY14" s="47">
        <f t="shared" si="28"/>
        <v>1</v>
      </c>
      <c r="AZ14" s="45">
        <v>1</v>
      </c>
      <c r="BA14" s="48">
        <f t="shared" si="8"/>
        <v>2</v>
      </c>
      <c r="BB14" s="43">
        <v>2</v>
      </c>
      <c r="BC14" s="47">
        <f t="shared" si="29"/>
        <v>0</v>
      </c>
      <c r="BD14" s="45"/>
      <c r="BE14" s="48">
        <f t="shared" si="9"/>
        <v>2</v>
      </c>
      <c r="BF14" s="43">
        <v>1</v>
      </c>
      <c r="BG14" s="47">
        <f t="shared" si="30"/>
        <v>1</v>
      </c>
      <c r="BH14" s="45">
        <v>1</v>
      </c>
      <c r="BI14" s="48">
        <f t="shared" si="10"/>
        <v>2</v>
      </c>
      <c r="BJ14" s="43">
        <v>2</v>
      </c>
      <c r="BK14" s="47">
        <f t="shared" si="31"/>
        <v>0</v>
      </c>
      <c r="BL14" s="45"/>
      <c r="BM14" s="48">
        <f t="shared" si="11"/>
        <v>2</v>
      </c>
      <c r="BN14" s="43"/>
      <c r="BO14" s="47">
        <f t="shared" si="32"/>
        <v>2</v>
      </c>
      <c r="BP14" s="45"/>
      <c r="BQ14" s="48">
        <f t="shared" si="12"/>
        <v>0</v>
      </c>
      <c r="BR14" s="43"/>
      <c r="BS14" s="47">
        <f t="shared" si="33"/>
        <v>0</v>
      </c>
      <c r="BT14" s="45"/>
      <c r="BU14" s="48">
        <f t="shared" si="13"/>
        <v>0</v>
      </c>
      <c r="BV14" s="43"/>
      <c r="BW14" s="47">
        <f t="shared" si="34"/>
        <v>0</v>
      </c>
      <c r="BX14" s="45"/>
      <c r="BY14" s="48">
        <f t="shared" si="14"/>
        <v>0</v>
      </c>
      <c r="BZ14" s="43"/>
      <c r="CA14" s="47">
        <f t="shared" si="35"/>
        <v>0</v>
      </c>
      <c r="CB14" s="45"/>
      <c r="CC14" s="48">
        <f t="shared" si="15"/>
        <v>0</v>
      </c>
      <c r="CD14" s="43"/>
      <c r="CE14" s="47">
        <f t="shared" si="36"/>
        <v>0</v>
      </c>
      <c r="CF14" s="45"/>
      <c r="CG14" s="48">
        <f>+CD14+CF14*$E14</f>
        <v>0</v>
      </c>
    </row>
    <row r="15" spans="1:85 16212:16216" s="89" customFormat="1" ht="20.100000000000001" customHeight="1" x14ac:dyDescent="0.25">
      <c r="A15" s="19" t="s">
        <v>326</v>
      </c>
      <c r="B15" s="156" t="s">
        <v>7</v>
      </c>
      <c r="C15" s="163">
        <v>4.2960000000000003</v>
      </c>
      <c r="D15" s="156" t="s">
        <v>355</v>
      </c>
      <c r="E15" s="77">
        <v>6</v>
      </c>
      <c r="F15" s="43">
        <v>7</v>
      </c>
      <c r="G15" s="47">
        <v>14</v>
      </c>
      <c r="H15" s="45">
        <v>4</v>
      </c>
      <c r="I15" s="48">
        <f>+F15+H15*$E15</f>
        <v>31</v>
      </c>
      <c r="J15" s="43">
        <v>23</v>
      </c>
      <c r="K15" s="47">
        <f>+I15-J15</f>
        <v>8</v>
      </c>
      <c r="L15" s="45"/>
      <c r="M15" s="48">
        <f>+J15+L15*$E15</f>
        <v>23</v>
      </c>
      <c r="N15" s="43">
        <v>8</v>
      </c>
      <c r="O15" s="47">
        <f t="shared" si="18"/>
        <v>15</v>
      </c>
      <c r="P15" s="45">
        <v>2</v>
      </c>
      <c r="Q15" s="48">
        <f>+N15+P15*$E15</f>
        <v>20</v>
      </c>
      <c r="R15" s="43">
        <v>7</v>
      </c>
      <c r="S15" s="47">
        <f t="shared" si="20"/>
        <v>13</v>
      </c>
      <c r="T15" s="45">
        <v>2</v>
      </c>
      <c r="U15" s="48">
        <f>+R15+T15*$E15</f>
        <v>19</v>
      </c>
      <c r="V15" s="43">
        <v>4</v>
      </c>
      <c r="W15" s="47">
        <f t="shared" si="22"/>
        <v>15</v>
      </c>
      <c r="X15" s="49">
        <v>3</v>
      </c>
      <c r="Y15" s="48">
        <f>+V15+X15*$E15</f>
        <v>22</v>
      </c>
      <c r="Z15" s="43">
        <v>12</v>
      </c>
      <c r="AA15" s="47">
        <f t="shared" si="1"/>
        <v>10</v>
      </c>
      <c r="AB15" s="49">
        <v>2</v>
      </c>
      <c r="AC15" s="48">
        <f t="shared" si="2"/>
        <v>24</v>
      </c>
      <c r="AD15" s="43">
        <v>10</v>
      </c>
      <c r="AE15" s="47">
        <f t="shared" si="23"/>
        <v>14</v>
      </c>
      <c r="AF15" s="45">
        <v>1</v>
      </c>
      <c r="AG15" s="48">
        <f t="shared" si="3"/>
        <v>16</v>
      </c>
      <c r="AH15" s="43">
        <v>3</v>
      </c>
      <c r="AI15" s="47">
        <f t="shared" si="24"/>
        <v>13</v>
      </c>
      <c r="AJ15" s="45">
        <v>4</v>
      </c>
      <c r="AK15" s="48">
        <f t="shared" si="4"/>
        <v>27</v>
      </c>
      <c r="AL15" s="43">
        <v>10</v>
      </c>
      <c r="AM15" s="47">
        <f t="shared" si="25"/>
        <v>17</v>
      </c>
      <c r="AN15" s="45">
        <v>2</v>
      </c>
      <c r="AO15" s="48">
        <f t="shared" si="5"/>
        <v>22</v>
      </c>
      <c r="AP15" s="43">
        <v>10</v>
      </c>
      <c r="AQ15" s="47">
        <f t="shared" si="26"/>
        <v>12</v>
      </c>
      <c r="AR15" s="45">
        <v>3</v>
      </c>
      <c r="AS15" s="48">
        <f t="shared" si="6"/>
        <v>28</v>
      </c>
      <c r="AT15" s="43">
        <v>18</v>
      </c>
      <c r="AU15" s="47">
        <f t="shared" si="27"/>
        <v>10</v>
      </c>
      <c r="AV15" s="45"/>
      <c r="AW15" s="48">
        <f t="shared" si="7"/>
        <v>18</v>
      </c>
      <c r="AX15" s="43">
        <v>1</v>
      </c>
      <c r="AY15" s="47">
        <f t="shared" si="28"/>
        <v>17</v>
      </c>
      <c r="AZ15" s="45">
        <v>3</v>
      </c>
      <c r="BA15" s="48">
        <f t="shared" si="8"/>
        <v>19</v>
      </c>
      <c r="BB15" s="43">
        <v>16</v>
      </c>
      <c r="BC15" s="47">
        <f t="shared" si="29"/>
        <v>3</v>
      </c>
      <c r="BD15" s="45">
        <v>1</v>
      </c>
      <c r="BE15" s="48">
        <f t="shared" si="9"/>
        <v>22</v>
      </c>
      <c r="BF15" s="43">
        <v>11</v>
      </c>
      <c r="BG15" s="47">
        <f t="shared" si="30"/>
        <v>11</v>
      </c>
      <c r="BH15" s="45">
        <v>3</v>
      </c>
      <c r="BI15" s="48">
        <f t="shared" si="10"/>
        <v>29</v>
      </c>
      <c r="BJ15" s="43">
        <v>19</v>
      </c>
      <c r="BK15" s="47">
        <f t="shared" si="31"/>
        <v>10</v>
      </c>
      <c r="BL15" s="45">
        <v>2</v>
      </c>
      <c r="BM15" s="48">
        <f t="shared" si="11"/>
        <v>31</v>
      </c>
      <c r="BN15" s="43"/>
      <c r="BO15" s="47">
        <f t="shared" si="32"/>
        <v>31</v>
      </c>
      <c r="BP15" s="45"/>
      <c r="BQ15" s="48">
        <f t="shared" si="12"/>
        <v>0</v>
      </c>
      <c r="BR15" s="43"/>
      <c r="BS15" s="47">
        <f t="shared" si="33"/>
        <v>0</v>
      </c>
      <c r="BT15" s="45"/>
      <c r="BU15" s="48">
        <f t="shared" si="13"/>
        <v>0</v>
      </c>
      <c r="BV15" s="43"/>
      <c r="BW15" s="47">
        <f t="shared" si="34"/>
        <v>0</v>
      </c>
      <c r="BX15" s="45"/>
      <c r="BY15" s="48">
        <f t="shared" si="14"/>
        <v>0</v>
      </c>
      <c r="BZ15" s="43"/>
      <c r="CA15" s="47">
        <f t="shared" si="35"/>
        <v>0</v>
      </c>
      <c r="CB15" s="45"/>
      <c r="CC15" s="48">
        <f t="shared" si="15"/>
        <v>0</v>
      </c>
      <c r="CD15" s="43"/>
      <c r="CE15" s="47">
        <f t="shared" si="36"/>
        <v>0</v>
      </c>
      <c r="CF15" s="45"/>
      <c r="CG15" s="48">
        <f>+CD15+CF15*$E15</f>
        <v>0</v>
      </c>
      <c r="WYN15" s="40"/>
      <c r="WYO15" s="40"/>
      <c r="WYP15" s="164"/>
      <c r="WYQ15" s="40"/>
      <c r="WYR15" s="36"/>
    </row>
    <row r="16" spans="1:85 16212:16216" s="89" customFormat="1" ht="20.100000000000001" hidden="1" customHeight="1" x14ac:dyDescent="0.25">
      <c r="A16" s="19" t="s">
        <v>327</v>
      </c>
      <c r="B16" s="156" t="s">
        <v>7</v>
      </c>
      <c r="C16" s="163">
        <v>3</v>
      </c>
      <c r="D16" s="156" t="s">
        <v>358</v>
      </c>
      <c r="E16" s="77">
        <v>6</v>
      </c>
      <c r="F16" s="43">
        <v>10</v>
      </c>
      <c r="G16" s="47">
        <v>12</v>
      </c>
      <c r="H16" s="45">
        <v>2</v>
      </c>
      <c r="I16" s="48">
        <f t="shared" ref="I16:I27" si="38">+F16+H16*$E16</f>
        <v>22</v>
      </c>
      <c r="J16" s="43">
        <v>12</v>
      </c>
      <c r="K16" s="47">
        <f t="shared" si="37"/>
        <v>10</v>
      </c>
      <c r="L16" s="45">
        <v>2</v>
      </c>
      <c r="M16" s="48">
        <f t="shared" ref="M16:M27" si="39">+J16+L16*$E16</f>
        <v>24</v>
      </c>
      <c r="N16" s="43">
        <v>12</v>
      </c>
      <c r="O16" s="47">
        <f t="shared" si="18"/>
        <v>12</v>
      </c>
      <c r="P16" s="45">
        <v>1</v>
      </c>
      <c r="Q16" s="48">
        <f t="shared" ref="Q16:Q27" si="40">+N16+P16*$E16</f>
        <v>18</v>
      </c>
      <c r="R16" s="43">
        <v>1</v>
      </c>
      <c r="S16" s="47">
        <f t="shared" si="20"/>
        <v>17</v>
      </c>
      <c r="T16" s="45">
        <v>4</v>
      </c>
      <c r="U16" s="48">
        <f t="shared" ref="U16:U27" si="41">+R16+T16*$E16</f>
        <v>25</v>
      </c>
      <c r="V16" s="43">
        <v>15</v>
      </c>
      <c r="W16" s="47">
        <f t="shared" si="22"/>
        <v>10</v>
      </c>
      <c r="X16" s="49">
        <v>2</v>
      </c>
      <c r="Y16" s="48">
        <f t="shared" ref="Y16:Y27" si="42">+V16+X16*$E16</f>
        <v>27</v>
      </c>
      <c r="Z16" s="43">
        <v>14</v>
      </c>
      <c r="AA16" s="47">
        <f t="shared" si="1"/>
        <v>13</v>
      </c>
      <c r="AB16" s="49">
        <v>2</v>
      </c>
      <c r="AC16" s="48">
        <f t="shared" ref="AC16:AC27" si="43">+Z16+AB16*$E16</f>
        <v>26</v>
      </c>
      <c r="AD16" s="43">
        <v>10</v>
      </c>
      <c r="AE16" s="47">
        <f t="shared" si="23"/>
        <v>16</v>
      </c>
      <c r="AF16" s="45">
        <v>2</v>
      </c>
      <c r="AG16" s="48">
        <f t="shared" ref="AG16:AG27" si="44">+AD16+AF16*$E16</f>
        <v>22</v>
      </c>
      <c r="AH16" s="43">
        <v>10</v>
      </c>
      <c r="AI16" s="47">
        <f t="shared" si="24"/>
        <v>12</v>
      </c>
      <c r="AJ16" s="45">
        <v>1</v>
      </c>
      <c r="AK16" s="48">
        <f t="shared" ref="AK16:AK27" si="45">+AH16+AJ16*$E16</f>
        <v>16</v>
      </c>
      <c r="AL16" s="43">
        <v>6</v>
      </c>
      <c r="AM16" s="47">
        <f t="shared" si="25"/>
        <v>10</v>
      </c>
      <c r="AN16" s="45">
        <v>2</v>
      </c>
      <c r="AO16" s="48">
        <f t="shared" ref="AO16:AO27" si="46">+AL16+AN16*$E16</f>
        <v>18</v>
      </c>
      <c r="AP16" s="43">
        <v>3</v>
      </c>
      <c r="AQ16" s="47">
        <f t="shared" si="26"/>
        <v>15</v>
      </c>
      <c r="AR16" s="45">
        <v>4</v>
      </c>
      <c r="AS16" s="48">
        <f t="shared" ref="AS16:AS27" si="47">+AP16+AR16*$E16</f>
        <v>27</v>
      </c>
      <c r="AT16" s="43">
        <v>14</v>
      </c>
      <c r="AU16" s="47">
        <f t="shared" si="27"/>
        <v>13</v>
      </c>
      <c r="AV16" s="45">
        <v>2</v>
      </c>
      <c r="AW16" s="48">
        <f t="shared" ref="AW16:AW27" si="48">+AT16+AV16*$E16</f>
        <v>26</v>
      </c>
      <c r="AX16" s="43">
        <v>12</v>
      </c>
      <c r="AY16" s="47">
        <f t="shared" si="28"/>
        <v>14</v>
      </c>
      <c r="AZ16" s="45">
        <v>2</v>
      </c>
      <c r="BA16" s="48">
        <f t="shared" ref="BA16:BA27" si="49">+AX16+AZ16*$E16</f>
        <v>24</v>
      </c>
      <c r="BB16" s="43">
        <v>10</v>
      </c>
      <c r="BC16" s="47">
        <f t="shared" si="29"/>
        <v>14</v>
      </c>
      <c r="BD16" s="45">
        <v>2</v>
      </c>
      <c r="BE16" s="48">
        <f t="shared" ref="BE16:BE27" si="50">+BB16+BD16*$E16</f>
        <v>22</v>
      </c>
      <c r="BF16" s="43">
        <v>16</v>
      </c>
      <c r="BG16" s="47">
        <f t="shared" si="30"/>
        <v>6</v>
      </c>
      <c r="BH16" s="45">
        <v>3</v>
      </c>
      <c r="BI16" s="48">
        <f t="shared" ref="BI16:BI27" si="51">+BF16+BH16*$E16</f>
        <v>34</v>
      </c>
      <c r="BJ16" s="43">
        <v>23</v>
      </c>
      <c r="BK16" s="47">
        <f t="shared" si="31"/>
        <v>11</v>
      </c>
      <c r="BL16" s="45"/>
      <c r="BM16" s="48">
        <f t="shared" ref="BM16:BM29" si="52">+BJ16+BL16*$E16</f>
        <v>23</v>
      </c>
      <c r="BN16" s="43"/>
      <c r="BO16" s="47">
        <f t="shared" si="32"/>
        <v>23</v>
      </c>
      <c r="BP16" s="45"/>
      <c r="BQ16" s="48">
        <f t="shared" ref="BQ16:BQ29" si="53">+BN16+BP16*$E16</f>
        <v>0</v>
      </c>
      <c r="BR16" s="43"/>
      <c r="BS16" s="47">
        <f t="shared" si="33"/>
        <v>0</v>
      </c>
      <c r="BT16" s="45"/>
      <c r="BU16" s="48">
        <f t="shared" ref="BU16:BU29" si="54">+BR16+BT16*$E16</f>
        <v>0</v>
      </c>
      <c r="BV16" s="43"/>
      <c r="BW16" s="47">
        <f t="shared" si="34"/>
        <v>0</v>
      </c>
      <c r="BX16" s="45"/>
      <c r="BY16" s="48">
        <f t="shared" ref="BY16:BY29" si="55">+BV16+BX16*$E16</f>
        <v>0</v>
      </c>
      <c r="BZ16" s="43"/>
      <c r="CA16" s="47">
        <f t="shared" si="35"/>
        <v>0</v>
      </c>
      <c r="CB16" s="45"/>
      <c r="CC16" s="48">
        <f t="shared" ref="CC16:CC29" si="56">+BZ16+CB16*$E16</f>
        <v>0</v>
      </c>
      <c r="CD16" s="43"/>
      <c r="CE16" s="47">
        <f t="shared" si="36"/>
        <v>0</v>
      </c>
      <c r="CF16" s="45"/>
      <c r="CG16" s="48">
        <f t="shared" ref="CG16:CG29" si="57">+CD16+CF16*$E16</f>
        <v>0</v>
      </c>
    </row>
    <row r="17" spans="1:85" s="89" customFormat="1" ht="20.100000000000001" customHeight="1" x14ac:dyDescent="0.25">
      <c r="A17" s="19" t="s">
        <v>155</v>
      </c>
      <c r="B17" s="156" t="s">
        <v>7</v>
      </c>
      <c r="C17" s="163">
        <v>3</v>
      </c>
      <c r="D17" s="156" t="s">
        <v>358</v>
      </c>
      <c r="E17" s="77">
        <v>6</v>
      </c>
      <c r="F17" s="43">
        <v>10</v>
      </c>
      <c r="G17" s="47">
        <v>20</v>
      </c>
      <c r="H17" s="45">
        <v>3</v>
      </c>
      <c r="I17" s="48">
        <f t="shared" si="38"/>
        <v>28</v>
      </c>
      <c r="J17" s="43">
        <v>11</v>
      </c>
      <c r="K17" s="47">
        <f t="shared" si="37"/>
        <v>17</v>
      </c>
      <c r="L17" s="45">
        <v>3</v>
      </c>
      <c r="M17" s="48">
        <f t="shared" si="39"/>
        <v>29</v>
      </c>
      <c r="N17" s="43">
        <v>8</v>
      </c>
      <c r="O17" s="47">
        <f t="shared" si="18"/>
        <v>21</v>
      </c>
      <c r="P17" s="45">
        <v>3</v>
      </c>
      <c r="Q17" s="48">
        <f t="shared" si="40"/>
        <v>26</v>
      </c>
      <c r="R17" s="43">
        <v>7</v>
      </c>
      <c r="S17" s="47">
        <f t="shared" si="20"/>
        <v>19</v>
      </c>
      <c r="T17" s="45">
        <v>4</v>
      </c>
      <c r="U17" s="48">
        <f t="shared" si="41"/>
        <v>31</v>
      </c>
      <c r="V17" s="43">
        <v>9</v>
      </c>
      <c r="W17" s="47">
        <f t="shared" si="22"/>
        <v>22</v>
      </c>
      <c r="X17" s="49">
        <v>4</v>
      </c>
      <c r="Y17" s="48">
        <f t="shared" si="42"/>
        <v>33</v>
      </c>
      <c r="Z17" s="43">
        <v>20</v>
      </c>
      <c r="AA17" s="47">
        <f t="shared" si="1"/>
        <v>13</v>
      </c>
      <c r="AB17" s="49">
        <v>2</v>
      </c>
      <c r="AC17" s="48">
        <f t="shared" si="43"/>
        <v>32</v>
      </c>
      <c r="AD17" s="43">
        <v>3</v>
      </c>
      <c r="AE17" s="47">
        <f t="shared" si="23"/>
        <v>29</v>
      </c>
      <c r="AF17" s="45">
        <v>7</v>
      </c>
      <c r="AG17" s="48">
        <f t="shared" si="44"/>
        <v>45</v>
      </c>
      <c r="AH17" s="43">
        <v>18</v>
      </c>
      <c r="AI17" s="47">
        <f t="shared" si="24"/>
        <v>27</v>
      </c>
      <c r="AJ17" s="45">
        <v>5</v>
      </c>
      <c r="AK17" s="48">
        <f t="shared" si="45"/>
        <v>48</v>
      </c>
      <c r="AL17" s="43">
        <v>32</v>
      </c>
      <c r="AM17" s="47">
        <f t="shared" si="25"/>
        <v>16</v>
      </c>
      <c r="AN17" s="45">
        <v>1</v>
      </c>
      <c r="AO17" s="48">
        <f t="shared" si="46"/>
        <v>38</v>
      </c>
      <c r="AP17" s="43">
        <v>23</v>
      </c>
      <c r="AQ17" s="47">
        <f t="shared" si="26"/>
        <v>15</v>
      </c>
      <c r="AR17" s="45">
        <v>4</v>
      </c>
      <c r="AS17" s="48">
        <f t="shared" si="47"/>
        <v>47</v>
      </c>
      <c r="AT17" s="43">
        <v>16</v>
      </c>
      <c r="AU17" s="47">
        <f t="shared" si="27"/>
        <v>31</v>
      </c>
      <c r="AV17" s="45">
        <v>4</v>
      </c>
      <c r="AW17" s="48">
        <f t="shared" si="48"/>
        <v>40</v>
      </c>
      <c r="AX17" s="43">
        <v>18</v>
      </c>
      <c r="AY17" s="47">
        <f t="shared" si="28"/>
        <v>22</v>
      </c>
      <c r="AZ17" s="45">
        <v>3</v>
      </c>
      <c r="BA17" s="48">
        <f t="shared" si="49"/>
        <v>36</v>
      </c>
      <c r="BB17" s="43">
        <v>16</v>
      </c>
      <c r="BC17" s="47">
        <f t="shared" si="29"/>
        <v>20</v>
      </c>
      <c r="BD17" s="45">
        <v>3</v>
      </c>
      <c r="BE17" s="48">
        <f t="shared" si="50"/>
        <v>34</v>
      </c>
      <c r="BF17" s="43">
        <v>15</v>
      </c>
      <c r="BG17" s="47">
        <f t="shared" si="30"/>
        <v>19</v>
      </c>
      <c r="BH17" s="45">
        <v>4</v>
      </c>
      <c r="BI17" s="48">
        <f t="shared" si="51"/>
        <v>39</v>
      </c>
      <c r="BJ17" s="43">
        <v>24</v>
      </c>
      <c r="BK17" s="47">
        <f t="shared" si="31"/>
        <v>15</v>
      </c>
      <c r="BL17" s="45">
        <v>1</v>
      </c>
      <c r="BM17" s="48">
        <f t="shared" si="52"/>
        <v>30</v>
      </c>
      <c r="BN17" s="43"/>
      <c r="BO17" s="47">
        <f t="shared" si="32"/>
        <v>30</v>
      </c>
      <c r="BP17" s="45"/>
      <c r="BQ17" s="48">
        <f t="shared" si="53"/>
        <v>0</v>
      </c>
      <c r="BR17" s="43"/>
      <c r="BS17" s="47">
        <f t="shared" si="33"/>
        <v>0</v>
      </c>
      <c r="BT17" s="45"/>
      <c r="BU17" s="48">
        <f t="shared" si="54"/>
        <v>0</v>
      </c>
      <c r="BV17" s="43"/>
      <c r="BW17" s="47">
        <f t="shared" si="34"/>
        <v>0</v>
      </c>
      <c r="BX17" s="45"/>
      <c r="BY17" s="48">
        <f t="shared" si="55"/>
        <v>0</v>
      </c>
      <c r="BZ17" s="43"/>
      <c r="CA17" s="47">
        <f t="shared" si="35"/>
        <v>0</v>
      </c>
      <c r="CB17" s="45"/>
      <c r="CC17" s="48">
        <f t="shared" si="56"/>
        <v>0</v>
      </c>
      <c r="CD17" s="43"/>
      <c r="CE17" s="47">
        <f t="shared" si="36"/>
        <v>0</v>
      </c>
      <c r="CF17" s="45"/>
      <c r="CG17" s="48">
        <f t="shared" si="57"/>
        <v>0</v>
      </c>
    </row>
    <row r="18" spans="1:85" s="89" customFormat="1" ht="20.100000000000001" hidden="1" customHeight="1" x14ac:dyDescent="0.25">
      <c r="A18" s="27" t="s">
        <v>328</v>
      </c>
      <c r="B18" s="161" t="s">
        <v>7</v>
      </c>
      <c r="C18" s="162"/>
      <c r="D18" s="161" t="s">
        <v>9</v>
      </c>
      <c r="E18" s="77">
        <v>1</v>
      </c>
      <c r="F18" s="72">
        <v>3</v>
      </c>
      <c r="G18" s="47">
        <v>2</v>
      </c>
      <c r="H18" s="73">
        <v>2</v>
      </c>
      <c r="I18" s="48">
        <f t="shared" si="38"/>
        <v>5</v>
      </c>
      <c r="J18" s="72">
        <v>3</v>
      </c>
      <c r="K18" s="47">
        <f t="shared" si="37"/>
        <v>2</v>
      </c>
      <c r="L18" s="73">
        <v>2</v>
      </c>
      <c r="M18" s="48">
        <f t="shared" si="39"/>
        <v>5</v>
      </c>
      <c r="N18" s="72">
        <v>3</v>
      </c>
      <c r="O18" s="47">
        <f t="shared" si="18"/>
        <v>2</v>
      </c>
      <c r="P18" s="73">
        <v>2</v>
      </c>
      <c r="Q18" s="48">
        <f t="shared" si="40"/>
        <v>5</v>
      </c>
      <c r="R18" s="72">
        <v>2</v>
      </c>
      <c r="S18" s="47">
        <f t="shared" si="20"/>
        <v>3</v>
      </c>
      <c r="T18" s="73">
        <v>2</v>
      </c>
      <c r="U18" s="48">
        <f t="shared" si="41"/>
        <v>4</v>
      </c>
      <c r="V18" s="72">
        <v>2</v>
      </c>
      <c r="W18" s="47">
        <f t="shared" si="22"/>
        <v>2</v>
      </c>
      <c r="X18" s="73">
        <v>3</v>
      </c>
      <c r="Y18" s="48">
        <f t="shared" si="42"/>
        <v>5</v>
      </c>
      <c r="Z18" s="72">
        <v>3</v>
      </c>
      <c r="AA18" s="47">
        <f t="shared" si="1"/>
        <v>2</v>
      </c>
      <c r="AB18" s="204">
        <v>2</v>
      </c>
      <c r="AC18" s="48">
        <f t="shared" si="43"/>
        <v>5</v>
      </c>
      <c r="AD18" s="72">
        <v>1</v>
      </c>
      <c r="AE18" s="47">
        <f t="shared" si="23"/>
        <v>4</v>
      </c>
      <c r="AF18" s="204">
        <v>4</v>
      </c>
      <c r="AG18" s="48">
        <f t="shared" si="44"/>
        <v>5</v>
      </c>
      <c r="AH18" s="72">
        <v>3</v>
      </c>
      <c r="AI18" s="47">
        <f t="shared" si="24"/>
        <v>2</v>
      </c>
      <c r="AJ18" s="73">
        <v>2</v>
      </c>
      <c r="AK18" s="48">
        <f t="shared" si="45"/>
        <v>5</v>
      </c>
      <c r="AL18" s="72">
        <v>0</v>
      </c>
      <c r="AM18" s="47">
        <f t="shared" si="25"/>
        <v>5</v>
      </c>
      <c r="AN18" s="73">
        <v>5</v>
      </c>
      <c r="AO18" s="48">
        <f t="shared" si="46"/>
        <v>5</v>
      </c>
      <c r="AP18" s="72">
        <v>3</v>
      </c>
      <c r="AQ18" s="47">
        <f t="shared" si="26"/>
        <v>2</v>
      </c>
      <c r="AR18" s="73">
        <v>2</v>
      </c>
      <c r="AS18" s="48">
        <f t="shared" si="47"/>
        <v>5</v>
      </c>
      <c r="AT18" s="72">
        <v>2</v>
      </c>
      <c r="AU18" s="47">
        <f t="shared" si="27"/>
        <v>3</v>
      </c>
      <c r="AV18" s="73">
        <v>3</v>
      </c>
      <c r="AW18" s="48">
        <f t="shared" si="48"/>
        <v>5</v>
      </c>
      <c r="AX18" s="72">
        <v>2</v>
      </c>
      <c r="AY18" s="47">
        <f t="shared" si="28"/>
        <v>3</v>
      </c>
      <c r="AZ18" s="73">
        <v>3</v>
      </c>
      <c r="BA18" s="48">
        <f t="shared" si="49"/>
        <v>5</v>
      </c>
      <c r="BB18" s="72">
        <v>3</v>
      </c>
      <c r="BC18" s="47">
        <f t="shared" si="29"/>
        <v>2</v>
      </c>
      <c r="BD18" s="73">
        <v>2</v>
      </c>
      <c r="BE18" s="48">
        <f t="shared" si="50"/>
        <v>5</v>
      </c>
      <c r="BF18" s="72">
        <v>2</v>
      </c>
      <c r="BG18" s="47">
        <f t="shared" si="30"/>
        <v>3</v>
      </c>
      <c r="BH18" s="73">
        <v>2</v>
      </c>
      <c r="BI18" s="48">
        <f t="shared" si="51"/>
        <v>4</v>
      </c>
      <c r="BJ18" s="72"/>
      <c r="BK18" s="47">
        <f t="shared" si="31"/>
        <v>4</v>
      </c>
      <c r="BL18" s="73"/>
      <c r="BM18" s="48">
        <f t="shared" si="52"/>
        <v>0</v>
      </c>
      <c r="BN18" s="72"/>
      <c r="BO18" s="47">
        <f t="shared" si="32"/>
        <v>0</v>
      </c>
      <c r="BP18" s="73"/>
      <c r="BQ18" s="48">
        <f t="shared" si="53"/>
        <v>0</v>
      </c>
      <c r="BR18" s="72"/>
      <c r="BS18" s="47">
        <f t="shared" si="33"/>
        <v>0</v>
      </c>
      <c r="BT18" s="73"/>
      <c r="BU18" s="48">
        <f t="shared" si="54"/>
        <v>0</v>
      </c>
      <c r="BV18" s="72"/>
      <c r="BW18" s="47">
        <f t="shared" si="34"/>
        <v>0</v>
      </c>
      <c r="BX18" s="73"/>
      <c r="BY18" s="48">
        <f t="shared" si="55"/>
        <v>0</v>
      </c>
      <c r="BZ18" s="72"/>
      <c r="CA18" s="47">
        <f t="shared" si="35"/>
        <v>0</v>
      </c>
      <c r="CB18" s="73"/>
      <c r="CC18" s="48">
        <f t="shared" si="56"/>
        <v>0</v>
      </c>
      <c r="CD18" s="72"/>
      <c r="CE18" s="47">
        <f t="shared" si="36"/>
        <v>0</v>
      </c>
      <c r="CF18" s="73"/>
      <c r="CG18" s="48">
        <f t="shared" si="57"/>
        <v>0</v>
      </c>
    </row>
    <row r="19" spans="1:85" s="89" customFormat="1" ht="20.100000000000001" customHeight="1" x14ac:dyDescent="0.25">
      <c r="A19" s="19" t="s">
        <v>329</v>
      </c>
      <c r="B19" s="156" t="s">
        <v>7</v>
      </c>
      <c r="C19" s="165">
        <v>1.28</v>
      </c>
      <c r="D19" s="156" t="s">
        <v>356</v>
      </c>
      <c r="E19" s="77">
        <v>4</v>
      </c>
      <c r="F19" s="43">
        <v>14</v>
      </c>
      <c r="G19" s="47">
        <v>7</v>
      </c>
      <c r="H19" s="45">
        <v>2</v>
      </c>
      <c r="I19" s="48">
        <f t="shared" si="38"/>
        <v>22</v>
      </c>
      <c r="J19" s="43">
        <v>10</v>
      </c>
      <c r="K19" s="47">
        <f t="shared" si="37"/>
        <v>12</v>
      </c>
      <c r="L19" s="45">
        <v>3</v>
      </c>
      <c r="M19" s="48">
        <f t="shared" si="39"/>
        <v>22</v>
      </c>
      <c r="N19" s="43">
        <v>11</v>
      </c>
      <c r="O19" s="47">
        <f t="shared" si="18"/>
        <v>11</v>
      </c>
      <c r="P19" s="45">
        <v>2</v>
      </c>
      <c r="Q19" s="48">
        <f t="shared" si="40"/>
        <v>19</v>
      </c>
      <c r="R19" s="43">
        <v>1</v>
      </c>
      <c r="S19" s="47">
        <f t="shared" si="20"/>
        <v>18</v>
      </c>
      <c r="T19" s="45">
        <v>6</v>
      </c>
      <c r="U19" s="48">
        <f t="shared" si="41"/>
        <v>25</v>
      </c>
      <c r="V19" s="43">
        <v>19</v>
      </c>
      <c r="W19" s="47">
        <f t="shared" si="22"/>
        <v>6</v>
      </c>
      <c r="X19" s="49">
        <v>2</v>
      </c>
      <c r="Y19" s="48">
        <f t="shared" si="42"/>
        <v>27</v>
      </c>
      <c r="Z19" s="43">
        <v>16</v>
      </c>
      <c r="AA19" s="47">
        <f t="shared" si="1"/>
        <v>11</v>
      </c>
      <c r="AB19" s="49">
        <v>1</v>
      </c>
      <c r="AC19" s="48">
        <f t="shared" si="43"/>
        <v>20</v>
      </c>
      <c r="AD19" s="43">
        <v>5</v>
      </c>
      <c r="AE19" s="47">
        <f t="shared" si="23"/>
        <v>15</v>
      </c>
      <c r="AF19" s="45">
        <v>4</v>
      </c>
      <c r="AG19" s="48">
        <f t="shared" si="44"/>
        <v>21</v>
      </c>
      <c r="AH19" s="43">
        <v>13</v>
      </c>
      <c r="AI19" s="47">
        <f t="shared" si="24"/>
        <v>8</v>
      </c>
      <c r="AJ19" s="45">
        <v>1</v>
      </c>
      <c r="AK19" s="48">
        <f t="shared" si="45"/>
        <v>17</v>
      </c>
      <c r="AL19" s="43">
        <v>10</v>
      </c>
      <c r="AM19" s="47">
        <f t="shared" si="25"/>
        <v>7</v>
      </c>
      <c r="AN19" s="45">
        <v>1</v>
      </c>
      <c r="AO19" s="48">
        <f t="shared" si="46"/>
        <v>14</v>
      </c>
      <c r="AP19" s="43">
        <v>4</v>
      </c>
      <c r="AQ19" s="47">
        <f t="shared" si="26"/>
        <v>10</v>
      </c>
      <c r="AR19" s="45">
        <v>4</v>
      </c>
      <c r="AS19" s="48">
        <f t="shared" si="47"/>
        <v>20</v>
      </c>
      <c r="AT19" s="43">
        <v>11</v>
      </c>
      <c r="AU19" s="47">
        <f t="shared" si="27"/>
        <v>9</v>
      </c>
      <c r="AV19" s="45">
        <v>2</v>
      </c>
      <c r="AW19" s="48">
        <f t="shared" si="48"/>
        <v>19</v>
      </c>
      <c r="AX19" s="43">
        <v>8</v>
      </c>
      <c r="AY19" s="47">
        <f t="shared" si="28"/>
        <v>11</v>
      </c>
      <c r="AZ19" s="45">
        <v>3</v>
      </c>
      <c r="BA19" s="48">
        <f t="shared" si="49"/>
        <v>20</v>
      </c>
      <c r="BB19" s="43">
        <v>11</v>
      </c>
      <c r="BC19" s="47">
        <f t="shared" si="29"/>
        <v>9</v>
      </c>
      <c r="BD19" s="45">
        <v>2</v>
      </c>
      <c r="BE19" s="48">
        <f t="shared" si="50"/>
        <v>19</v>
      </c>
      <c r="BF19" s="43">
        <v>14</v>
      </c>
      <c r="BG19" s="47">
        <f t="shared" si="30"/>
        <v>5</v>
      </c>
      <c r="BH19" s="45">
        <v>1</v>
      </c>
      <c r="BI19" s="48">
        <f t="shared" si="51"/>
        <v>18</v>
      </c>
      <c r="BJ19" s="43">
        <v>14</v>
      </c>
      <c r="BK19" s="47">
        <f t="shared" si="31"/>
        <v>4</v>
      </c>
      <c r="BL19" s="45">
        <v>1</v>
      </c>
      <c r="BM19" s="48">
        <f t="shared" si="52"/>
        <v>18</v>
      </c>
      <c r="BN19" s="43"/>
      <c r="BO19" s="47">
        <f t="shared" si="32"/>
        <v>18</v>
      </c>
      <c r="BP19" s="45"/>
      <c r="BQ19" s="48">
        <f t="shared" si="53"/>
        <v>0</v>
      </c>
      <c r="BR19" s="43"/>
      <c r="BS19" s="47">
        <f t="shared" si="33"/>
        <v>0</v>
      </c>
      <c r="BT19" s="45"/>
      <c r="BU19" s="48">
        <f t="shared" si="54"/>
        <v>0</v>
      </c>
      <c r="BV19" s="43"/>
      <c r="BW19" s="47">
        <f t="shared" si="34"/>
        <v>0</v>
      </c>
      <c r="BX19" s="45"/>
      <c r="BY19" s="48">
        <f t="shared" si="55"/>
        <v>0</v>
      </c>
      <c r="BZ19" s="43"/>
      <c r="CA19" s="47">
        <f t="shared" si="35"/>
        <v>0</v>
      </c>
      <c r="CB19" s="45"/>
      <c r="CC19" s="48">
        <f t="shared" si="56"/>
        <v>0</v>
      </c>
      <c r="CD19" s="43"/>
      <c r="CE19" s="47">
        <f t="shared" si="36"/>
        <v>0</v>
      </c>
      <c r="CF19" s="45"/>
      <c r="CG19" s="48">
        <f t="shared" si="57"/>
        <v>0</v>
      </c>
    </row>
    <row r="20" spans="1:85" s="89" customFormat="1" ht="20.100000000000001" customHeight="1" x14ac:dyDescent="0.25">
      <c r="A20" s="19" t="s">
        <v>330</v>
      </c>
      <c r="B20" s="156" t="s">
        <v>7</v>
      </c>
      <c r="C20" s="160">
        <v>6.4</v>
      </c>
      <c r="D20" s="156" t="s">
        <v>356</v>
      </c>
      <c r="E20" s="77">
        <v>8</v>
      </c>
      <c r="F20" s="43">
        <v>3</v>
      </c>
      <c r="G20" s="47">
        <v>15</v>
      </c>
      <c r="H20" s="45">
        <v>3</v>
      </c>
      <c r="I20" s="48">
        <f t="shared" si="38"/>
        <v>27</v>
      </c>
      <c r="J20" s="43">
        <v>5</v>
      </c>
      <c r="K20" s="47">
        <f t="shared" si="37"/>
        <v>22</v>
      </c>
      <c r="L20" s="45">
        <v>4</v>
      </c>
      <c r="M20" s="48">
        <f t="shared" si="39"/>
        <v>37</v>
      </c>
      <c r="N20" s="43">
        <v>17</v>
      </c>
      <c r="O20" s="47">
        <f t="shared" si="18"/>
        <v>20</v>
      </c>
      <c r="P20" s="45">
        <v>2</v>
      </c>
      <c r="Q20" s="48">
        <f t="shared" si="40"/>
        <v>33</v>
      </c>
      <c r="R20" s="43">
        <v>15</v>
      </c>
      <c r="S20" s="47">
        <f t="shared" si="20"/>
        <v>18</v>
      </c>
      <c r="T20" s="45">
        <v>2</v>
      </c>
      <c r="U20" s="48">
        <f t="shared" si="41"/>
        <v>31</v>
      </c>
      <c r="V20" s="43">
        <v>14</v>
      </c>
      <c r="W20" s="47">
        <f t="shared" si="22"/>
        <v>17</v>
      </c>
      <c r="X20" s="49">
        <v>2</v>
      </c>
      <c r="Y20" s="48">
        <f t="shared" si="42"/>
        <v>30</v>
      </c>
      <c r="Z20" s="43">
        <v>17</v>
      </c>
      <c r="AA20" s="47">
        <f t="shared" si="1"/>
        <v>13</v>
      </c>
      <c r="AB20" s="49">
        <v>1</v>
      </c>
      <c r="AC20" s="48">
        <f t="shared" si="43"/>
        <v>25</v>
      </c>
      <c r="AD20" s="43">
        <v>4</v>
      </c>
      <c r="AE20" s="47">
        <f t="shared" si="23"/>
        <v>21</v>
      </c>
      <c r="AF20" s="45">
        <v>6</v>
      </c>
      <c r="AG20" s="48">
        <f t="shared" si="44"/>
        <v>52</v>
      </c>
      <c r="AH20" s="43">
        <v>19</v>
      </c>
      <c r="AI20" s="47">
        <f t="shared" si="24"/>
        <v>33</v>
      </c>
      <c r="AJ20" s="45">
        <v>2</v>
      </c>
      <c r="AK20" s="48">
        <f t="shared" si="45"/>
        <v>35</v>
      </c>
      <c r="AL20" s="43">
        <v>19</v>
      </c>
      <c r="AM20" s="47">
        <f t="shared" si="25"/>
        <v>16</v>
      </c>
      <c r="AN20" s="45">
        <v>1</v>
      </c>
      <c r="AO20" s="48">
        <f t="shared" si="46"/>
        <v>27</v>
      </c>
      <c r="AP20" s="43">
        <v>10</v>
      </c>
      <c r="AQ20" s="47">
        <f t="shared" si="26"/>
        <v>17</v>
      </c>
      <c r="AR20" s="45">
        <v>2</v>
      </c>
      <c r="AS20" s="48">
        <f t="shared" si="47"/>
        <v>26</v>
      </c>
      <c r="AT20" s="43">
        <v>5</v>
      </c>
      <c r="AU20" s="47">
        <f t="shared" si="27"/>
        <v>21</v>
      </c>
      <c r="AV20" s="45">
        <v>3</v>
      </c>
      <c r="AW20" s="48">
        <f t="shared" si="48"/>
        <v>29</v>
      </c>
      <c r="AX20" s="43">
        <v>13</v>
      </c>
      <c r="AY20" s="47">
        <f t="shared" si="28"/>
        <v>16</v>
      </c>
      <c r="AZ20" s="45">
        <v>2</v>
      </c>
      <c r="BA20" s="48">
        <f t="shared" si="49"/>
        <v>29</v>
      </c>
      <c r="BB20" s="43">
        <v>10</v>
      </c>
      <c r="BC20" s="47">
        <f t="shared" si="29"/>
        <v>19</v>
      </c>
      <c r="BD20" s="45">
        <v>2</v>
      </c>
      <c r="BE20" s="48">
        <f t="shared" si="50"/>
        <v>26</v>
      </c>
      <c r="BF20" s="43">
        <v>14</v>
      </c>
      <c r="BG20" s="47">
        <f t="shared" si="30"/>
        <v>12</v>
      </c>
      <c r="BH20" s="45">
        <v>2</v>
      </c>
      <c r="BI20" s="48">
        <f t="shared" si="51"/>
        <v>30</v>
      </c>
      <c r="BJ20" s="43">
        <v>14</v>
      </c>
      <c r="BK20" s="47">
        <f t="shared" si="31"/>
        <v>16</v>
      </c>
      <c r="BL20" s="45">
        <v>2</v>
      </c>
      <c r="BM20" s="48">
        <f t="shared" si="52"/>
        <v>30</v>
      </c>
      <c r="BN20" s="43"/>
      <c r="BO20" s="47">
        <f t="shared" si="32"/>
        <v>30</v>
      </c>
      <c r="BP20" s="45"/>
      <c r="BQ20" s="48">
        <f t="shared" si="53"/>
        <v>0</v>
      </c>
      <c r="BR20" s="43"/>
      <c r="BS20" s="47">
        <f t="shared" si="33"/>
        <v>0</v>
      </c>
      <c r="BT20" s="45"/>
      <c r="BU20" s="48">
        <f t="shared" si="54"/>
        <v>0</v>
      </c>
      <c r="BV20" s="43"/>
      <c r="BW20" s="47">
        <f t="shared" si="34"/>
        <v>0</v>
      </c>
      <c r="BX20" s="45"/>
      <c r="BY20" s="48">
        <f t="shared" si="55"/>
        <v>0</v>
      </c>
      <c r="BZ20" s="43"/>
      <c r="CA20" s="47">
        <f t="shared" si="35"/>
        <v>0</v>
      </c>
      <c r="CB20" s="45"/>
      <c r="CC20" s="48">
        <f t="shared" si="56"/>
        <v>0</v>
      </c>
      <c r="CD20" s="43"/>
      <c r="CE20" s="47">
        <f t="shared" si="36"/>
        <v>0</v>
      </c>
      <c r="CF20" s="45"/>
      <c r="CG20" s="48">
        <f t="shared" si="57"/>
        <v>0</v>
      </c>
    </row>
    <row r="21" spans="1:85" s="89" customFormat="1" ht="20.100000000000001" hidden="1" customHeight="1" x14ac:dyDescent="0.25">
      <c r="A21" s="27" t="s">
        <v>272</v>
      </c>
      <c r="B21" s="161" t="s">
        <v>7</v>
      </c>
      <c r="C21" s="166">
        <v>6</v>
      </c>
      <c r="D21" s="161" t="s">
        <v>355</v>
      </c>
      <c r="E21" s="77">
        <v>6</v>
      </c>
      <c r="F21" s="43">
        <v>7</v>
      </c>
      <c r="G21" s="47">
        <v>5</v>
      </c>
      <c r="H21" s="45">
        <v>1</v>
      </c>
      <c r="I21" s="48">
        <f t="shared" si="38"/>
        <v>13</v>
      </c>
      <c r="J21" s="43">
        <v>3</v>
      </c>
      <c r="K21" s="47">
        <f t="shared" si="37"/>
        <v>10</v>
      </c>
      <c r="L21" s="45">
        <v>2</v>
      </c>
      <c r="M21" s="48">
        <f t="shared" si="39"/>
        <v>15</v>
      </c>
      <c r="N21" s="43">
        <v>4</v>
      </c>
      <c r="O21" s="47">
        <f t="shared" si="18"/>
        <v>11</v>
      </c>
      <c r="P21" s="45">
        <v>1</v>
      </c>
      <c r="Q21" s="48">
        <f t="shared" si="40"/>
        <v>10</v>
      </c>
      <c r="R21" s="43">
        <v>5</v>
      </c>
      <c r="S21" s="47">
        <f t="shared" si="20"/>
        <v>5</v>
      </c>
      <c r="T21" s="45">
        <v>1</v>
      </c>
      <c r="U21" s="48">
        <f t="shared" si="41"/>
        <v>11</v>
      </c>
      <c r="V21" s="43">
        <v>7</v>
      </c>
      <c r="W21" s="47">
        <f t="shared" si="22"/>
        <v>4</v>
      </c>
      <c r="X21" s="45">
        <v>1</v>
      </c>
      <c r="Y21" s="48">
        <f t="shared" si="42"/>
        <v>13</v>
      </c>
      <c r="Z21" s="43">
        <v>9</v>
      </c>
      <c r="AA21" s="47">
        <f t="shared" si="1"/>
        <v>4</v>
      </c>
      <c r="AB21" s="45"/>
      <c r="AC21" s="48">
        <f t="shared" si="43"/>
        <v>9</v>
      </c>
      <c r="AD21" s="43">
        <v>3</v>
      </c>
      <c r="AE21" s="47">
        <f t="shared" si="23"/>
        <v>6</v>
      </c>
      <c r="AF21" s="49">
        <v>1</v>
      </c>
      <c r="AG21" s="48">
        <f t="shared" si="44"/>
        <v>9</v>
      </c>
      <c r="AH21" s="43">
        <v>4</v>
      </c>
      <c r="AI21" s="47">
        <f t="shared" si="24"/>
        <v>5</v>
      </c>
      <c r="AJ21" s="45">
        <v>1</v>
      </c>
      <c r="AK21" s="48">
        <f t="shared" si="45"/>
        <v>10</v>
      </c>
      <c r="AL21" s="43">
        <v>3</v>
      </c>
      <c r="AM21" s="47">
        <f t="shared" si="25"/>
        <v>7</v>
      </c>
      <c r="AN21" s="45">
        <v>1</v>
      </c>
      <c r="AO21" s="48">
        <f t="shared" si="46"/>
        <v>9</v>
      </c>
      <c r="AP21" s="43">
        <v>3</v>
      </c>
      <c r="AQ21" s="47">
        <f t="shared" si="26"/>
        <v>6</v>
      </c>
      <c r="AR21" s="45">
        <v>1</v>
      </c>
      <c r="AS21" s="48">
        <f t="shared" si="47"/>
        <v>9</v>
      </c>
      <c r="AT21" s="43">
        <v>8</v>
      </c>
      <c r="AU21" s="47">
        <f t="shared" si="27"/>
        <v>1</v>
      </c>
      <c r="AV21" s="45"/>
      <c r="AW21" s="48">
        <f t="shared" si="48"/>
        <v>8</v>
      </c>
      <c r="AX21" s="43">
        <v>3</v>
      </c>
      <c r="AY21" s="47">
        <f t="shared" si="28"/>
        <v>5</v>
      </c>
      <c r="AZ21" s="45">
        <v>1</v>
      </c>
      <c r="BA21" s="48">
        <f t="shared" si="49"/>
        <v>9</v>
      </c>
      <c r="BB21" s="43">
        <v>4</v>
      </c>
      <c r="BC21" s="47">
        <f t="shared" si="29"/>
        <v>5</v>
      </c>
      <c r="BD21" s="45">
        <v>1</v>
      </c>
      <c r="BE21" s="48">
        <f t="shared" si="50"/>
        <v>10</v>
      </c>
      <c r="BF21" s="43">
        <v>6</v>
      </c>
      <c r="BG21" s="47">
        <f t="shared" si="30"/>
        <v>4</v>
      </c>
      <c r="BH21" s="45">
        <v>1</v>
      </c>
      <c r="BI21" s="48">
        <f t="shared" si="51"/>
        <v>12</v>
      </c>
      <c r="BJ21" s="43"/>
      <c r="BK21" s="47">
        <f t="shared" si="31"/>
        <v>12</v>
      </c>
      <c r="BL21" s="45"/>
      <c r="BM21" s="48">
        <f t="shared" si="52"/>
        <v>0</v>
      </c>
      <c r="BN21" s="43"/>
      <c r="BO21" s="47">
        <f t="shared" si="32"/>
        <v>0</v>
      </c>
      <c r="BP21" s="45"/>
      <c r="BQ21" s="48">
        <f t="shared" si="53"/>
        <v>0</v>
      </c>
      <c r="BR21" s="43"/>
      <c r="BS21" s="47">
        <f t="shared" si="33"/>
        <v>0</v>
      </c>
      <c r="BT21" s="45"/>
      <c r="BU21" s="48">
        <f t="shared" si="54"/>
        <v>0</v>
      </c>
      <c r="BV21" s="43"/>
      <c r="BW21" s="47">
        <f t="shared" si="34"/>
        <v>0</v>
      </c>
      <c r="BX21" s="45"/>
      <c r="BY21" s="48">
        <f t="shared" si="55"/>
        <v>0</v>
      </c>
      <c r="BZ21" s="43"/>
      <c r="CA21" s="47">
        <f t="shared" si="35"/>
        <v>0</v>
      </c>
      <c r="CB21" s="45"/>
      <c r="CC21" s="48">
        <f t="shared" si="56"/>
        <v>0</v>
      </c>
      <c r="CD21" s="43"/>
      <c r="CE21" s="47">
        <f t="shared" si="36"/>
        <v>0</v>
      </c>
      <c r="CF21" s="45"/>
      <c r="CG21" s="48">
        <f t="shared" si="57"/>
        <v>0</v>
      </c>
    </row>
    <row r="22" spans="1:85" s="89" customFormat="1" ht="20.100000000000001" customHeight="1" x14ac:dyDescent="0.25">
      <c r="A22" s="19" t="s">
        <v>331</v>
      </c>
      <c r="B22" s="156" t="s">
        <v>7</v>
      </c>
      <c r="C22" s="163">
        <v>3</v>
      </c>
      <c r="D22" s="156" t="s">
        <v>9</v>
      </c>
      <c r="E22" s="77">
        <v>1</v>
      </c>
      <c r="F22" s="43">
        <v>1</v>
      </c>
      <c r="G22" s="47">
        <v>6</v>
      </c>
      <c r="H22" s="45">
        <v>6</v>
      </c>
      <c r="I22" s="48">
        <f t="shared" si="38"/>
        <v>7</v>
      </c>
      <c r="J22" s="43">
        <v>4</v>
      </c>
      <c r="K22" s="47">
        <f t="shared" si="37"/>
        <v>3</v>
      </c>
      <c r="L22" s="45">
        <v>4</v>
      </c>
      <c r="M22" s="48">
        <f t="shared" si="39"/>
        <v>8</v>
      </c>
      <c r="N22" s="43">
        <v>4</v>
      </c>
      <c r="O22" s="47">
        <f t="shared" si="18"/>
        <v>4</v>
      </c>
      <c r="P22" s="45">
        <v>4</v>
      </c>
      <c r="Q22" s="48">
        <f t="shared" si="40"/>
        <v>8</v>
      </c>
      <c r="R22" s="43">
        <v>4</v>
      </c>
      <c r="S22" s="47">
        <f t="shared" si="20"/>
        <v>4</v>
      </c>
      <c r="T22" s="45">
        <v>4</v>
      </c>
      <c r="U22" s="48">
        <f t="shared" si="41"/>
        <v>8</v>
      </c>
      <c r="V22" s="43">
        <v>4</v>
      </c>
      <c r="W22" s="47">
        <f t="shared" si="22"/>
        <v>4</v>
      </c>
      <c r="X22" s="49">
        <v>4</v>
      </c>
      <c r="Y22" s="48">
        <f t="shared" si="42"/>
        <v>8</v>
      </c>
      <c r="Z22" s="43">
        <v>4</v>
      </c>
      <c r="AA22" s="47">
        <f t="shared" si="1"/>
        <v>4</v>
      </c>
      <c r="AB22" s="49">
        <v>4</v>
      </c>
      <c r="AC22" s="48">
        <f t="shared" si="43"/>
        <v>8</v>
      </c>
      <c r="AD22" s="43">
        <v>2</v>
      </c>
      <c r="AE22" s="47">
        <f t="shared" si="23"/>
        <v>6</v>
      </c>
      <c r="AF22" s="45">
        <v>7</v>
      </c>
      <c r="AG22" s="48">
        <f t="shared" si="44"/>
        <v>9</v>
      </c>
      <c r="AH22" s="43">
        <v>4</v>
      </c>
      <c r="AI22" s="47">
        <f t="shared" si="24"/>
        <v>5</v>
      </c>
      <c r="AJ22" s="45">
        <v>5</v>
      </c>
      <c r="AK22" s="48">
        <f t="shared" si="45"/>
        <v>9</v>
      </c>
      <c r="AL22" s="43">
        <v>4</v>
      </c>
      <c r="AM22" s="47">
        <f t="shared" si="25"/>
        <v>5</v>
      </c>
      <c r="AN22" s="45">
        <v>4</v>
      </c>
      <c r="AO22" s="48">
        <f t="shared" si="46"/>
        <v>8</v>
      </c>
      <c r="AP22" s="43">
        <v>4</v>
      </c>
      <c r="AQ22" s="47">
        <f t="shared" si="26"/>
        <v>4</v>
      </c>
      <c r="AR22" s="45">
        <v>5</v>
      </c>
      <c r="AS22" s="48">
        <f t="shared" si="47"/>
        <v>9</v>
      </c>
      <c r="AT22" s="43">
        <v>1</v>
      </c>
      <c r="AU22" s="47">
        <f t="shared" si="27"/>
        <v>8</v>
      </c>
      <c r="AV22" s="45">
        <v>8</v>
      </c>
      <c r="AW22" s="48">
        <f t="shared" si="48"/>
        <v>9</v>
      </c>
      <c r="AX22" s="43">
        <v>4</v>
      </c>
      <c r="AY22" s="47">
        <f t="shared" si="28"/>
        <v>5</v>
      </c>
      <c r="AZ22" s="45">
        <v>5</v>
      </c>
      <c r="BA22" s="48">
        <f t="shared" si="49"/>
        <v>9</v>
      </c>
      <c r="BB22" s="43">
        <v>2</v>
      </c>
      <c r="BC22" s="47">
        <f t="shared" si="29"/>
        <v>7</v>
      </c>
      <c r="BD22" s="45">
        <v>7</v>
      </c>
      <c r="BE22" s="48">
        <f t="shared" si="50"/>
        <v>9</v>
      </c>
      <c r="BF22" s="43">
        <v>1</v>
      </c>
      <c r="BG22" s="47">
        <f t="shared" si="30"/>
        <v>8</v>
      </c>
      <c r="BH22" s="45">
        <v>10</v>
      </c>
      <c r="BI22" s="48">
        <f t="shared" si="51"/>
        <v>11</v>
      </c>
      <c r="BJ22" s="43">
        <v>7</v>
      </c>
      <c r="BK22" s="47">
        <f t="shared" si="31"/>
        <v>4</v>
      </c>
      <c r="BL22" s="45">
        <v>2</v>
      </c>
      <c r="BM22" s="48">
        <f t="shared" si="52"/>
        <v>9</v>
      </c>
      <c r="BN22" s="43"/>
      <c r="BO22" s="47">
        <f t="shared" si="32"/>
        <v>9</v>
      </c>
      <c r="BP22" s="45"/>
      <c r="BQ22" s="48">
        <f t="shared" si="53"/>
        <v>0</v>
      </c>
      <c r="BR22" s="43"/>
      <c r="BS22" s="47">
        <f t="shared" si="33"/>
        <v>0</v>
      </c>
      <c r="BT22" s="45"/>
      <c r="BU22" s="48">
        <f t="shared" si="54"/>
        <v>0</v>
      </c>
      <c r="BV22" s="43"/>
      <c r="BW22" s="47">
        <f t="shared" si="34"/>
        <v>0</v>
      </c>
      <c r="BX22" s="45"/>
      <c r="BY22" s="48">
        <f t="shared" si="55"/>
        <v>0</v>
      </c>
      <c r="BZ22" s="43"/>
      <c r="CA22" s="47">
        <f t="shared" si="35"/>
        <v>0</v>
      </c>
      <c r="CB22" s="45"/>
      <c r="CC22" s="48">
        <f t="shared" si="56"/>
        <v>0</v>
      </c>
      <c r="CD22" s="43"/>
      <c r="CE22" s="47">
        <f t="shared" si="36"/>
        <v>0</v>
      </c>
      <c r="CF22" s="45"/>
      <c r="CG22" s="48">
        <f t="shared" si="57"/>
        <v>0</v>
      </c>
    </row>
    <row r="23" spans="1:85" s="89" customFormat="1" ht="20.100000000000001" customHeight="1" x14ac:dyDescent="0.25">
      <c r="A23" s="19" t="s">
        <v>332</v>
      </c>
      <c r="B23" s="156" t="s">
        <v>7</v>
      </c>
      <c r="C23" s="160">
        <v>1.8</v>
      </c>
      <c r="D23" s="156" t="s">
        <v>358</v>
      </c>
      <c r="E23" s="77">
        <v>12</v>
      </c>
      <c r="F23" s="43">
        <v>47</v>
      </c>
      <c r="G23" s="47">
        <v>42</v>
      </c>
      <c r="H23" s="45">
        <v>2</v>
      </c>
      <c r="I23" s="48">
        <f t="shared" si="38"/>
        <v>71</v>
      </c>
      <c r="J23" s="43">
        <v>24</v>
      </c>
      <c r="K23" s="47">
        <f t="shared" si="37"/>
        <v>47</v>
      </c>
      <c r="L23" s="45">
        <v>4</v>
      </c>
      <c r="M23" s="48">
        <f t="shared" si="39"/>
        <v>72</v>
      </c>
      <c r="N23" s="43">
        <v>25</v>
      </c>
      <c r="O23" s="47">
        <f t="shared" si="18"/>
        <v>47</v>
      </c>
      <c r="P23" s="45">
        <f>4+2.5</f>
        <v>6.5</v>
      </c>
      <c r="Q23" s="48">
        <f t="shared" si="40"/>
        <v>103</v>
      </c>
      <c r="R23" s="43">
        <v>30</v>
      </c>
      <c r="S23" s="47">
        <f t="shared" si="20"/>
        <v>73</v>
      </c>
      <c r="T23" s="45">
        <v>7</v>
      </c>
      <c r="U23" s="48">
        <f t="shared" si="41"/>
        <v>114</v>
      </c>
      <c r="V23" s="43">
        <v>56</v>
      </c>
      <c r="W23" s="47">
        <f t="shared" si="22"/>
        <v>58</v>
      </c>
      <c r="X23" s="49">
        <v>3</v>
      </c>
      <c r="Y23" s="48">
        <f t="shared" si="42"/>
        <v>92</v>
      </c>
      <c r="Z23" s="43">
        <v>52</v>
      </c>
      <c r="AA23" s="47">
        <f t="shared" si="1"/>
        <v>40</v>
      </c>
      <c r="AB23" s="49">
        <v>2</v>
      </c>
      <c r="AC23" s="48">
        <f t="shared" si="43"/>
        <v>76</v>
      </c>
      <c r="AD23" s="43">
        <v>12</v>
      </c>
      <c r="AE23" s="47">
        <f t="shared" si="23"/>
        <v>64</v>
      </c>
      <c r="AF23" s="45">
        <v>5</v>
      </c>
      <c r="AG23" s="48">
        <f t="shared" si="44"/>
        <v>72</v>
      </c>
      <c r="AH23" s="43">
        <v>18</v>
      </c>
      <c r="AI23" s="47">
        <f t="shared" si="24"/>
        <v>54</v>
      </c>
      <c r="AJ23" s="45">
        <v>4</v>
      </c>
      <c r="AK23" s="48">
        <f t="shared" si="45"/>
        <v>66</v>
      </c>
      <c r="AL23" s="43">
        <v>15</v>
      </c>
      <c r="AM23" s="47">
        <f t="shared" si="25"/>
        <v>51</v>
      </c>
      <c r="AN23" s="45">
        <v>4</v>
      </c>
      <c r="AO23" s="48">
        <f t="shared" si="46"/>
        <v>63</v>
      </c>
      <c r="AP23" s="43">
        <v>0</v>
      </c>
      <c r="AQ23" s="47">
        <f t="shared" si="26"/>
        <v>63</v>
      </c>
      <c r="AR23" s="45">
        <v>6</v>
      </c>
      <c r="AS23" s="48">
        <f t="shared" si="47"/>
        <v>72</v>
      </c>
      <c r="AT23" s="43">
        <v>63</v>
      </c>
      <c r="AU23" s="47">
        <f t="shared" si="27"/>
        <v>9</v>
      </c>
      <c r="AV23" s="45">
        <v>1</v>
      </c>
      <c r="AW23" s="48">
        <f t="shared" si="48"/>
        <v>75</v>
      </c>
      <c r="AX23" s="43">
        <v>19</v>
      </c>
      <c r="AY23" s="47">
        <f t="shared" si="28"/>
        <v>56</v>
      </c>
      <c r="AZ23" s="45">
        <v>5</v>
      </c>
      <c r="BA23" s="48">
        <f t="shared" si="49"/>
        <v>79</v>
      </c>
      <c r="BB23" s="43">
        <v>38</v>
      </c>
      <c r="BC23" s="47">
        <f t="shared" si="29"/>
        <v>41</v>
      </c>
      <c r="BD23" s="45">
        <v>2</v>
      </c>
      <c r="BE23" s="48">
        <f t="shared" si="50"/>
        <v>62</v>
      </c>
      <c r="BF23" s="43">
        <v>14</v>
      </c>
      <c r="BG23" s="47">
        <f t="shared" si="30"/>
        <v>48</v>
      </c>
      <c r="BH23" s="45">
        <v>5</v>
      </c>
      <c r="BI23" s="48">
        <f t="shared" si="51"/>
        <v>74</v>
      </c>
      <c r="BJ23" s="43">
        <v>42</v>
      </c>
      <c r="BK23" s="47">
        <f t="shared" si="31"/>
        <v>32</v>
      </c>
      <c r="BL23" s="45">
        <v>2</v>
      </c>
      <c r="BM23" s="48">
        <f t="shared" si="52"/>
        <v>66</v>
      </c>
      <c r="BN23" s="43"/>
      <c r="BO23" s="47">
        <f t="shared" si="32"/>
        <v>66</v>
      </c>
      <c r="BP23" s="45"/>
      <c r="BQ23" s="48">
        <f t="shared" si="53"/>
        <v>0</v>
      </c>
      <c r="BR23" s="43"/>
      <c r="BS23" s="47">
        <f t="shared" si="33"/>
        <v>0</v>
      </c>
      <c r="BT23" s="45"/>
      <c r="BU23" s="48">
        <f t="shared" si="54"/>
        <v>0</v>
      </c>
      <c r="BV23" s="43"/>
      <c r="BW23" s="47">
        <f t="shared" si="34"/>
        <v>0</v>
      </c>
      <c r="BX23" s="45"/>
      <c r="BY23" s="48">
        <f t="shared" si="55"/>
        <v>0</v>
      </c>
      <c r="BZ23" s="43"/>
      <c r="CA23" s="47">
        <f t="shared" si="35"/>
        <v>0</v>
      </c>
      <c r="CB23" s="45"/>
      <c r="CC23" s="48">
        <f t="shared" si="56"/>
        <v>0</v>
      </c>
      <c r="CD23" s="43"/>
      <c r="CE23" s="47">
        <f t="shared" si="36"/>
        <v>0</v>
      </c>
      <c r="CF23" s="45"/>
      <c r="CG23" s="48">
        <f t="shared" si="57"/>
        <v>0</v>
      </c>
    </row>
    <row r="24" spans="1:85" s="89" customFormat="1" ht="20.100000000000001" customHeight="1" x14ac:dyDescent="0.25">
      <c r="A24" s="19" t="s">
        <v>333</v>
      </c>
      <c r="B24" s="156" t="s">
        <v>7</v>
      </c>
      <c r="C24" s="163">
        <v>12</v>
      </c>
      <c r="D24" s="156" t="s">
        <v>358</v>
      </c>
      <c r="E24" s="77">
        <v>6</v>
      </c>
      <c r="F24" s="43">
        <v>33</v>
      </c>
      <c r="G24" s="47">
        <v>48</v>
      </c>
      <c r="H24" s="45">
        <v>7</v>
      </c>
      <c r="I24" s="48">
        <f t="shared" si="38"/>
        <v>75</v>
      </c>
      <c r="J24" s="43">
        <v>24</v>
      </c>
      <c r="K24" s="47">
        <f t="shared" si="37"/>
        <v>51</v>
      </c>
      <c r="L24" s="45">
        <v>9</v>
      </c>
      <c r="M24" s="48">
        <f t="shared" si="39"/>
        <v>78</v>
      </c>
      <c r="N24" s="43">
        <v>23</v>
      </c>
      <c r="O24" s="47">
        <f t="shared" si="18"/>
        <v>55</v>
      </c>
      <c r="P24" s="45">
        <v>8</v>
      </c>
      <c r="Q24" s="48">
        <f t="shared" si="40"/>
        <v>71</v>
      </c>
      <c r="R24" s="43">
        <v>17</v>
      </c>
      <c r="S24" s="47">
        <f t="shared" si="20"/>
        <v>54</v>
      </c>
      <c r="T24" s="45">
        <v>10</v>
      </c>
      <c r="U24" s="48">
        <f t="shared" si="41"/>
        <v>77</v>
      </c>
      <c r="V24" s="43">
        <v>20</v>
      </c>
      <c r="W24" s="47">
        <f t="shared" si="22"/>
        <v>57</v>
      </c>
      <c r="X24" s="49">
        <v>9</v>
      </c>
      <c r="Y24" s="48">
        <f t="shared" si="42"/>
        <v>74</v>
      </c>
      <c r="Z24" s="43">
        <v>38</v>
      </c>
      <c r="AA24" s="47">
        <f t="shared" si="1"/>
        <v>36</v>
      </c>
      <c r="AB24" s="49">
        <v>6</v>
      </c>
      <c r="AC24" s="48">
        <f t="shared" si="43"/>
        <v>74</v>
      </c>
      <c r="AD24" s="43">
        <v>12</v>
      </c>
      <c r="AE24" s="47">
        <f t="shared" si="23"/>
        <v>62</v>
      </c>
      <c r="AF24" s="45">
        <v>11</v>
      </c>
      <c r="AG24" s="48">
        <f t="shared" si="44"/>
        <v>78</v>
      </c>
      <c r="AH24" s="43">
        <v>34</v>
      </c>
      <c r="AI24" s="47">
        <f t="shared" si="24"/>
        <v>44</v>
      </c>
      <c r="AJ24" s="45">
        <v>6</v>
      </c>
      <c r="AK24" s="48">
        <f t="shared" si="45"/>
        <v>70</v>
      </c>
      <c r="AL24" s="43">
        <v>27</v>
      </c>
      <c r="AM24" s="47">
        <f t="shared" si="25"/>
        <v>43</v>
      </c>
      <c r="AN24" s="45">
        <v>7</v>
      </c>
      <c r="AO24" s="48">
        <f t="shared" si="46"/>
        <v>69</v>
      </c>
      <c r="AP24" s="43">
        <v>18</v>
      </c>
      <c r="AQ24" s="47">
        <f t="shared" si="26"/>
        <v>51</v>
      </c>
      <c r="AR24" s="45">
        <v>10</v>
      </c>
      <c r="AS24" s="48">
        <f t="shared" si="47"/>
        <v>78</v>
      </c>
      <c r="AT24" s="43">
        <v>29</v>
      </c>
      <c r="AU24" s="47">
        <f t="shared" si="27"/>
        <v>49</v>
      </c>
      <c r="AV24" s="45">
        <v>8</v>
      </c>
      <c r="AW24" s="48">
        <f t="shared" si="48"/>
        <v>77</v>
      </c>
      <c r="AX24" s="43">
        <v>25</v>
      </c>
      <c r="AY24" s="47">
        <f t="shared" si="28"/>
        <v>52</v>
      </c>
      <c r="AZ24" s="45">
        <v>8</v>
      </c>
      <c r="BA24" s="48">
        <f t="shared" si="49"/>
        <v>73</v>
      </c>
      <c r="BB24" s="43">
        <v>20</v>
      </c>
      <c r="BC24" s="47">
        <f t="shared" si="29"/>
        <v>53</v>
      </c>
      <c r="BD24" s="45">
        <v>8</v>
      </c>
      <c r="BE24" s="48">
        <f t="shared" si="50"/>
        <v>68</v>
      </c>
      <c r="BF24" s="43">
        <v>19</v>
      </c>
      <c r="BG24" s="47">
        <f t="shared" si="30"/>
        <v>49</v>
      </c>
      <c r="BH24" s="45">
        <v>10</v>
      </c>
      <c r="BI24" s="48">
        <f t="shared" si="51"/>
        <v>79</v>
      </c>
      <c r="BJ24" s="43">
        <v>31</v>
      </c>
      <c r="BK24" s="47">
        <f t="shared" si="31"/>
        <v>48</v>
      </c>
      <c r="BL24" s="45">
        <v>8</v>
      </c>
      <c r="BM24" s="48">
        <f t="shared" si="52"/>
        <v>79</v>
      </c>
      <c r="BN24" s="43"/>
      <c r="BO24" s="47">
        <f t="shared" si="32"/>
        <v>79</v>
      </c>
      <c r="BP24" s="45"/>
      <c r="BQ24" s="48">
        <f t="shared" si="53"/>
        <v>0</v>
      </c>
      <c r="BR24" s="43"/>
      <c r="BS24" s="47">
        <f t="shared" si="33"/>
        <v>0</v>
      </c>
      <c r="BT24" s="45"/>
      <c r="BU24" s="48">
        <f t="shared" si="54"/>
        <v>0</v>
      </c>
      <c r="BV24" s="43"/>
      <c r="BW24" s="47">
        <f t="shared" si="34"/>
        <v>0</v>
      </c>
      <c r="BX24" s="45"/>
      <c r="BY24" s="48">
        <f t="shared" si="55"/>
        <v>0</v>
      </c>
      <c r="BZ24" s="43"/>
      <c r="CA24" s="47">
        <f t="shared" si="35"/>
        <v>0</v>
      </c>
      <c r="CB24" s="45"/>
      <c r="CC24" s="48">
        <f t="shared" si="56"/>
        <v>0</v>
      </c>
      <c r="CD24" s="43"/>
      <c r="CE24" s="47">
        <f t="shared" si="36"/>
        <v>0</v>
      </c>
      <c r="CF24" s="45"/>
      <c r="CG24" s="48">
        <f t="shared" si="57"/>
        <v>0</v>
      </c>
    </row>
    <row r="25" spans="1:85" s="89" customFormat="1" ht="20.100000000000001" customHeight="1" x14ac:dyDescent="0.25">
      <c r="A25" s="19" t="s">
        <v>334</v>
      </c>
      <c r="B25" s="156" t="s">
        <v>7</v>
      </c>
      <c r="C25" s="160">
        <v>1.2</v>
      </c>
      <c r="D25" s="156" t="s">
        <v>356</v>
      </c>
      <c r="E25" s="77">
        <v>4</v>
      </c>
      <c r="F25" s="43">
        <v>2</v>
      </c>
      <c r="G25" s="47">
        <v>6</v>
      </c>
      <c r="H25" s="45">
        <v>2</v>
      </c>
      <c r="I25" s="48">
        <f t="shared" si="38"/>
        <v>10</v>
      </c>
      <c r="J25" s="43">
        <v>10</v>
      </c>
      <c r="K25" s="47">
        <f t="shared" si="37"/>
        <v>0</v>
      </c>
      <c r="L25" s="45"/>
      <c r="M25" s="48">
        <f t="shared" si="39"/>
        <v>10</v>
      </c>
      <c r="N25" s="43">
        <v>4</v>
      </c>
      <c r="O25" s="47">
        <f t="shared" si="18"/>
        <v>6</v>
      </c>
      <c r="P25" s="45">
        <v>1</v>
      </c>
      <c r="Q25" s="48">
        <f t="shared" si="40"/>
        <v>8</v>
      </c>
      <c r="R25" s="43">
        <v>0</v>
      </c>
      <c r="S25" s="47">
        <f t="shared" si="20"/>
        <v>8</v>
      </c>
      <c r="T25" s="45">
        <v>1</v>
      </c>
      <c r="U25" s="48">
        <f t="shared" si="41"/>
        <v>4</v>
      </c>
      <c r="V25" s="43">
        <v>4</v>
      </c>
      <c r="W25" s="47">
        <f t="shared" si="22"/>
        <v>0</v>
      </c>
      <c r="X25" s="49">
        <v>1</v>
      </c>
      <c r="Y25" s="48">
        <f t="shared" si="42"/>
        <v>8</v>
      </c>
      <c r="Z25" s="43">
        <v>5</v>
      </c>
      <c r="AA25" s="47">
        <f t="shared" si="1"/>
        <v>3</v>
      </c>
      <c r="AB25" s="45"/>
      <c r="AC25" s="48">
        <f t="shared" si="43"/>
        <v>5</v>
      </c>
      <c r="AD25" s="43">
        <v>0</v>
      </c>
      <c r="AE25" s="47">
        <f t="shared" si="23"/>
        <v>5</v>
      </c>
      <c r="AF25" s="45">
        <v>3</v>
      </c>
      <c r="AG25" s="48">
        <f t="shared" si="44"/>
        <v>12</v>
      </c>
      <c r="AH25" s="43">
        <v>7</v>
      </c>
      <c r="AI25" s="47">
        <f t="shared" si="24"/>
        <v>5</v>
      </c>
      <c r="AJ25" s="45">
        <v>1</v>
      </c>
      <c r="AK25" s="48">
        <f t="shared" si="45"/>
        <v>11</v>
      </c>
      <c r="AL25" s="43">
        <v>9</v>
      </c>
      <c r="AM25" s="47">
        <f t="shared" si="25"/>
        <v>2</v>
      </c>
      <c r="AN25" s="45"/>
      <c r="AO25" s="48">
        <f t="shared" si="46"/>
        <v>9</v>
      </c>
      <c r="AP25" s="43">
        <v>4</v>
      </c>
      <c r="AQ25" s="47">
        <f t="shared" si="26"/>
        <v>5</v>
      </c>
      <c r="AR25" s="45">
        <v>1</v>
      </c>
      <c r="AS25" s="48">
        <f t="shared" si="47"/>
        <v>8</v>
      </c>
      <c r="AT25" s="43">
        <v>5</v>
      </c>
      <c r="AU25" s="47">
        <f t="shared" si="27"/>
        <v>3</v>
      </c>
      <c r="AV25" s="45">
        <v>1</v>
      </c>
      <c r="AW25" s="48">
        <f t="shared" si="48"/>
        <v>9</v>
      </c>
      <c r="AX25" s="43">
        <v>4</v>
      </c>
      <c r="AY25" s="47">
        <f t="shared" si="28"/>
        <v>5</v>
      </c>
      <c r="AZ25" s="45">
        <v>1</v>
      </c>
      <c r="BA25" s="48">
        <f t="shared" si="49"/>
        <v>8</v>
      </c>
      <c r="BB25" s="43">
        <v>0</v>
      </c>
      <c r="BC25" s="47">
        <f t="shared" si="29"/>
        <v>8</v>
      </c>
      <c r="BD25" s="45">
        <v>2</v>
      </c>
      <c r="BE25" s="48">
        <f t="shared" si="50"/>
        <v>8</v>
      </c>
      <c r="BF25" s="43">
        <v>5</v>
      </c>
      <c r="BG25" s="47">
        <f t="shared" si="30"/>
        <v>3</v>
      </c>
      <c r="BH25" s="45">
        <v>2</v>
      </c>
      <c r="BI25" s="48">
        <f t="shared" si="51"/>
        <v>13</v>
      </c>
      <c r="BJ25" s="43">
        <v>9</v>
      </c>
      <c r="BK25" s="47">
        <f t="shared" si="31"/>
        <v>4</v>
      </c>
      <c r="BL25" s="45">
        <v>2</v>
      </c>
      <c r="BM25" s="48">
        <f t="shared" si="52"/>
        <v>17</v>
      </c>
      <c r="BN25" s="43"/>
      <c r="BO25" s="47">
        <f t="shared" si="32"/>
        <v>17</v>
      </c>
      <c r="BP25" s="45"/>
      <c r="BQ25" s="48">
        <f t="shared" si="53"/>
        <v>0</v>
      </c>
      <c r="BR25" s="43"/>
      <c r="BS25" s="47">
        <f t="shared" si="33"/>
        <v>0</v>
      </c>
      <c r="BT25" s="45"/>
      <c r="BU25" s="48">
        <f t="shared" si="54"/>
        <v>0</v>
      </c>
      <c r="BV25" s="43"/>
      <c r="BW25" s="47">
        <f t="shared" si="34"/>
        <v>0</v>
      </c>
      <c r="BX25" s="45"/>
      <c r="BY25" s="48">
        <f t="shared" si="55"/>
        <v>0</v>
      </c>
      <c r="BZ25" s="43"/>
      <c r="CA25" s="47">
        <f t="shared" si="35"/>
        <v>0</v>
      </c>
      <c r="CB25" s="45"/>
      <c r="CC25" s="48">
        <f t="shared" si="56"/>
        <v>0</v>
      </c>
      <c r="CD25" s="43"/>
      <c r="CE25" s="47">
        <f t="shared" si="36"/>
        <v>0</v>
      </c>
      <c r="CF25" s="45"/>
      <c r="CG25" s="48">
        <f t="shared" si="57"/>
        <v>0</v>
      </c>
    </row>
    <row r="26" spans="1:85" s="89" customFormat="1" ht="20.100000000000001" hidden="1" customHeight="1" x14ac:dyDescent="0.25">
      <c r="A26" s="27" t="s">
        <v>335</v>
      </c>
      <c r="B26" s="161" t="s">
        <v>7</v>
      </c>
      <c r="C26" s="162">
        <v>360</v>
      </c>
      <c r="D26" s="161" t="s">
        <v>9</v>
      </c>
      <c r="E26" s="77">
        <v>1</v>
      </c>
      <c r="F26" s="72">
        <f>30*10+8</f>
        <v>308</v>
      </c>
      <c r="G26" s="47">
        <v>172</v>
      </c>
      <c r="H26" s="73">
        <v>360</v>
      </c>
      <c r="I26" s="48">
        <f t="shared" si="38"/>
        <v>668</v>
      </c>
      <c r="J26" s="72">
        <f>30*12+25</f>
        <v>385</v>
      </c>
      <c r="K26" s="47">
        <f t="shared" si="37"/>
        <v>283</v>
      </c>
      <c r="L26" s="73">
        <v>360</v>
      </c>
      <c r="M26" s="48">
        <f t="shared" si="39"/>
        <v>745</v>
      </c>
      <c r="N26" s="72">
        <v>352</v>
      </c>
      <c r="O26" s="47">
        <f t="shared" si="18"/>
        <v>393</v>
      </c>
      <c r="P26" s="73">
        <v>1</v>
      </c>
      <c r="Q26" s="48">
        <f t="shared" si="40"/>
        <v>353</v>
      </c>
      <c r="R26" s="72">
        <v>90</v>
      </c>
      <c r="S26" s="47">
        <f t="shared" si="20"/>
        <v>263</v>
      </c>
      <c r="T26" s="73">
        <v>360</v>
      </c>
      <c r="U26" s="48">
        <f t="shared" si="41"/>
        <v>450</v>
      </c>
      <c r="V26" s="72">
        <f>5*30</f>
        <v>150</v>
      </c>
      <c r="W26" s="47">
        <f t="shared" si="22"/>
        <v>300</v>
      </c>
      <c r="X26" s="73">
        <v>360</v>
      </c>
      <c r="Y26" s="48">
        <f t="shared" si="42"/>
        <v>510</v>
      </c>
      <c r="Z26" s="72">
        <f>8*30</f>
        <v>240</v>
      </c>
      <c r="AA26" s="47">
        <f t="shared" si="1"/>
        <v>270</v>
      </c>
      <c r="AB26" s="204">
        <v>360</v>
      </c>
      <c r="AC26" s="48">
        <f t="shared" si="43"/>
        <v>600</v>
      </c>
      <c r="AD26" s="72">
        <f>9*30</f>
        <v>270</v>
      </c>
      <c r="AE26" s="47">
        <f t="shared" si="23"/>
        <v>330</v>
      </c>
      <c r="AF26" s="204">
        <v>360</v>
      </c>
      <c r="AG26" s="48">
        <f t="shared" si="44"/>
        <v>630</v>
      </c>
      <c r="AH26" s="72">
        <v>330</v>
      </c>
      <c r="AI26" s="47">
        <f t="shared" si="24"/>
        <v>300</v>
      </c>
      <c r="AJ26" s="73">
        <v>360</v>
      </c>
      <c r="AK26" s="48">
        <f t="shared" si="45"/>
        <v>690</v>
      </c>
      <c r="AL26" s="72">
        <v>330</v>
      </c>
      <c r="AM26" s="47">
        <f t="shared" si="25"/>
        <v>360</v>
      </c>
      <c r="AN26" s="73">
        <v>180</v>
      </c>
      <c r="AO26" s="48">
        <f t="shared" si="46"/>
        <v>510</v>
      </c>
      <c r="AP26" s="72">
        <f>5*30+18</f>
        <v>168</v>
      </c>
      <c r="AQ26" s="47">
        <f t="shared" si="26"/>
        <v>342</v>
      </c>
      <c r="AR26" s="73">
        <v>360</v>
      </c>
      <c r="AS26" s="48">
        <f t="shared" si="47"/>
        <v>528</v>
      </c>
      <c r="AT26" s="72">
        <f>11*30+14</f>
        <v>344</v>
      </c>
      <c r="AU26" s="47">
        <f t="shared" si="27"/>
        <v>184</v>
      </c>
      <c r="AV26" s="73">
        <v>180</v>
      </c>
      <c r="AW26" s="48">
        <f t="shared" si="48"/>
        <v>524</v>
      </c>
      <c r="AX26" s="72">
        <v>0</v>
      </c>
      <c r="AY26" s="47">
        <f t="shared" si="28"/>
        <v>524</v>
      </c>
      <c r="AZ26" s="73">
        <v>360</v>
      </c>
      <c r="BA26" s="48">
        <f t="shared" si="49"/>
        <v>360</v>
      </c>
      <c r="BB26" s="72">
        <v>60</v>
      </c>
      <c r="BC26" s="47">
        <f t="shared" si="29"/>
        <v>300</v>
      </c>
      <c r="BD26" s="73">
        <v>360</v>
      </c>
      <c r="BE26" s="48">
        <f t="shared" si="50"/>
        <v>420</v>
      </c>
      <c r="BF26" s="72">
        <f>7*30</f>
        <v>210</v>
      </c>
      <c r="BG26" s="47">
        <f t="shared" si="30"/>
        <v>210</v>
      </c>
      <c r="BH26" s="73">
        <v>360</v>
      </c>
      <c r="BI26" s="48">
        <f t="shared" si="51"/>
        <v>570</v>
      </c>
      <c r="BJ26" s="72"/>
      <c r="BK26" s="47">
        <f t="shared" si="31"/>
        <v>570</v>
      </c>
      <c r="BL26" s="73"/>
      <c r="BM26" s="48">
        <f t="shared" si="52"/>
        <v>0</v>
      </c>
      <c r="BN26" s="72"/>
      <c r="BO26" s="47">
        <f t="shared" si="32"/>
        <v>0</v>
      </c>
      <c r="BP26" s="73"/>
      <c r="BQ26" s="48">
        <f t="shared" si="53"/>
        <v>0</v>
      </c>
      <c r="BR26" s="72"/>
      <c r="BS26" s="47">
        <f t="shared" si="33"/>
        <v>0</v>
      </c>
      <c r="BT26" s="73"/>
      <c r="BU26" s="48">
        <f t="shared" si="54"/>
        <v>0</v>
      </c>
      <c r="BV26" s="72"/>
      <c r="BW26" s="47">
        <f t="shared" si="34"/>
        <v>0</v>
      </c>
      <c r="BX26" s="73"/>
      <c r="BY26" s="48">
        <f t="shared" si="55"/>
        <v>0</v>
      </c>
      <c r="BZ26" s="72"/>
      <c r="CA26" s="47">
        <f t="shared" si="35"/>
        <v>0</v>
      </c>
      <c r="CB26" s="73"/>
      <c r="CC26" s="48">
        <f t="shared" si="56"/>
        <v>0</v>
      </c>
      <c r="CD26" s="72"/>
      <c r="CE26" s="47">
        <f t="shared" si="36"/>
        <v>0</v>
      </c>
      <c r="CF26" s="73"/>
      <c r="CG26" s="48">
        <f t="shared" si="57"/>
        <v>0</v>
      </c>
    </row>
    <row r="27" spans="1:85" s="89" customFormat="1" ht="20.100000000000001" hidden="1" customHeight="1" x14ac:dyDescent="0.25">
      <c r="A27" s="19" t="s">
        <v>156</v>
      </c>
      <c r="B27" s="156" t="s">
        <v>7</v>
      </c>
      <c r="C27" s="163">
        <v>3</v>
      </c>
      <c r="D27" s="156" t="s">
        <v>356</v>
      </c>
      <c r="E27" s="77">
        <v>6</v>
      </c>
      <c r="F27" s="43">
        <v>3</v>
      </c>
      <c r="G27" s="47">
        <v>17</v>
      </c>
      <c r="H27" s="45">
        <v>3</v>
      </c>
      <c r="I27" s="48">
        <f t="shared" si="38"/>
        <v>21</v>
      </c>
      <c r="J27" s="43">
        <v>8</v>
      </c>
      <c r="K27" s="47">
        <f t="shared" si="37"/>
        <v>13</v>
      </c>
      <c r="L27" s="45">
        <v>3</v>
      </c>
      <c r="M27" s="48">
        <f t="shared" si="39"/>
        <v>26</v>
      </c>
      <c r="N27" s="43">
        <v>15</v>
      </c>
      <c r="O27" s="47">
        <f t="shared" si="18"/>
        <v>11</v>
      </c>
      <c r="P27" s="45">
        <v>2</v>
      </c>
      <c r="Q27" s="48">
        <f t="shared" si="40"/>
        <v>27</v>
      </c>
      <c r="R27" s="43">
        <v>10</v>
      </c>
      <c r="S27" s="47">
        <f t="shared" si="20"/>
        <v>17</v>
      </c>
      <c r="T27" s="45">
        <v>2</v>
      </c>
      <c r="U27" s="48">
        <f t="shared" si="41"/>
        <v>22</v>
      </c>
      <c r="V27" s="43">
        <v>9</v>
      </c>
      <c r="W27" s="47">
        <f t="shared" si="22"/>
        <v>13</v>
      </c>
      <c r="X27" s="49">
        <v>2</v>
      </c>
      <c r="Y27" s="48">
        <f t="shared" si="42"/>
        <v>21</v>
      </c>
      <c r="Z27" s="43">
        <v>12</v>
      </c>
      <c r="AA27" s="47">
        <f t="shared" si="1"/>
        <v>9</v>
      </c>
      <c r="AB27" s="49">
        <v>2</v>
      </c>
      <c r="AC27" s="48">
        <f t="shared" si="43"/>
        <v>24</v>
      </c>
      <c r="AD27" s="43">
        <v>7</v>
      </c>
      <c r="AE27" s="47">
        <f t="shared" si="23"/>
        <v>17</v>
      </c>
      <c r="AF27" s="45">
        <v>2</v>
      </c>
      <c r="AG27" s="48">
        <f t="shared" si="44"/>
        <v>19</v>
      </c>
      <c r="AH27" s="43">
        <v>5</v>
      </c>
      <c r="AI27" s="47">
        <f t="shared" si="24"/>
        <v>14</v>
      </c>
      <c r="AJ27" s="45">
        <v>2</v>
      </c>
      <c r="AK27" s="48">
        <f t="shared" si="45"/>
        <v>17</v>
      </c>
      <c r="AL27" s="43">
        <v>6</v>
      </c>
      <c r="AM27" s="47">
        <f t="shared" si="25"/>
        <v>11</v>
      </c>
      <c r="AN27" s="45">
        <v>2</v>
      </c>
      <c r="AO27" s="48">
        <f t="shared" si="46"/>
        <v>18</v>
      </c>
      <c r="AP27" s="43">
        <v>7</v>
      </c>
      <c r="AQ27" s="47">
        <f t="shared" si="26"/>
        <v>11</v>
      </c>
      <c r="AR27" s="45">
        <v>3</v>
      </c>
      <c r="AS27" s="48">
        <f t="shared" si="47"/>
        <v>25</v>
      </c>
      <c r="AT27" s="43">
        <v>5</v>
      </c>
      <c r="AU27" s="47">
        <f t="shared" si="27"/>
        <v>20</v>
      </c>
      <c r="AV27" s="45">
        <v>4</v>
      </c>
      <c r="AW27" s="48">
        <f t="shared" si="48"/>
        <v>29</v>
      </c>
      <c r="AX27" s="43">
        <v>15</v>
      </c>
      <c r="AY27" s="47">
        <f t="shared" si="28"/>
        <v>14</v>
      </c>
      <c r="AZ27" s="45">
        <v>2</v>
      </c>
      <c r="BA27" s="48">
        <f t="shared" si="49"/>
        <v>27</v>
      </c>
      <c r="BB27" s="43">
        <v>9</v>
      </c>
      <c r="BC27" s="47">
        <f t="shared" si="29"/>
        <v>18</v>
      </c>
      <c r="BD27" s="45">
        <v>3</v>
      </c>
      <c r="BE27" s="48">
        <f t="shared" si="50"/>
        <v>27</v>
      </c>
      <c r="BF27" s="43">
        <v>22</v>
      </c>
      <c r="BG27" s="47">
        <f t="shared" si="30"/>
        <v>5</v>
      </c>
      <c r="BH27" s="45">
        <v>1</v>
      </c>
      <c r="BI27" s="48">
        <f t="shared" si="51"/>
        <v>28</v>
      </c>
      <c r="BJ27" s="43">
        <v>19</v>
      </c>
      <c r="BK27" s="47">
        <f t="shared" si="31"/>
        <v>9</v>
      </c>
      <c r="BL27" s="45"/>
      <c r="BM27" s="48">
        <f t="shared" si="52"/>
        <v>19</v>
      </c>
      <c r="BN27" s="43"/>
      <c r="BO27" s="47">
        <f t="shared" si="32"/>
        <v>19</v>
      </c>
      <c r="BP27" s="45"/>
      <c r="BQ27" s="48">
        <f t="shared" si="53"/>
        <v>0</v>
      </c>
      <c r="BR27" s="43"/>
      <c r="BS27" s="47">
        <f t="shared" si="33"/>
        <v>0</v>
      </c>
      <c r="BT27" s="45"/>
      <c r="BU27" s="48">
        <f t="shared" si="54"/>
        <v>0</v>
      </c>
      <c r="BV27" s="43"/>
      <c r="BW27" s="47">
        <f t="shared" si="34"/>
        <v>0</v>
      </c>
      <c r="BX27" s="45"/>
      <c r="BY27" s="48">
        <f t="shared" si="55"/>
        <v>0</v>
      </c>
      <c r="BZ27" s="43"/>
      <c r="CA27" s="47">
        <f t="shared" si="35"/>
        <v>0</v>
      </c>
      <c r="CB27" s="45"/>
      <c r="CC27" s="48">
        <f t="shared" si="56"/>
        <v>0</v>
      </c>
      <c r="CD27" s="43"/>
      <c r="CE27" s="47">
        <f t="shared" si="36"/>
        <v>0</v>
      </c>
      <c r="CF27" s="45"/>
      <c r="CG27" s="48">
        <f t="shared" si="57"/>
        <v>0</v>
      </c>
    </row>
    <row r="28" spans="1:85" s="89" customFormat="1" ht="20.100000000000001" hidden="1" customHeight="1" x14ac:dyDescent="0.25">
      <c r="A28" s="19" t="s">
        <v>386</v>
      </c>
      <c r="B28" s="156" t="s">
        <v>7</v>
      </c>
      <c r="C28" s="163">
        <v>4.5</v>
      </c>
      <c r="D28" s="156" t="s">
        <v>359</v>
      </c>
      <c r="E28" s="77">
        <v>15</v>
      </c>
      <c r="F28" s="43"/>
      <c r="G28" s="47"/>
      <c r="H28" s="45"/>
      <c r="I28" s="48"/>
      <c r="J28" s="43"/>
      <c r="K28" s="47"/>
      <c r="L28" s="45"/>
      <c r="M28" s="48"/>
      <c r="N28" s="43"/>
      <c r="O28" s="47"/>
      <c r="P28" s="45"/>
      <c r="Q28" s="48"/>
      <c r="R28" s="43"/>
      <c r="S28" s="47"/>
      <c r="T28" s="45"/>
      <c r="U28" s="48"/>
      <c r="V28" s="43"/>
      <c r="W28" s="47"/>
      <c r="X28" s="49"/>
      <c r="Y28" s="48"/>
      <c r="Z28" s="43"/>
      <c r="AA28" s="47"/>
      <c r="AB28" s="49"/>
      <c r="AC28" s="48"/>
      <c r="AD28" s="43"/>
      <c r="AE28" s="47"/>
      <c r="AF28" s="45"/>
      <c r="AG28" s="48"/>
      <c r="AH28" s="43"/>
      <c r="AI28" s="47"/>
      <c r="AJ28" s="45"/>
      <c r="AK28" s="48"/>
      <c r="AL28" s="43"/>
      <c r="AM28" s="47"/>
      <c r="AN28" s="45"/>
      <c r="AO28" s="48"/>
      <c r="AP28" s="43"/>
      <c r="AQ28" s="47"/>
      <c r="AR28" s="45"/>
      <c r="AS28" s="48"/>
      <c r="AT28" s="43"/>
      <c r="AU28" s="47"/>
      <c r="AV28" s="45"/>
      <c r="AW28" s="48"/>
      <c r="AX28" s="43"/>
      <c r="AY28" s="47"/>
      <c r="AZ28" s="45"/>
      <c r="BA28" s="48"/>
      <c r="BB28" s="43"/>
      <c r="BC28" s="47"/>
      <c r="BD28" s="45"/>
      <c r="BE28" s="48"/>
      <c r="BF28" s="43"/>
      <c r="BG28" s="47"/>
      <c r="BH28" s="45"/>
      <c r="BI28" s="48"/>
      <c r="BJ28" s="43"/>
      <c r="BK28" s="47"/>
      <c r="BL28" s="45"/>
      <c r="BM28" s="48">
        <f t="shared" si="52"/>
        <v>0</v>
      </c>
      <c r="BN28" s="43"/>
      <c r="BO28" s="47">
        <f t="shared" si="32"/>
        <v>0</v>
      </c>
      <c r="BP28" s="45"/>
      <c r="BQ28" s="48">
        <f t="shared" si="53"/>
        <v>0</v>
      </c>
      <c r="BR28" s="43"/>
      <c r="BS28" s="47">
        <f t="shared" si="33"/>
        <v>0</v>
      </c>
      <c r="BT28" s="45"/>
      <c r="BU28" s="48">
        <f t="shared" si="54"/>
        <v>0</v>
      </c>
      <c r="BV28" s="43"/>
      <c r="BW28" s="47">
        <f t="shared" si="34"/>
        <v>0</v>
      </c>
      <c r="BX28" s="45"/>
      <c r="BY28" s="48">
        <f t="shared" si="55"/>
        <v>0</v>
      </c>
      <c r="BZ28" s="43"/>
      <c r="CA28" s="47">
        <f t="shared" si="35"/>
        <v>0</v>
      </c>
      <c r="CB28" s="45"/>
      <c r="CC28" s="48">
        <f t="shared" si="56"/>
        <v>0</v>
      </c>
      <c r="CD28" s="43"/>
      <c r="CE28" s="47">
        <f t="shared" si="36"/>
        <v>0</v>
      </c>
      <c r="CF28" s="45"/>
      <c r="CG28" s="48">
        <f t="shared" si="57"/>
        <v>0</v>
      </c>
    </row>
    <row r="29" spans="1:85" s="89" customFormat="1" ht="20.100000000000001" hidden="1" customHeight="1" x14ac:dyDescent="0.25">
      <c r="A29" s="19" t="s">
        <v>385</v>
      </c>
      <c r="B29" s="156" t="s">
        <v>7</v>
      </c>
      <c r="C29" s="163">
        <v>4.5</v>
      </c>
      <c r="D29" s="156" t="s">
        <v>359</v>
      </c>
      <c r="E29" s="77">
        <v>15</v>
      </c>
      <c r="F29" s="43"/>
      <c r="G29" s="47"/>
      <c r="H29" s="45"/>
      <c r="I29" s="48"/>
      <c r="J29" s="43"/>
      <c r="K29" s="47"/>
      <c r="L29" s="45"/>
      <c r="M29" s="48"/>
      <c r="N29" s="43"/>
      <c r="O29" s="47"/>
      <c r="P29" s="45"/>
      <c r="Q29" s="48"/>
      <c r="R29" s="43"/>
      <c r="S29" s="47"/>
      <c r="T29" s="45"/>
      <c r="U29" s="48"/>
      <c r="V29" s="43"/>
      <c r="W29" s="47"/>
      <c r="X29" s="49"/>
      <c r="Y29" s="48"/>
      <c r="Z29" s="43"/>
      <c r="AA29" s="47"/>
      <c r="AB29" s="49"/>
      <c r="AC29" s="48"/>
      <c r="AD29" s="43"/>
      <c r="AE29" s="47"/>
      <c r="AF29" s="45"/>
      <c r="AG29" s="48"/>
      <c r="AH29" s="43"/>
      <c r="AI29" s="47"/>
      <c r="AJ29" s="45"/>
      <c r="AK29" s="48"/>
      <c r="AL29" s="43"/>
      <c r="AM29" s="47"/>
      <c r="AN29" s="45"/>
      <c r="AO29" s="48"/>
      <c r="AP29" s="43"/>
      <c r="AQ29" s="47"/>
      <c r="AR29" s="45"/>
      <c r="AS29" s="48"/>
      <c r="AT29" s="43"/>
      <c r="AU29" s="47"/>
      <c r="AV29" s="45"/>
      <c r="AW29" s="48"/>
      <c r="AX29" s="43"/>
      <c r="AY29" s="47"/>
      <c r="AZ29" s="45"/>
      <c r="BA29" s="48"/>
      <c r="BB29" s="43"/>
      <c r="BC29" s="47"/>
      <c r="BD29" s="45"/>
      <c r="BE29" s="48"/>
      <c r="BF29" s="43"/>
      <c r="BG29" s="47"/>
      <c r="BH29" s="45"/>
      <c r="BI29" s="48"/>
      <c r="BJ29" s="43"/>
      <c r="BK29" s="47"/>
      <c r="BL29" s="45"/>
      <c r="BM29" s="48">
        <f t="shared" si="52"/>
        <v>0</v>
      </c>
      <c r="BN29" s="43"/>
      <c r="BO29" s="47">
        <f t="shared" si="32"/>
        <v>0</v>
      </c>
      <c r="BP29" s="45"/>
      <c r="BQ29" s="48">
        <f t="shared" si="53"/>
        <v>0</v>
      </c>
      <c r="BR29" s="43"/>
      <c r="BS29" s="47">
        <f t="shared" si="33"/>
        <v>0</v>
      </c>
      <c r="BT29" s="45"/>
      <c r="BU29" s="48">
        <f t="shared" si="54"/>
        <v>0</v>
      </c>
      <c r="BV29" s="43"/>
      <c r="BW29" s="47">
        <f t="shared" si="34"/>
        <v>0</v>
      </c>
      <c r="BX29" s="45"/>
      <c r="BY29" s="48">
        <f t="shared" si="55"/>
        <v>0</v>
      </c>
      <c r="BZ29" s="43"/>
      <c r="CA29" s="47">
        <f t="shared" si="35"/>
        <v>0</v>
      </c>
      <c r="CB29" s="45"/>
      <c r="CC29" s="48">
        <f t="shared" si="56"/>
        <v>0</v>
      </c>
      <c r="CD29" s="43"/>
      <c r="CE29" s="47">
        <f t="shared" si="36"/>
        <v>0</v>
      </c>
      <c r="CF29" s="45"/>
      <c r="CG29" s="48">
        <f t="shared" si="57"/>
        <v>0</v>
      </c>
    </row>
    <row r="30" spans="1:85" s="89" customFormat="1" ht="20.100000000000001" customHeight="1" x14ac:dyDescent="0.25">
      <c r="A30" s="19" t="s">
        <v>237</v>
      </c>
      <c r="B30" s="156" t="s">
        <v>7</v>
      </c>
      <c r="C30" s="160">
        <v>2.5</v>
      </c>
      <c r="D30" s="156" t="s">
        <v>356</v>
      </c>
      <c r="E30" s="77">
        <v>5</v>
      </c>
      <c r="F30" s="43">
        <v>7</v>
      </c>
      <c r="G30" s="47">
        <v>8</v>
      </c>
      <c r="H30" s="45">
        <v>1</v>
      </c>
      <c r="I30" s="48">
        <f>+F30+H30*$E30</f>
        <v>12</v>
      </c>
      <c r="J30" s="43">
        <v>5</v>
      </c>
      <c r="K30" s="47">
        <f>+I30-J30</f>
        <v>7</v>
      </c>
      <c r="L30" s="45">
        <v>2</v>
      </c>
      <c r="M30" s="48">
        <f>+J30+L30*$E30</f>
        <v>15</v>
      </c>
      <c r="N30" s="43">
        <v>5</v>
      </c>
      <c r="O30" s="47">
        <f t="shared" si="18"/>
        <v>10</v>
      </c>
      <c r="P30" s="45">
        <v>2</v>
      </c>
      <c r="Q30" s="48">
        <f>+N30+P30*$E30</f>
        <v>15</v>
      </c>
      <c r="R30" s="43">
        <v>9</v>
      </c>
      <c r="S30" s="47">
        <f t="shared" si="20"/>
        <v>6</v>
      </c>
      <c r="T30" s="45">
        <v>1</v>
      </c>
      <c r="U30" s="48">
        <f>+R30+T30*$E30</f>
        <v>14</v>
      </c>
      <c r="V30" s="43">
        <v>4</v>
      </c>
      <c r="W30" s="47">
        <f t="shared" si="22"/>
        <v>10</v>
      </c>
      <c r="X30" s="49">
        <v>2</v>
      </c>
      <c r="Y30" s="48">
        <f>+V30+X30*$E30</f>
        <v>14</v>
      </c>
      <c r="Z30" s="43">
        <v>14</v>
      </c>
      <c r="AA30" s="47">
        <f t="shared" si="1"/>
        <v>0</v>
      </c>
      <c r="AB30" s="45"/>
      <c r="AC30" s="48">
        <f>+Z30+AB30*$E30</f>
        <v>14</v>
      </c>
      <c r="AD30" s="43">
        <v>1</v>
      </c>
      <c r="AE30" s="47">
        <f t="shared" si="23"/>
        <v>13</v>
      </c>
      <c r="AF30" s="45">
        <v>3</v>
      </c>
      <c r="AG30" s="48">
        <f>+AD30+AF30*$E30</f>
        <v>16</v>
      </c>
      <c r="AH30" s="43">
        <v>6</v>
      </c>
      <c r="AI30" s="47">
        <f t="shared" si="24"/>
        <v>10</v>
      </c>
      <c r="AJ30" s="45">
        <v>2</v>
      </c>
      <c r="AK30" s="48">
        <f>+AH30+AJ30*$E30</f>
        <v>16</v>
      </c>
      <c r="AL30" s="43">
        <v>8</v>
      </c>
      <c r="AM30" s="47">
        <f t="shared" si="25"/>
        <v>8</v>
      </c>
      <c r="AN30" s="45">
        <v>2</v>
      </c>
      <c r="AO30" s="48">
        <f>+AL30+AN30*$E30</f>
        <v>18</v>
      </c>
      <c r="AP30" s="43">
        <v>8</v>
      </c>
      <c r="AQ30" s="47">
        <f t="shared" si="26"/>
        <v>10</v>
      </c>
      <c r="AR30" s="45">
        <v>2</v>
      </c>
      <c r="AS30" s="48">
        <f>+AP30+AR30*$E30</f>
        <v>18</v>
      </c>
      <c r="AT30" s="43">
        <v>6</v>
      </c>
      <c r="AU30" s="47">
        <f t="shared" si="27"/>
        <v>12</v>
      </c>
      <c r="AV30" s="45">
        <v>2</v>
      </c>
      <c r="AW30" s="48">
        <f>+AT30+AV30*$E30</f>
        <v>16</v>
      </c>
      <c r="AX30" s="43">
        <v>8</v>
      </c>
      <c r="AY30" s="47">
        <f t="shared" si="28"/>
        <v>8</v>
      </c>
      <c r="AZ30" s="45">
        <v>2</v>
      </c>
      <c r="BA30" s="48">
        <f>+AX30+AZ30*$E30</f>
        <v>18</v>
      </c>
      <c r="BB30" s="43">
        <v>6</v>
      </c>
      <c r="BC30" s="47">
        <f t="shared" si="29"/>
        <v>12</v>
      </c>
      <c r="BD30" s="45">
        <v>2</v>
      </c>
      <c r="BE30" s="48">
        <f>+BB30+BD30*$E30</f>
        <v>16</v>
      </c>
      <c r="BF30" s="43">
        <v>8</v>
      </c>
      <c r="BG30" s="47">
        <f t="shared" si="30"/>
        <v>8</v>
      </c>
      <c r="BH30" s="45">
        <v>2</v>
      </c>
      <c r="BI30" s="48">
        <f>+BF30+BH30*$E30</f>
        <v>18</v>
      </c>
      <c r="BJ30" s="43">
        <v>13</v>
      </c>
      <c r="BK30" s="47">
        <f t="shared" si="31"/>
        <v>5</v>
      </c>
      <c r="BL30" s="45">
        <v>2</v>
      </c>
      <c r="BM30" s="48">
        <f>+BJ30+BL30*$E30</f>
        <v>23</v>
      </c>
      <c r="BN30" s="43"/>
      <c r="BO30" s="47">
        <f t="shared" si="32"/>
        <v>23</v>
      </c>
      <c r="BP30" s="45"/>
      <c r="BQ30" s="48">
        <f>+BN30+BP30*$E30</f>
        <v>0</v>
      </c>
      <c r="BR30" s="43"/>
      <c r="BS30" s="47">
        <f t="shared" si="33"/>
        <v>0</v>
      </c>
      <c r="BT30" s="45"/>
      <c r="BU30" s="48">
        <f>+BR30+BT30*$E30</f>
        <v>0</v>
      </c>
      <c r="BV30" s="43"/>
      <c r="BW30" s="47">
        <f t="shared" si="34"/>
        <v>0</v>
      </c>
      <c r="BX30" s="45"/>
      <c r="BY30" s="48">
        <f>+BV30+BX30*$E30</f>
        <v>0</v>
      </c>
      <c r="BZ30" s="43"/>
      <c r="CA30" s="47">
        <f t="shared" si="35"/>
        <v>0</v>
      </c>
      <c r="CB30" s="45"/>
      <c r="CC30" s="48">
        <f>+BZ30+CB30*$E30</f>
        <v>0</v>
      </c>
      <c r="CD30" s="43"/>
      <c r="CE30" s="47">
        <f t="shared" si="36"/>
        <v>0</v>
      </c>
      <c r="CF30" s="45"/>
      <c r="CG30" s="48">
        <f>+CD30+CF30*$E30</f>
        <v>0</v>
      </c>
    </row>
    <row r="31" spans="1:85" s="89" customFormat="1" ht="20.100000000000001" customHeight="1" x14ac:dyDescent="0.25">
      <c r="A31" s="19" t="s">
        <v>336</v>
      </c>
      <c r="B31" s="156" t="s">
        <v>7</v>
      </c>
      <c r="C31" s="163">
        <v>3</v>
      </c>
      <c r="D31" s="156" t="s">
        <v>9</v>
      </c>
      <c r="E31" s="77">
        <v>6</v>
      </c>
      <c r="F31" s="43">
        <v>12</v>
      </c>
      <c r="G31" s="47">
        <v>16</v>
      </c>
      <c r="H31" s="45">
        <v>2</v>
      </c>
      <c r="I31" s="48">
        <f>+F31+H31*$E31</f>
        <v>24</v>
      </c>
      <c r="J31" s="43">
        <v>9</v>
      </c>
      <c r="K31" s="47">
        <f>+I31-J31</f>
        <v>15</v>
      </c>
      <c r="L31" s="45">
        <v>3</v>
      </c>
      <c r="M31" s="48">
        <f>+J31+L31*$E31</f>
        <v>27</v>
      </c>
      <c r="N31" s="43">
        <v>3</v>
      </c>
      <c r="O31" s="47">
        <f t="shared" si="18"/>
        <v>24</v>
      </c>
      <c r="P31" s="45">
        <v>4</v>
      </c>
      <c r="Q31" s="48">
        <f>+N31+P31*$E31</f>
        <v>27</v>
      </c>
      <c r="R31" s="43">
        <v>12</v>
      </c>
      <c r="S31" s="47">
        <f t="shared" si="20"/>
        <v>15</v>
      </c>
      <c r="T31" s="45">
        <v>3</v>
      </c>
      <c r="U31" s="48">
        <f>+R31+T31*$E31</f>
        <v>30</v>
      </c>
      <c r="V31" s="43">
        <v>23</v>
      </c>
      <c r="W31" s="47">
        <f t="shared" si="22"/>
        <v>7</v>
      </c>
      <c r="X31" s="49">
        <v>3</v>
      </c>
      <c r="Y31" s="48">
        <f>+V31+X31*$E31</f>
        <v>41</v>
      </c>
      <c r="Z31" s="43">
        <v>37</v>
      </c>
      <c r="AA31" s="47">
        <f t="shared" si="1"/>
        <v>4</v>
      </c>
      <c r="AB31" s="45"/>
      <c r="AC31" s="48">
        <f>+Z31+AB31*$E31</f>
        <v>37</v>
      </c>
      <c r="AD31" s="43">
        <v>13</v>
      </c>
      <c r="AE31" s="47">
        <f t="shared" si="23"/>
        <v>24</v>
      </c>
      <c r="AF31" s="45">
        <v>2</v>
      </c>
      <c r="AG31" s="48">
        <f>+AD31+AF31*$E31</f>
        <v>25</v>
      </c>
      <c r="AH31" s="43">
        <v>23</v>
      </c>
      <c r="AI31" s="47">
        <f t="shared" si="24"/>
        <v>2</v>
      </c>
      <c r="AJ31" s="45"/>
      <c r="AK31" s="48">
        <f>+AH31+AJ31*$E31</f>
        <v>23</v>
      </c>
      <c r="AL31" s="43">
        <v>6</v>
      </c>
      <c r="AM31" s="47">
        <f t="shared" si="25"/>
        <v>17</v>
      </c>
      <c r="AN31" s="45">
        <v>3</v>
      </c>
      <c r="AO31" s="48">
        <f>+AL31+AN31*$E31</f>
        <v>24</v>
      </c>
      <c r="AP31" s="43">
        <v>22</v>
      </c>
      <c r="AQ31" s="47">
        <f t="shared" si="26"/>
        <v>2</v>
      </c>
      <c r="AR31" s="45">
        <v>4</v>
      </c>
      <c r="AS31" s="48">
        <f>+AP31+AR31*$E31</f>
        <v>46</v>
      </c>
      <c r="AT31" s="43">
        <v>39</v>
      </c>
      <c r="AU31" s="47">
        <f t="shared" si="27"/>
        <v>7</v>
      </c>
      <c r="AV31" s="45">
        <v>1</v>
      </c>
      <c r="AW31" s="48">
        <f>+AT31+AV31*$E31</f>
        <v>45</v>
      </c>
      <c r="AX31" s="43">
        <v>34</v>
      </c>
      <c r="AY31" s="47">
        <f t="shared" si="28"/>
        <v>11</v>
      </c>
      <c r="AZ31" s="45"/>
      <c r="BA31" s="48">
        <f>+AX31+AZ31*$E31</f>
        <v>34</v>
      </c>
      <c r="BB31" s="43">
        <v>4</v>
      </c>
      <c r="BC31" s="47">
        <f t="shared" si="29"/>
        <v>30</v>
      </c>
      <c r="BD31" s="45">
        <v>3</v>
      </c>
      <c r="BE31" s="48">
        <f>+BB31+BD31*$E31</f>
        <v>22</v>
      </c>
      <c r="BF31" s="43">
        <v>18</v>
      </c>
      <c r="BG31" s="47">
        <f t="shared" si="30"/>
        <v>4</v>
      </c>
      <c r="BH31" s="45">
        <v>1</v>
      </c>
      <c r="BI31" s="48">
        <f>+BF31+BH31*$E31</f>
        <v>24</v>
      </c>
      <c r="BJ31" s="43">
        <v>19</v>
      </c>
      <c r="BK31" s="47">
        <f t="shared" si="31"/>
        <v>5</v>
      </c>
      <c r="BL31" s="45">
        <v>1</v>
      </c>
      <c r="BM31" s="48">
        <f>+BJ31+BL31*$E31</f>
        <v>25</v>
      </c>
      <c r="BN31" s="43"/>
      <c r="BO31" s="47">
        <f t="shared" si="32"/>
        <v>25</v>
      </c>
      <c r="BP31" s="45"/>
      <c r="BQ31" s="48">
        <f>+BN31+BP31*$E31</f>
        <v>0</v>
      </c>
      <c r="BR31" s="43"/>
      <c r="BS31" s="47">
        <f t="shared" si="33"/>
        <v>0</v>
      </c>
      <c r="BT31" s="45"/>
      <c r="BU31" s="48">
        <f>+BR31+BT31*$E31</f>
        <v>0</v>
      </c>
      <c r="BV31" s="43"/>
      <c r="BW31" s="47">
        <f t="shared" si="34"/>
        <v>0</v>
      </c>
      <c r="BX31" s="45"/>
      <c r="BY31" s="48">
        <f>+BV31+BX31*$E31</f>
        <v>0</v>
      </c>
      <c r="BZ31" s="43"/>
      <c r="CA31" s="47">
        <f t="shared" si="35"/>
        <v>0</v>
      </c>
      <c r="CB31" s="45"/>
      <c r="CC31" s="48">
        <f>+BZ31+CB31*$E31</f>
        <v>0</v>
      </c>
      <c r="CD31" s="43"/>
      <c r="CE31" s="47">
        <f t="shared" si="36"/>
        <v>0</v>
      </c>
      <c r="CF31" s="45"/>
      <c r="CG31" s="48">
        <f>+CD31+CF31*$E31</f>
        <v>0</v>
      </c>
    </row>
    <row r="32" spans="1:85" s="89" customFormat="1" ht="20.100000000000001" customHeight="1" x14ac:dyDescent="0.25">
      <c r="A32" s="19" t="s">
        <v>238</v>
      </c>
      <c r="B32" s="156" t="s">
        <v>7</v>
      </c>
      <c r="C32" s="163">
        <v>3</v>
      </c>
      <c r="D32" s="156" t="s">
        <v>9</v>
      </c>
      <c r="E32" s="77">
        <v>6</v>
      </c>
      <c r="F32" s="43">
        <v>8</v>
      </c>
      <c r="G32" s="47">
        <v>9</v>
      </c>
      <c r="H32" s="45">
        <v>1</v>
      </c>
      <c r="I32" s="48">
        <f t="shared" ref="I32:I39" si="58">+F32+H32*$E32</f>
        <v>14</v>
      </c>
      <c r="J32" s="43">
        <v>4</v>
      </c>
      <c r="K32" s="47">
        <f t="shared" ref="K32:K39" si="59">+I32-J32</f>
        <v>10</v>
      </c>
      <c r="L32" s="45">
        <v>2</v>
      </c>
      <c r="M32" s="48">
        <f t="shared" ref="M32:M39" si="60">+J32+L32*$E32</f>
        <v>16</v>
      </c>
      <c r="N32" s="43">
        <v>9</v>
      </c>
      <c r="O32" s="47">
        <f t="shared" si="18"/>
        <v>7</v>
      </c>
      <c r="P32" s="45">
        <v>1</v>
      </c>
      <c r="Q32" s="48">
        <f t="shared" ref="Q32:Q39" si="61">+N32+P32*$E32</f>
        <v>15</v>
      </c>
      <c r="R32" s="43">
        <v>9</v>
      </c>
      <c r="S32" s="47">
        <f t="shared" si="20"/>
        <v>6</v>
      </c>
      <c r="T32" s="45">
        <v>1</v>
      </c>
      <c r="U32" s="48">
        <f t="shared" ref="U32:U39" si="62">+R32+T32*$E32</f>
        <v>15</v>
      </c>
      <c r="V32" s="43">
        <v>7</v>
      </c>
      <c r="W32" s="47">
        <f t="shared" si="22"/>
        <v>8</v>
      </c>
      <c r="X32" s="49">
        <v>2</v>
      </c>
      <c r="Y32" s="48">
        <f>+V32+X32*$E32</f>
        <v>19</v>
      </c>
      <c r="Z32" s="43">
        <v>13</v>
      </c>
      <c r="AA32" s="47">
        <f t="shared" si="1"/>
        <v>6</v>
      </c>
      <c r="AB32" s="45"/>
      <c r="AC32" s="48">
        <f>+Z32+AB32*$E32</f>
        <v>13</v>
      </c>
      <c r="AD32" s="43">
        <v>8</v>
      </c>
      <c r="AE32" s="47">
        <f t="shared" si="23"/>
        <v>5</v>
      </c>
      <c r="AF32" s="45">
        <v>1</v>
      </c>
      <c r="AG32" s="48">
        <f>+AD32+AF32*$E32</f>
        <v>14</v>
      </c>
      <c r="AH32" s="43">
        <v>3</v>
      </c>
      <c r="AI32" s="47">
        <f t="shared" si="24"/>
        <v>11</v>
      </c>
      <c r="AJ32" s="45">
        <v>2</v>
      </c>
      <c r="AK32" s="48">
        <f>+AH32+AJ32*$E32</f>
        <v>15</v>
      </c>
      <c r="AL32" s="43">
        <v>8</v>
      </c>
      <c r="AM32" s="47">
        <f t="shared" si="25"/>
        <v>7</v>
      </c>
      <c r="AN32" s="45">
        <v>1</v>
      </c>
      <c r="AO32" s="48">
        <f>+AL32+AN32*$E32</f>
        <v>14</v>
      </c>
      <c r="AP32" s="43">
        <v>6</v>
      </c>
      <c r="AQ32" s="47">
        <f t="shared" si="26"/>
        <v>8</v>
      </c>
      <c r="AR32" s="45">
        <v>2</v>
      </c>
      <c r="AS32" s="48">
        <f>+AP32+AR32*$E32</f>
        <v>18</v>
      </c>
      <c r="AT32" s="43">
        <v>7</v>
      </c>
      <c r="AU32" s="47">
        <f t="shared" si="27"/>
        <v>11</v>
      </c>
      <c r="AV32" s="45">
        <v>2</v>
      </c>
      <c r="AW32" s="48">
        <f>+AT32+AV32*$E32</f>
        <v>19</v>
      </c>
      <c r="AX32" s="43">
        <v>11</v>
      </c>
      <c r="AY32" s="47">
        <f t="shared" si="28"/>
        <v>8</v>
      </c>
      <c r="AZ32" s="45">
        <v>1</v>
      </c>
      <c r="BA32" s="48">
        <f>+AX32+AZ32*$E32</f>
        <v>17</v>
      </c>
      <c r="BB32" s="43">
        <v>8</v>
      </c>
      <c r="BC32" s="47">
        <f t="shared" si="29"/>
        <v>9</v>
      </c>
      <c r="BD32" s="45">
        <v>1</v>
      </c>
      <c r="BE32" s="48">
        <f>+BB32+BD32*$E32</f>
        <v>14</v>
      </c>
      <c r="BF32" s="43">
        <v>6</v>
      </c>
      <c r="BG32" s="47">
        <f t="shared" si="30"/>
        <v>8</v>
      </c>
      <c r="BH32" s="45">
        <v>2</v>
      </c>
      <c r="BI32" s="48">
        <f>+BF32+BH32*$E32</f>
        <v>18</v>
      </c>
      <c r="BJ32" s="43">
        <v>0</v>
      </c>
      <c r="BK32" s="47">
        <f t="shared" si="31"/>
        <v>18</v>
      </c>
      <c r="BL32" s="45">
        <v>4</v>
      </c>
      <c r="BM32" s="48">
        <f>+BJ32+BL32*$E32</f>
        <v>24</v>
      </c>
      <c r="BN32" s="43"/>
      <c r="BO32" s="47">
        <f t="shared" si="32"/>
        <v>24</v>
      </c>
      <c r="BP32" s="45"/>
      <c r="BQ32" s="48">
        <f>+BN32+BP32*$E32</f>
        <v>0</v>
      </c>
      <c r="BR32" s="43"/>
      <c r="BS32" s="47">
        <f t="shared" si="33"/>
        <v>0</v>
      </c>
      <c r="BT32" s="45"/>
      <c r="BU32" s="48">
        <f>+BR32+BT32*$E32</f>
        <v>0</v>
      </c>
      <c r="BV32" s="43"/>
      <c r="BW32" s="47">
        <f t="shared" si="34"/>
        <v>0</v>
      </c>
      <c r="BX32" s="45"/>
      <c r="BY32" s="48">
        <f>+BV32+BX32*$E32</f>
        <v>0</v>
      </c>
      <c r="BZ32" s="43"/>
      <c r="CA32" s="47">
        <f t="shared" si="35"/>
        <v>0</v>
      </c>
      <c r="CB32" s="45"/>
      <c r="CC32" s="48">
        <f>+BZ32+CB32*$E32</f>
        <v>0</v>
      </c>
      <c r="CD32" s="43"/>
      <c r="CE32" s="47">
        <f t="shared" si="36"/>
        <v>0</v>
      </c>
      <c r="CF32" s="45"/>
      <c r="CG32" s="48">
        <f>+CD32+CF32*$E32</f>
        <v>0</v>
      </c>
    </row>
    <row r="33" spans="1:85" s="89" customFormat="1" ht="20.100000000000001" customHeight="1" x14ac:dyDescent="0.25">
      <c r="A33" s="19" t="s">
        <v>337</v>
      </c>
      <c r="B33" s="156" t="s">
        <v>7</v>
      </c>
      <c r="C33" s="163">
        <v>2</v>
      </c>
      <c r="D33" s="156" t="s">
        <v>356</v>
      </c>
      <c r="E33" s="77">
        <v>8</v>
      </c>
      <c r="F33" s="43">
        <v>3</v>
      </c>
      <c r="G33" s="47">
        <v>11</v>
      </c>
      <c r="H33" s="45">
        <v>2</v>
      </c>
      <c r="I33" s="48">
        <f t="shared" si="58"/>
        <v>19</v>
      </c>
      <c r="J33" s="43">
        <v>8</v>
      </c>
      <c r="K33" s="47">
        <f t="shared" si="59"/>
        <v>11</v>
      </c>
      <c r="L33" s="45">
        <v>1</v>
      </c>
      <c r="M33" s="48">
        <f t="shared" si="60"/>
        <v>16</v>
      </c>
      <c r="N33" s="43">
        <v>2</v>
      </c>
      <c r="O33" s="47">
        <f t="shared" si="18"/>
        <v>14</v>
      </c>
      <c r="P33" s="45">
        <v>2</v>
      </c>
      <c r="Q33" s="48">
        <f t="shared" si="61"/>
        <v>18</v>
      </c>
      <c r="R33" s="43">
        <v>5</v>
      </c>
      <c r="S33" s="47">
        <f t="shared" si="20"/>
        <v>13</v>
      </c>
      <c r="T33" s="45">
        <v>2</v>
      </c>
      <c r="U33" s="48">
        <f t="shared" si="62"/>
        <v>21</v>
      </c>
      <c r="V33" s="43">
        <v>10</v>
      </c>
      <c r="W33" s="47">
        <f t="shared" si="22"/>
        <v>11</v>
      </c>
      <c r="X33" s="49">
        <v>1</v>
      </c>
      <c r="Y33" s="48">
        <f>+V33+X33*$E33</f>
        <v>18</v>
      </c>
      <c r="Z33" s="43">
        <v>6</v>
      </c>
      <c r="AA33" s="47">
        <f t="shared" si="1"/>
        <v>12</v>
      </c>
      <c r="AB33" s="49">
        <v>2</v>
      </c>
      <c r="AC33" s="48">
        <f>+Z33+AB33*$E33</f>
        <v>22</v>
      </c>
      <c r="AD33" s="43">
        <v>7</v>
      </c>
      <c r="AE33" s="47">
        <f t="shared" si="23"/>
        <v>15</v>
      </c>
      <c r="AF33" s="45">
        <v>2</v>
      </c>
      <c r="AG33" s="48">
        <f>+AD33+AF33*$E33</f>
        <v>23</v>
      </c>
      <c r="AH33" s="43">
        <v>7</v>
      </c>
      <c r="AI33" s="47">
        <f t="shared" si="24"/>
        <v>16</v>
      </c>
      <c r="AJ33" s="45">
        <v>2</v>
      </c>
      <c r="AK33" s="48">
        <f>+AH33+AJ33*$E33</f>
        <v>23</v>
      </c>
      <c r="AL33" s="43">
        <v>10</v>
      </c>
      <c r="AM33" s="47">
        <f t="shared" si="25"/>
        <v>13</v>
      </c>
      <c r="AN33" s="45">
        <v>2</v>
      </c>
      <c r="AO33" s="48">
        <f>+AL33+AN33*$E33</f>
        <v>26</v>
      </c>
      <c r="AP33" s="43">
        <v>12</v>
      </c>
      <c r="AQ33" s="47">
        <f t="shared" si="26"/>
        <v>14</v>
      </c>
      <c r="AR33" s="45">
        <v>2</v>
      </c>
      <c r="AS33" s="48">
        <f>+AP33+AR33*$E33</f>
        <v>28</v>
      </c>
      <c r="AT33" s="43">
        <v>17</v>
      </c>
      <c r="AU33" s="47">
        <f t="shared" si="27"/>
        <v>11</v>
      </c>
      <c r="AV33" s="45">
        <v>1</v>
      </c>
      <c r="AW33" s="48">
        <f>+AT33+AV33*$E33</f>
        <v>25</v>
      </c>
      <c r="AX33" s="43">
        <v>10</v>
      </c>
      <c r="AY33" s="47">
        <f t="shared" si="28"/>
        <v>15</v>
      </c>
      <c r="AZ33" s="45">
        <v>1</v>
      </c>
      <c r="BA33" s="48">
        <f>+AX33+AZ33*$E33</f>
        <v>18</v>
      </c>
      <c r="BB33" s="43">
        <v>8</v>
      </c>
      <c r="BC33" s="47">
        <f t="shared" si="29"/>
        <v>10</v>
      </c>
      <c r="BD33" s="45">
        <v>1</v>
      </c>
      <c r="BE33" s="48">
        <f>+BB33+BD33*$E33</f>
        <v>16</v>
      </c>
      <c r="BF33" s="43">
        <v>9</v>
      </c>
      <c r="BG33" s="47">
        <f t="shared" si="30"/>
        <v>7</v>
      </c>
      <c r="BH33" s="45">
        <v>2</v>
      </c>
      <c r="BI33" s="48">
        <f>+BF33+BH33*$E33</f>
        <v>25</v>
      </c>
      <c r="BJ33" s="43">
        <v>15</v>
      </c>
      <c r="BK33" s="47">
        <f t="shared" si="31"/>
        <v>10</v>
      </c>
      <c r="BL33" s="45">
        <v>1</v>
      </c>
      <c r="BM33" s="48">
        <f>+BJ33+BL33*$E33</f>
        <v>23</v>
      </c>
      <c r="BN33" s="43"/>
      <c r="BO33" s="47">
        <f t="shared" si="32"/>
        <v>23</v>
      </c>
      <c r="BP33" s="45"/>
      <c r="BQ33" s="48">
        <f>+BN33+BP33*$E33</f>
        <v>0</v>
      </c>
      <c r="BR33" s="43"/>
      <c r="BS33" s="47">
        <f t="shared" si="33"/>
        <v>0</v>
      </c>
      <c r="BT33" s="45"/>
      <c r="BU33" s="48">
        <f>+BR33+BT33*$E33</f>
        <v>0</v>
      </c>
      <c r="BV33" s="43"/>
      <c r="BW33" s="47">
        <f t="shared" si="34"/>
        <v>0</v>
      </c>
      <c r="BX33" s="45"/>
      <c r="BY33" s="48">
        <f>+BV33+BX33*$E33</f>
        <v>0</v>
      </c>
      <c r="BZ33" s="43"/>
      <c r="CA33" s="47">
        <f t="shared" si="35"/>
        <v>0</v>
      </c>
      <c r="CB33" s="45"/>
      <c r="CC33" s="48">
        <f>+BZ33+CB33*$E33</f>
        <v>0</v>
      </c>
      <c r="CD33" s="43"/>
      <c r="CE33" s="47">
        <f t="shared" si="36"/>
        <v>0</v>
      </c>
      <c r="CF33" s="45"/>
      <c r="CG33" s="48">
        <f>+CD33+CF33*$E33</f>
        <v>0</v>
      </c>
    </row>
    <row r="34" spans="1:85" s="89" customFormat="1" ht="22.5" customHeight="1" x14ac:dyDescent="0.25">
      <c r="A34" s="19" t="s">
        <v>338</v>
      </c>
      <c r="B34" s="156" t="s">
        <v>7</v>
      </c>
      <c r="C34" s="163">
        <v>3</v>
      </c>
      <c r="D34" s="156" t="s">
        <v>358</v>
      </c>
      <c r="E34" s="77">
        <v>6</v>
      </c>
      <c r="F34" s="43">
        <v>5</v>
      </c>
      <c r="G34" s="47">
        <v>7</v>
      </c>
      <c r="H34" s="45">
        <v>1</v>
      </c>
      <c r="I34" s="48">
        <f>+F34+H34*$E34</f>
        <v>11</v>
      </c>
      <c r="J34" s="43">
        <v>4</v>
      </c>
      <c r="K34" s="47">
        <f>+I34-J34</f>
        <v>7</v>
      </c>
      <c r="L34" s="45">
        <v>1</v>
      </c>
      <c r="M34" s="48">
        <f>+J34+L34*$E34</f>
        <v>10</v>
      </c>
      <c r="N34" s="43">
        <v>3</v>
      </c>
      <c r="O34" s="47">
        <f t="shared" si="18"/>
        <v>7</v>
      </c>
      <c r="P34" s="45">
        <v>2</v>
      </c>
      <c r="Q34" s="48">
        <f>+N34+P34*$E34</f>
        <v>15</v>
      </c>
      <c r="R34" s="43">
        <v>5</v>
      </c>
      <c r="S34" s="47">
        <f t="shared" si="20"/>
        <v>10</v>
      </c>
      <c r="T34" s="45">
        <v>2</v>
      </c>
      <c r="U34" s="48">
        <f>+R34+T34*$E34</f>
        <v>17</v>
      </c>
      <c r="V34" s="43">
        <v>10</v>
      </c>
      <c r="W34" s="47">
        <f t="shared" si="22"/>
        <v>7</v>
      </c>
      <c r="X34" s="49">
        <v>1</v>
      </c>
      <c r="Y34" s="48">
        <f>+V34+X34*$E34</f>
        <v>16</v>
      </c>
      <c r="Z34" s="43">
        <v>11</v>
      </c>
      <c r="AA34" s="47">
        <f t="shared" si="1"/>
        <v>5</v>
      </c>
      <c r="AB34" s="45"/>
      <c r="AC34" s="48">
        <f>+Z34+AB34*$E34</f>
        <v>11</v>
      </c>
      <c r="AD34" s="43">
        <v>3</v>
      </c>
      <c r="AE34" s="47">
        <f t="shared" si="23"/>
        <v>8</v>
      </c>
      <c r="AF34" s="45">
        <v>2</v>
      </c>
      <c r="AG34" s="48">
        <f>+AD34+AF34*$E34</f>
        <v>15</v>
      </c>
      <c r="AH34" s="43">
        <v>7</v>
      </c>
      <c r="AI34" s="47">
        <f t="shared" si="24"/>
        <v>8</v>
      </c>
      <c r="AJ34" s="45">
        <v>1</v>
      </c>
      <c r="AK34" s="48">
        <f>+AH34+AJ34*$E34</f>
        <v>13</v>
      </c>
      <c r="AL34" s="43">
        <v>1</v>
      </c>
      <c r="AM34" s="47">
        <f t="shared" si="25"/>
        <v>12</v>
      </c>
      <c r="AN34" s="45">
        <v>3</v>
      </c>
      <c r="AO34" s="48">
        <f>+AL34+AN34*$E34</f>
        <v>19</v>
      </c>
      <c r="AP34" s="43">
        <v>12</v>
      </c>
      <c r="AQ34" s="47">
        <f t="shared" si="26"/>
        <v>7</v>
      </c>
      <c r="AR34" s="45">
        <v>2</v>
      </c>
      <c r="AS34" s="48">
        <f>+AP34+AR34*$E34</f>
        <v>24</v>
      </c>
      <c r="AT34" s="43">
        <v>15</v>
      </c>
      <c r="AU34" s="47">
        <f t="shared" si="27"/>
        <v>9</v>
      </c>
      <c r="AV34" s="45">
        <v>1</v>
      </c>
      <c r="AW34" s="48">
        <f>+AT34+AV34*$E34</f>
        <v>21</v>
      </c>
      <c r="AX34" s="43">
        <v>14</v>
      </c>
      <c r="AY34" s="47">
        <f t="shared" si="28"/>
        <v>7</v>
      </c>
      <c r="AZ34" s="45"/>
      <c r="BA34" s="48">
        <f>+AX34+AZ34*$E34</f>
        <v>14</v>
      </c>
      <c r="BB34" s="43">
        <v>6</v>
      </c>
      <c r="BC34" s="47">
        <f t="shared" si="29"/>
        <v>8</v>
      </c>
      <c r="BD34" s="45">
        <v>1</v>
      </c>
      <c r="BE34" s="48">
        <f>+BB34+BD34*$E34</f>
        <v>12</v>
      </c>
      <c r="BF34" s="43">
        <v>6</v>
      </c>
      <c r="BG34" s="47">
        <f t="shared" si="30"/>
        <v>6</v>
      </c>
      <c r="BH34" s="45">
        <v>2</v>
      </c>
      <c r="BI34" s="48">
        <f>+BF34+BH34*$E34</f>
        <v>18</v>
      </c>
      <c r="BJ34" s="43">
        <v>10</v>
      </c>
      <c r="BK34" s="47">
        <f t="shared" si="31"/>
        <v>8</v>
      </c>
      <c r="BL34" s="45">
        <v>1</v>
      </c>
      <c r="BM34" s="48">
        <f>+BJ34+BL34*$E34</f>
        <v>16</v>
      </c>
      <c r="BN34" s="43"/>
      <c r="BO34" s="47">
        <f t="shared" si="32"/>
        <v>16</v>
      </c>
      <c r="BP34" s="45"/>
      <c r="BQ34" s="48">
        <f>+BN34+BP34*$E34</f>
        <v>0</v>
      </c>
      <c r="BR34" s="43"/>
      <c r="BS34" s="47">
        <f t="shared" si="33"/>
        <v>0</v>
      </c>
      <c r="BT34" s="45"/>
      <c r="BU34" s="48">
        <f>+BR34+BT34*$E34</f>
        <v>0</v>
      </c>
      <c r="BV34" s="43"/>
      <c r="BW34" s="47">
        <f t="shared" si="34"/>
        <v>0</v>
      </c>
      <c r="BX34" s="45"/>
      <c r="BY34" s="48">
        <f>+BV34+BX34*$E34</f>
        <v>0</v>
      </c>
      <c r="BZ34" s="43"/>
      <c r="CA34" s="47">
        <f t="shared" si="35"/>
        <v>0</v>
      </c>
      <c r="CB34" s="45"/>
      <c r="CC34" s="48">
        <f>+BZ34+CB34*$E34</f>
        <v>0</v>
      </c>
      <c r="CD34" s="43"/>
      <c r="CE34" s="47">
        <f t="shared" si="36"/>
        <v>0</v>
      </c>
      <c r="CF34" s="45"/>
      <c r="CG34" s="48">
        <f>+CD34+CF34*$E34</f>
        <v>0</v>
      </c>
    </row>
    <row r="35" spans="1:85" s="89" customFormat="1" ht="20.100000000000001" customHeight="1" x14ac:dyDescent="0.25">
      <c r="A35" s="19" t="s">
        <v>339</v>
      </c>
      <c r="B35" s="156" t="s">
        <v>7</v>
      </c>
      <c r="C35" s="163">
        <v>3</v>
      </c>
      <c r="D35" s="156" t="s">
        <v>358</v>
      </c>
      <c r="E35" s="77">
        <v>6</v>
      </c>
      <c r="F35" s="43">
        <v>5</v>
      </c>
      <c r="G35" s="47">
        <v>5</v>
      </c>
      <c r="H35" s="45">
        <v>1</v>
      </c>
      <c r="I35" s="48">
        <f t="shared" si="58"/>
        <v>11</v>
      </c>
      <c r="J35" s="43">
        <v>5</v>
      </c>
      <c r="K35" s="47">
        <f t="shared" si="59"/>
        <v>6</v>
      </c>
      <c r="L35" s="45">
        <v>1</v>
      </c>
      <c r="M35" s="48">
        <f t="shared" si="60"/>
        <v>11</v>
      </c>
      <c r="N35" s="43">
        <v>5</v>
      </c>
      <c r="O35" s="47">
        <f t="shared" si="18"/>
        <v>6</v>
      </c>
      <c r="P35" s="45">
        <v>1</v>
      </c>
      <c r="Q35" s="48">
        <f t="shared" si="61"/>
        <v>11</v>
      </c>
      <c r="R35" s="43">
        <v>5</v>
      </c>
      <c r="S35" s="47">
        <f t="shared" si="20"/>
        <v>6</v>
      </c>
      <c r="T35" s="45">
        <v>1</v>
      </c>
      <c r="U35" s="48">
        <f t="shared" si="62"/>
        <v>11</v>
      </c>
      <c r="V35" s="43">
        <v>6</v>
      </c>
      <c r="W35" s="47">
        <f t="shared" si="22"/>
        <v>5</v>
      </c>
      <c r="X35" s="49">
        <v>1</v>
      </c>
      <c r="Y35" s="48">
        <f t="shared" ref="Y35:Y39" si="63">+V35+X35*$E35</f>
        <v>12</v>
      </c>
      <c r="Z35" s="43">
        <v>7</v>
      </c>
      <c r="AA35" s="47">
        <f t="shared" si="1"/>
        <v>5</v>
      </c>
      <c r="AB35" s="49">
        <v>1</v>
      </c>
      <c r="AC35" s="48">
        <f t="shared" ref="AC35:AC39" si="64">+Z35+AB35*$E35</f>
        <v>13</v>
      </c>
      <c r="AD35" s="43">
        <v>6</v>
      </c>
      <c r="AE35" s="47">
        <f t="shared" si="23"/>
        <v>7</v>
      </c>
      <c r="AF35" s="45">
        <v>2</v>
      </c>
      <c r="AG35" s="48">
        <f t="shared" ref="AG35:AG39" si="65">+AD35+AF35*$E35</f>
        <v>18</v>
      </c>
      <c r="AH35" s="43">
        <v>14</v>
      </c>
      <c r="AI35" s="47">
        <f t="shared" si="24"/>
        <v>4</v>
      </c>
      <c r="AJ35" s="45"/>
      <c r="AK35" s="48">
        <f t="shared" ref="AK35:AK39" si="66">+AH35+AJ35*$E35</f>
        <v>14</v>
      </c>
      <c r="AL35" s="43">
        <v>9</v>
      </c>
      <c r="AM35" s="47">
        <f t="shared" si="25"/>
        <v>5</v>
      </c>
      <c r="AN35" s="45">
        <v>1</v>
      </c>
      <c r="AO35" s="48">
        <f t="shared" ref="AO35:AO39" si="67">+AL35+AN35*$E35</f>
        <v>15</v>
      </c>
      <c r="AP35" s="43">
        <v>10</v>
      </c>
      <c r="AQ35" s="47">
        <f t="shared" si="26"/>
        <v>5</v>
      </c>
      <c r="AR35" s="45">
        <v>2</v>
      </c>
      <c r="AS35" s="48">
        <f t="shared" ref="AS35:AS39" si="68">+AP35+AR35*$E35</f>
        <v>22</v>
      </c>
      <c r="AT35" s="43">
        <v>15</v>
      </c>
      <c r="AU35" s="47">
        <f t="shared" si="27"/>
        <v>7</v>
      </c>
      <c r="AV35" s="45">
        <v>1</v>
      </c>
      <c r="AW35" s="48">
        <f t="shared" ref="AW35:AW39" si="69">+AT35+AV35*$E35</f>
        <v>21</v>
      </c>
      <c r="AX35" s="43">
        <v>15</v>
      </c>
      <c r="AY35" s="47">
        <f t="shared" si="28"/>
        <v>6</v>
      </c>
      <c r="AZ35" s="45"/>
      <c r="BA35" s="48">
        <f t="shared" ref="BA35:BA39" si="70">+AX35+AZ35*$E35</f>
        <v>15</v>
      </c>
      <c r="BB35" s="43">
        <v>7</v>
      </c>
      <c r="BC35" s="47">
        <f t="shared" si="29"/>
        <v>8</v>
      </c>
      <c r="BD35" s="45">
        <v>1</v>
      </c>
      <c r="BE35" s="48">
        <f t="shared" ref="BE35:BE39" si="71">+BB35+BD35*$E35</f>
        <v>13</v>
      </c>
      <c r="BF35" s="43">
        <v>7</v>
      </c>
      <c r="BG35" s="47">
        <f t="shared" si="30"/>
        <v>6</v>
      </c>
      <c r="BH35" s="45">
        <v>2</v>
      </c>
      <c r="BI35" s="48">
        <f t="shared" ref="BI35:BI39" si="72">+BF35+BH35*$E35</f>
        <v>19</v>
      </c>
      <c r="BJ35" s="43">
        <v>12</v>
      </c>
      <c r="BK35" s="47">
        <f t="shared" si="31"/>
        <v>7</v>
      </c>
      <c r="BL35" s="45">
        <v>1</v>
      </c>
      <c r="BM35" s="48">
        <f t="shared" ref="BM35:BM39" si="73">+BJ35+BL35*$E35</f>
        <v>18</v>
      </c>
      <c r="BN35" s="43"/>
      <c r="BO35" s="47">
        <f t="shared" si="32"/>
        <v>18</v>
      </c>
      <c r="BP35" s="45"/>
      <c r="BQ35" s="48">
        <f t="shared" ref="BQ35:BQ39" si="74">+BN35+BP35*$E35</f>
        <v>0</v>
      </c>
      <c r="BR35" s="43"/>
      <c r="BS35" s="47">
        <f t="shared" si="33"/>
        <v>0</v>
      </c>
      <c r="BT35" s="45"/>
      <c r="BU35" s="48">
        <f t="shared" ref="BU35:BU39" si="75">+BR35+BT35*$E35</f>
        <v>0</v>
      </c>
      <c r="BV35" s="43"/>
      <c r="BW35" s="47">
        <f t="shared" si="34"/>
        <v>0</v>
      </c>
      <c r="BX35" s="45"/>
      <c r="BY35" s="48">
        <f t="shared" ref="BY35:BY39" si="76">+BV35+BX35*$E35</f>
        <v>0</v>
      </c>
      <c r="BZ35" s="43"/>
      <c r="CA35" s="47">
        <f t="shared" si="35"/>
        <v>0</v>
      </c>
      <c r="CB35" s="45"/>
      <c r="CC35" s="48">
        <f t="shared" ref="CC35:CC39" si="77">+BZ35+CB35*$E35</f>
        <v>0</v>
      </c>
      <c r="CD35" s="43"/>
      <c r="CE35" s="47">
        <f t="shared" si="36"/>
        <v>0</v>
      </c>
      <c r="CF35" s="45"/>
      <c r="CG35" s="48">
        <f t="shared" ref="CG35:CG39" si="78">+CD35+CF35*$E35</f>
        <v>0</v>
      </c>
    </row>
    <row r="36" spans="1:85" s="89" customFormat="1" ht="20.100000000000001" hidden="1" customHeight="1" x14ac:dyDescent="0.25">
      <c r="A36" s="19" t="s">
        <v>340</v>
      </c>
      <c r="B36" s="156" t="s">
        <v>7</v>
      </c>
      <c r="C36" s="165">
        <v>2.88</v>
      </c>
      <c r="D36" s="156" t="s">
        <v>356</v>
      </c>
      <c r="E36" s="77">
        <v>8</v>
      </c>
      <c r="F36" s="43">
        <v>7</v>
      </c>
      <c r="G36" s="47">
        <v>17</v>
      </c>
      <c r="H36" s="45">
        <v>2</v>
      </c>
      <c r="I36" s="48">
        <f t="shared" si="58"/>
        <v>23</v>
      </c>
      <c r="J36" s="43">
        <v>9</v>
      </c>
      <c r="K36" s="47">
        <f t="shared" si="59"/>
        <v>14</v>
      </c>
      <c r="L36" s="45">
        <v>2</v>
      </c>
      <c r="M36" s="48">
        <f t="shared" si="60"/>
        <v>25</v>
      </c>
      <c r="N36" s="43">
        <v>8</v>
      </c>
      <c r="O36" s="47">
        <f t="shared" si="18"/>
        <v>17</v>
      </c>
      <c r="P36" s="45">
        <v>2</v>
      </c>
      <c r="Q36" s="48">
        <f t="shared" si="61"/>
        <v>24</v>
      </c>
      <c r="R36" s="43">
        <v>8</v>
      </c>
      <c r="S36" s="47">
        <f t="shared" si="20"/>
        <v>16</v>
      </c>
      <c r="T36" s="45">
        <v>2</v>
      </c>
      <c r="U36" s="48">
        <f t="shared" si="62"/>
        <v>24</v>
      </c>
      <c r="V36" s="43">
        <v>13</v>
      </c>
      <c r="W36" s="47">
        <f t="shared" si="22"/>
        <v>11</v>
      </c>
      <c r="X36" s="49">
        <v>2</v>
      </c>
      <c r="Y36" s="48">
        <f t="shared" si="63"/>
        <v>29</v>
      </c>
      <c r="Z36" s="43">
        <v>18</v>
      </c>
      <c r="AA36" s="47">
        <f t="shared" si="1"/>
        <v>11</v>
      </c>
      <c r="AB36" s="49">
        <v>1</v>
      </c>
      <c r="AC36" s="48">
        <f t="shared" si="64"/>
        <v>26</v>
      </c>
      <c r="AD36" s="43">
        <v>1</v>
      </c>
      <c r="AE36" s="47">
        <f t="shared" si="23"/>
        <v>25</v>
      </c>
      <c r="AF36" s="45">
        <v>4</v>
      </c>
      <c r="AG36" s="48">
        <f t="shared" si="65"/>
        <v>33</v>
      </c>
      <c r="AH36" s="43">
        <v>28</v>
      </c>
      <c r="AI36" s="47">
        <f t="shared" si="24"/>
        <v>5</v>
      </c>
      <c r="AJ36" s="45"/>
      <c r="AK36" s="48">
        <f t="shared" si="66"/>
        <v>28</v>
      </c>
      <c r="AL36" s="43">
        <v>18</v>
      </c>
      <c r="AM36" s="47">
        <f t="shared" si="25"/>
        <v>10</v>
      </c>
      <c r="AN36" s="45">
        <v>1</v>
      </c>
      <c r="AO36" s="48">
        <f t="shared" si="67"/>
        <v>26</v>
      </c>
      <c r="AP36" s="43">
        <v>14</v>
      </c>
      <c r="AQ36" s="47">
        <f t="shared" si="26"/>
        <v>12</v>
      </c>
      <c r="AR36" s="45">
        <v>2</v>
      </c>
      <c r="AS36" s="48">
        <f t="shared" si="68"/>
        <v>30</v>
      </c>
      <c r="AT36" s="43">
        <v>18</v>
      </c>
      <c r="AU36" s="47">
        <f t="shared" si="27"/>
        <v>12</v>
      </c>
      <c r="AV36" s="45">
        <v>1</v>
      </c>
      <c r="AW36" s="48">
        <f t="shared" si="69"/>
        <v>26</v>
      </c>
      <c r="AX36" s="43">
        <v>12</v>
      </c>
      <c r="AY36" s="47">
        <f t="shared" si="28"/>
        <v>14</v>
      </c>
      <c r="AZ36" s="45">
        <v>1</v>
      </c>
      <c r="BA36" s="48">
        <f t="shared" si="70"/>
        <v>20</v>
      </c>
      <c r="BB36" s="43">
        <v>7</v>
      </c>
      <c r="BC36" s="47">
        <f t="shared" si="29"/>
        <v>13</v>
      </c>
      <c r="BD36" s="45">
        <v>2</v>
      </c>
      <c r="BE36" s="48">
        <f t="shared" si="71"/>
        <v>23</v>
      </c>
      <c r="BF36" s="43">
        <v>12</v>
      </c>
      <c r="BG36" s="47">
        <f t="shared" si="30"/>
        <v>11</v>
      </c>
      <c r="BH36" s="45">
        <v>3</v>
      </c>
      <c r="BI36" s="48">
        <f t="shared" si="72"/>
        <v>36</v>
      </c>
      <c r="BJ36" s="43">
        <v>26</v>
      </c>
      <c r="BK36" s="47">
        <f t="shared" si="31"/>
        <v>10</v>
      </c>
      <c r="BL36" s="45"/>
      <c r="BM36" s="48">
        <f t="shared" si="73"/>
        <v>26</v>
      </c>
      <c r="BN36" s="43"/>
      <c r="BO36" s="47">
        <f t="shared" si="32"/>
        <v>26</v>
      </c>
      <c r="BP36" s="45"/>
      <c r="BQ36" s="48">
        <f t="shared" si="74"/>
        <v>0</v>
      </c>
      <c r="BR36" s="43"/>
      <c r="BS36" s="47">
        <f t="shared" si="33"/>
        <v>0</v>
      </c>
      <c r="BT36" s="45"/>
      <c r="BU36" s="48">
        <f t="shared" si="75"/>
        <v>0</v>
      </c>
      <c r="BV36" s="43"/>
      <c r="BW36" s="47">
        <f t="shared" si="34"/>
        <v>0</v>
      </c>
      <c r="BX36" s="45"/>
      <c r="BY36" s="48">
        <f t="shared" si="76"/>
        <v>0</v>
      </c>
      <c r="BZ36" s="43"/>
      <c r="CA36" s="47">
        <f t="shared" si="35"/>
        <v>0</v>
      </c>
      <c r="CB36" s="45"/>
      <c r="CC36" s="48">
        <f t="shared" si="77"/>
        <v>0</v>
      </c>
      <c r="CD36" s="43"/>
      <c r="CE36" s="47">
        <f t="shared" si="36"/>
        <v>0</v>
      </c>
      <c r="CF36" s="45"/>
      <c r="CG36" s="48">
        <f t="shared" si="78"/>
        <v>0</v>
      </c>
    </row>
    <row r="37" spans="1:85" s="89" customFormat="1" ht="20.100000000000001" customHeight="1" x14ac:dyDescent="0.25">
      <c r="A37" s="19" t="s">
        <v>341</v>
      </c>
      <c r="B37" s="156" t="s">
        <v>7</v>
      </c>
      <c r="C37" s="160" t="s">
        <v>225</v>
      </c>
      <c r="D37" s="156" t="s">
        <v>356</v>
      </c>
      <c r="E37" s="77">
        <v>5</v>
      </c>
      <c r="F37" s="43">
        <v>6</v>
      </c>
      <c r="G37" s="47">
        <v>9</v>
      </c>
      <c r="H37" s="45">
        <v>2</v>
      </c>
      <c r="I37" s="48">
        <f t="shared" si="58"/>
        <v>16</v>
      </c>
      <c r="J37" s="43">
        <v>5</v>
      </c>
      <c r="K37" s="47">
        <f t="shared" si="59"/>
        <v>11</v>
      </c>
      <c r="L37" s="45">
        <v>3</v>
      </c>
      <c r="M37" s="48">
        <f t="shared" si="60"/>
        <v>20</v>
      </c>
      <c r="N37" s="43">
        <v>12</v>
      </c>
      <c r="O37" s="47">
        <f t="shared" si="18"/>
        <v>8</v>
      </c>
      <c r="P37" s="45">
        <v>2</v>
      </c>
      <c r="Q37" s="48">
        <f t="shared" si="61"/>
        <v>22</v>
      </c>
      <c r="R37" s="43">
        <v>10</v>
      </c>
      <c r="S37" s="47">
        <f t="shared" si="20"/>
        <v>12</v>
      </c>
      <c r="T37" s="45">
        <v>1</v>
      </c>
      <c r="U37" s="48">
        <f t="shared" si="62"/>
        <v>15</v>
      </c>
      <c r="V37" s="43">
        <v>10</v>
      </c>
      <c r="W37" s="47">
        <f t="shared" si="22"/>
        <v>5</v>
      </c>
      <c r="X37" s="49">
        <v>1</v>
      </c>
      <c r="Y37" s="48">
        <f t="shared" si="63"/>
        <v>15</v>
      </c>
      <c r="Z37" s="43">
        <v>4</v>
      </c>
      <c r="AA37" s="47">
        <f t="shared" si="1"/>
        <v>11</v>
      </c>
      <c r="AB37" s="49">
        <v>3</v>
      </c>
      <c r="AC37" s="48">
        <f t="shared" si="64"/>
        <v>19</v>
      </c>
      <c r="AD37" s="43">
        <v>11</v>
      </c>
      <c r="AE37" s="47">
        <f t="shared" si="23"/>
        <v>8</v>
      </c>
      <c r="AF37" s="45">
        <v>1</v>
      </c>
      <c r="AG37" s="48">
        <f t="shared" si="65"/>
        <v>16</v>
      </c>
      <c r="AH37" s="43">
        <v>5</v>
      </c>
      <c r="AI37" s="47">
        <f t="shared" si="24"/>
        <v>11</v>
      </c>
      <c r="AJ37" s="45">
        <v>2</v>
      </c>
      <c r="AK37" s="48">
        <f t="shared" si="66"/>
        <v>15</v>
      </c>
      <c r="AL37" s="43">
        <v>5</v>
      </c>
      <c r="AM37" s="47">
        <f t="shared" si="25"/>
        <v>10</v>
      </c>
      <c r="AN37" s="45">
        <v>2</v>
      </c>
      <c r="AO37" s="48">
        <f t="shared" si="67"/>
        <v>15</v>
      </c>
      <c r="AP37" s="43">
        <v>7</v>
      </c>
      <c r="AQ37" s="47">
        <f t="shared" si="26"/>
        <v>8</v>
      </c>
      <c r="AR37" s="45">
        <v>2</v>
      </c>
      <c r="AS37" s="48">
        <f t="shared" si="68"/>
        <v>17</v>
      </c>
      <c r="AT37" s="43">
        <v>7</v>
      </c>
      <c r="AU37" s="47">
        <f t="shared" si="27"/>
        <v>10</v>
      </c>
      <c r="AV37" s="45">
        <v>2</v>
      </c>
      <c r="AW37" s="48">
        <f t="shared" si="69"/>
        <v>17</v>
      </c>
      <c r="AX37" s="43">
        <v>2</v>
      </c>
      <c r="AY37" s="47">
        <f t="shared" si="28"/>
        <v>15</v>
      </c>
      <c r="AZ37" s="45">
        <v>4</v>
      </c>
      <c r="BA37" s="48">
        <f t="shared" si="70"/>
        <v>22</v>
      </c>
      <c r="BB37" s="43">
        <v>8</v>
      </c>
      <c r="BC37" s="47">
        <f t="shared" si="29"/>
        <v>14</v>
      </c>
      <c r="BD37" s="45">
        <v>3</v>
      </c>
      <c r="BE37" s="48">
        <f t="shared" si="71"/>
        <v>23</v>
      </c>
      <c r="BF37" s="43">
        <v>16</v>
      </c>
      <c r="BG37" s="47">
        <f t="shared" si="30"/>
        <v>7</v>
      </c>
      <c r="BH37" s="45">
        <v>1</v>
      </c>
      <c r="BI37" s="48">
        <f t="shared" si="72"/>
        <v>21</v>
      </c>
      <c r="BJ37" s="43">
        <v>9</v>
      </c>
      <c r="BK37" s="47">
        <f t="shared" si="31"/>
        <v>12</v>
      </c>
      <c r="BL37" s="45">
        <v>2</v>
      </c>
      <c r="BM37" s="48">
        <f t="shared" si="73"/>
        <v>19</v>
      </c>
      <c r="BN37" s="43"/>
      <c r="BO37" s="47">
        <f t="shared" si="32"/>
        <v>19</v>
      </c>
      <c r="BP37" s="45"/>
      <c r="BQ37" s="48">
        <f t="shared" si="74"/>
        <v>0</v>
      </c>
      <c r="BR37" s="43"/>
      <c r="BS37" s="47">
        <f t="shared" si="33"/>
        <v>0</v>
      </c>
      <c r="BT37" s="45"/>
      <c r="BU37" s="48">
        <f t="shared" si="75"/>
        <v>0</v>
      </c>
      <c r="BV37" s="43"/>
      <c r="BW37" s="47">
        <f t="shared" si="34"/>
        <v>0</v>
      </c>
      <c r="BX37" s="45"/>
      <c r="BY37" s="48">
        <f t="shared" si="76"/>
        <v>0</v>
      </c>
      <c r="BZ37" s="43"/>
      <c r="CA37" s="47">
        <f t="shared" si="35"/>
        <v>0</v>
      </c>
      <c r="CB37" s="45"/>
      <c r="CC37" s="48">
        <f t="shared" si="77"/>
        <v>0</v>
      </c>
      <c r="CD37" s="43"/>
      <c r="CE37" s="47">
        <f t="shared" si="36"/>
        <v>0</v>
      </c>
      <c r="CF37" s="45"/>
      <c r="CG37" s="48">
        <f t="shared" si="78"/>
        <v>0</v>
      </c>
    </row>
    <row r="38" spans="1:85" s="89" customFormat="1" ht="20.100000000000001" customHeight="1" x14ac:dyDescent="0.25">
      <c r="A38" s="19" t="s">
        <v>342</v>
      </c>
      <c r="B38" s="156" t="s">
        <v>7</v>
      </c>
      <c r="C38" s="160">
        <v>1.5</v>
      </c>
      <c r="D38" s="156" t="s">
        <v>356</v>
      </c>
      <c r="E38" s="77">
        <v>6</v>
      </c>
      <c r="F38" s="43">
        <v>6</v>
      </c>
      <c r="G38" s="47">
        <v>8</v>
      </c>
      <c r="H38" s="45">
        <v>1</v>
      </c>
      <c r="I38" s="48">
        <f t="shared" si="58"/>
        <v>12</v>
      </c>
      <c r="J38" s="43">
        <v>7</v>
      </c>
      <c r="K38" s="47">
        <f t="shared" si="59"/>
        <v>5</v>
      </c>
      <c r="L38" s="45">
        <v>1</v>
      </c>
      <c r="M38" s="48">
        <f t="shared" si="60"/>
        <v>13</v>
      </c>
      <c r="N38" s="43">
        <v>6</v>
      </c>
      <c r="O38" s="47">
        <f t="shared" si="18"/>
        <v>7</v>
      </c>
      <c r="P38" s="45">
        <v>2</v>
      </c>
      <c r="Q38" s="48">
        <f t="shared" si="61"/>
        <v>18</v>
      </c>
      <c r="R38" s="43">
        <v>8</v>
      </c>
      <c r="S38" s="47">
        <f t="shared" si="20"/>
        <v>10</v>
      </c>
      <c r="T38" s="45">
        <v>1</v>
      </c>
      <c r="U38" s="48">
        <f t="shared" si="62"/>
        <v>14</v>
      </c>
      <c r="V38" s="43">
        <v>7</v>
      </c>
      <c r="W38" s="47">
        <f t="shared" si="22"/>
        <v>7</v>
      </c>
      <c r="X38" s="49">
        <v>1</v>
      </c>
      <c r="Y38" s="48">
        <f t="shared" si="63"/>
        <v>13</v>
      </c>
      <c r="Z38" s="43">
        <v>11</v>
      </c>
      <c r="AA38" s="47">
        <f t="shared" si="1"/>
        <v>2</v>
      </c>
      <c r="AB38" s="45"/>
      <c r="AC38" s="48">
        <f t="shared" si="64"/>
        <v>11</v>
      </c>
      <c r="AD38" s="43">
        <v>0</v>
      </c>
      <c r="AE38" s="47">
        <f t="shared" si="23"/>
        <v>11</v>
      </c>
      <c r="AF38" s="45">
        <v>3</v>
      </c>
      <c r="AG38" s="48">
        <f t="shared" si="65"/>
        <v>18</v>
      </c>
      <c r="AH38" s="43">
        <v>12</v>
      </c>
      <c r="AI38" s="47">
        <f t="shared" si="24"/>
        <v>6</v>
      </c>
      <c r="AJ38" s="45"/>
      <c r="AK38" s="48">
        <f t="shared" si="66"/>
        <v>12</v>
      </c>
      <c r="AL38" s="43">
        <v>6</v>
      </c>
      <c r="AM38" s="47">
        <f t="shared" si="25"/>
        <v>6</v>
      </c>
      <c r="AN38" s="45">
        <v>1</v>
      </c>
      <c r="AO38" s="48">
        <f t="shared" si="67"/>
        <v>12</v>
      </c>
      <c r="AP38" s="43">
        <v>4</v>
      </c>
      <c r="AQ38" s="47">
        <f t="shared" si="26"/>
        <v>8</v>
      </c>
      <c r="AR38" s="45">
        <v>2</v>
      </c>
      <c r="AS38" s="48">
        <f t="shared" si="68"/>
        <v>16</v>
      </c>
      <c r="AT38" s="43">
        <v>9</v>
      </c>
      <c r="AU38" s="47">
        <f t="shared" si="27"/>
        <v>7</v>
      </c>
      <c r="AV38" s="45">
        <v>1</v>
      </c>
      <c r="AW38" s="48">
        <f t="shared" si="69"/>
        <v>15</v>
      </c>
      <c r="AX38" s="43">
        <v>9</v>
      </c>
      <c r="AY38" s="47">
        <f t="shared" si="28"/>
        <v>6</v>
      </c>
      <c r="AZ38" s="45">
        <v>1</v>
      </c>
      <c r="BA38" s="48">
        <f t="shared" si="70"/>
        <v>15</v>
      </c>
      <c r="BB38" s="43">
        <v>4</v>
      </c>
      <c r="BC38" s="47">
        <f t="shared" si="29"/>
        <v>11</v>
      </c>
      <c r="BD38" s="45">
        <v>2</v>
      </c>
      <c r="BE38" s="48">
        <f t="shared" si="71"/>
        <v>16</v>
      </c>
      <c r="BF38" s="43">
        <v>12</v>
      </c>
      <c r="BG38" s="47">
        <f t="shared" si="30"/>
        <v>4</v>
      </c>
      <c r="BH38" s="45">
        <v>1</v>
      </c>
      <c r="BI38" s="48">
        <f t="shared" si="72"/>
        <v>18</v>
      </c>
      <c r="BJ38" s="43">
        <v>7</v>
      </c>
      <c r="BK38" s="47">
        <f t="shared" si="31"/>
        <v>11</v>
      </c>
      <c r="BL38" s="45">
        <v>2</v>
      </c>
      <c r="BM38" s="48">
        <f t="shared" si="73"/>
        <v>19</v>
      </c>
      <c r="BN38" s="43"/>
      <c r="BO38" s="47">
        <f t="shared" si="32"/>
        <v>19</v>
      </c>
      <c r="BP38" s="45"/>
      <c r="BQ38" s="48">
        <f t="shared" si="74"/>
        <v>0</v>
      </c>
      <c r="BR38" s="43"/>
      <c r="BS38" s="47">
        <f t="shared" si="33"/>
        <v>0</v>
      </c>
      <c r="BT38" s="45"/>
      <c r="BU38" s="48">
        <f t="shared" si="75"/>
        <v>0</v>
      </c>
      <c r="BV38" s="43"/>
      <c r="BW38" s="47">
        <f t="shared" si="34"/>
        <v>0</v>
      </c>
      <c r="BX38" s="45"/>
      <c r="BY38" s="48">
        <f t="shared" si="76"/>
        <v>0</v>
      </c>
      <c r="BZ38" s="43"/>
      <c r="CA38" s="47">
        <f t="shared" si="35"/>
        <v>0</v>
      </c>
      <c r="CB38" s="45"/>
      <c r="CC38" s="48">
        <f t="shared" si="77"/>
        <v>0</v>
      </c>
      <c r="CD38" s="43"/>
      <c r="CE38" s="47">
        <f t="shared" si="36"/>
        <v>0</v>
      </c>
      <c r="CF38" s="45"/>
      <c r="CG38" s="48">
        <f t="shared" si="78"/>
        <v>0</v>
      </c>
    </row>
    <row r="39" spans="1:85" s="89" customFormat="1" ht="20.100000000000001" hidden="1" customHeight="1" thickBot="1" x14ac:dyDescent="0.3">
      <c r="A39" s="21" t="s">
        <v>343</v>
      </c>
      <c r="B39" s="157" t="s">
        <v>7</v>
      </c>
      <c r="C39" s="167">
        <v>6</v>
      </c>
      <c r="D39" s="157" t="s">
        <v>359</v>
      </c>
      <c r="E39" s="78">
        <v>6</v>
      </c>
      <c r="F39" s="43">
        <v>8</v>
      </c>
      <c r="G39" s="47">
        <v>1</v>
      </c>
      <c r="H39" s="45"/>
      <c r="I39" s="48">
        <f t="shared" si="58"/>
        <v>8</v>
      </c>
      <c r="J39" s="43">
        <v>4</v>
      </c>
      <c r="K39" s="47">
        <f t="shared" si="59"/>
        <v>4</v>
      </c>
      <c r="L39" s="45">
        <v>1</v>
      </c>
      <c r="M39" s="48">
        <f t="shared" si="60"/>
        <v>10</v>
      </c>
      <c r="N39" s="43">
        <v>5</v>
      </c>
      <c r="O39" s="47">
        <f t="shared" si="18"/>
        <v>5</v>
      </c>
      <c r="P39" s="45">
        <v>1</v>
      </c>
      <c r="Q39" s="48">
        <f t="shared" si="61"/>
        <v>11</v>
      </c>
      <c r="R39" s="43">
        <v>7</v>
      </c>
      <c r="S39" s="47">
        <f t="shared" si="20"/>
        <v>4</v>
      </c>
      <c r="T39" s="45"/>
      <c r="U39" s="48">
        <f t="shared" si="62"/>
        <v>7</v>
      </c>
      <c r="V39" s="43">
        <v>5</v>
      </c>
      <c r="W39" s="47">
        <f t="shared" si="22"/>
        <v>2</v>
      </c>
      <c r="X39" s="45"/>
      <c r="Y39" s="48">
        <f t="shared" si="63"/>
        <v>5</v>
      </c>
      <c r="Z39" s="43">
        <v>4</v>
      </c>
      <c r="AA39" s="47">
        <f t="shared" si="1"/>
        <v>1</v>
      </c>
      <c r="AB39" s="45"/>
      <c r="AC39" s="48">
        <f t="shared" si="64"/>
        <v>4</v>
      </c>
      <c r="AD39" s="43">
        <v>1</v>
      </c>
      <c r="AE39" s="47">
        <f t="shared" si="23"/>
        <v>3</v>
      </c>
      <c r="AF39" s="45">
        <v>1</v>
      </c>
      <c r="AG39" s="48">
        <f t="shared" si="65"/>
        <v>7</v>
      </c>
      <c r="AH39" s="43">
        <v>5</v>
      </c>
      <c r="AI39" s="47">
        <f t="shared" si="24"/>
        <v>2</v>
      </c>
      <c r="AJ39" s="45"/>
      <c r="AK39" s="48">
        <f t="shared" si="66"/>
        <v>5</v>
      </c>
      <c r="AL39" s="43">
        <v>1</v>
      </c>
      <c r="AM39" s="47">
        <f t="shared" si="25"/>
        <v>4</v>
      </c>
      <c r="AN39" s="45">
        <v>1</v>
      </c>
      <c r="AO39" s="48">
        <f t="shared" si="67"/>
        <v>7</v>
      </c>
      <c r="AP39" s="43">
        <v>3</v>
      </c>
      <c r="AQ39" s="47">
        <f t="shared" si="26"/>
        <v>4</v>
      </c>
      <c r="AR39" s="45">
        <v>2</v>
      </c>
      <c r="AS39" s="48">
        <f t="shared" si="68"/>
        <v>15</v>
      </c>
      <c r="AT39" s="43">
        <v>12</v>
      </c>
      <c r="AU39" s="47">
        <f t="shared" si="27"/>
        <v>3</v>
      </c>
      <c r="AV39" s="45"/>
      <c r="AW39" s="48">
        <f t="shared" si="69"/>
        <v>12</v>
      </c>
      <c r="AX39" s="43">
        <v>9</v>
      </c>
      <c r="AY39" s="47">
        <f t="shared" si="28"/>
        <v>3</v>
      </c>
      <c r="AZ39" s="45"/>
      <c r="BA39" s="48">
        <f t="shared" si="70"/>
        <v>9</v>
      </c>
      <c r="BB39" s="43">
        <v>2</v>
      </c>
      <c r="BC39" s="47">
        <f t="shared" si="29"/>
        <v>7</v>
      </c>
      <c r="BD39" s="45">
        <v>2</v>
      </c>
      <c r="BE39" s="48">
        <f t="shared" si="71"/>
        <v>14</v>
      </c>
      <c r="BF39" s="43">
        <v>12</v>
      </c>
      <c r="BG39" s="47">
        <f t="shared" si="30"/>
        <v>2</v>
      </c>
      <c r="BH39" s="45">
        <v>1</v>
      </c>
      <c r="BI39" s="48">
        <f t="shared" si="72"/>
        <v>18</v>
      </c>
      <c r="BJ39" s="43">
        <v>14</v>
      </c>
      <c r="BK39" s="47">
        <f t="shared" si="31"/>
        <v>4</v>
      </c>
      <c r="BL39" s="45"/>
      <c r="BM39" s="48">
        <f t="shared" si="73"/>
        <v>14</v>
      </c>
      <c r="BN39" s="43"/>
      <c r="BO39" s="47">
        <f t="shared" si="32"/>
        <v>14</v>
      </c>
      <c r="BP39" s="45"/>
      <c r="BQ39" s="48">
        <f t="shared" si="74"/>
        <v>0</v>
      </c>
      <c r="BR39" s="43"/>
      <c r="BS39" s="47">
        <f t="shared" si="33"/>
        <v>0</v>
      </c>
      <c r="BT39" s="45"/>
      <c r="BU39" s="48">
        <f t="shared" si="75"/>
        <v>0</v>
      </c>
      <c r="BV39" s="43"/>
      <c r="BW39" s="47">
        <f t="shared" si="34"/>
        <v>0</v>
      </c>
      <c r="BX39" s="45"/>
      <c r="BY39" s="48">
        <f t="shared" si="76"/>
        <v>0</v>
      </c>
      <c r="BZ39" s="43"/>
      <c r="CA39" s="47">
        <f t="shared" si="35"/>
        <v>0</v>
      </c>
      <c r="CB39" s="45"/>
      <c r="CC39" s="48">
        <f t="shared" si="77"/>
        <v>0</v>
      </c>
      <c r="CD39" s="43"/>
      <c r="CE39" s="47">
        <f t="shared" si="36"/>
        <v>0</v>
      </c>
      <c r="CF39" s="45"/>
      <c r="CG39" s="48">
        <f t="shared" si="78"/>
        <v>0</v>
      </c>
    </row>
  </sheetData>
  <autoFilter ref="A1:CG39" xr:uid="{9B4113F0-C86A-489D-8B26-709865CC4B38}">
    <filterColumn colId="63">
      <customFilters>
        <customFilter operator="notEqual" val=" "/>
      </customFilters>
    </filterColumn>
  </autoFilter>
  <mergeCells count="20"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BN2:BQ2"/>
    <mergeCell ref="BR2:BU2"/>
    <mergeCell ref="BV2:BY2"/>
    <mergeCell ref="BZ2:CC2"/>
    <mergeCell ref="CD2:CG2"/>
  </mergeCells>
  <pageMargins left="0.7" right="0.7" top="0.75" bottom="0.75" header="0.3" footer="0.3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FBFF-DD43-4A24-A775-7E8AB9010377}">
  <sheetPr filterMode="1">
    <tabColor theme="9"/>
  </sheetPr>
  <dimension ref="A1:CK73"/>
  <sheetViews>
    <sheetView tabSelected="1" zoomScale="80" zoomScaleNormal="80" zoomScaleSheetLayoutView="80" workbookViewId="0">
      <pane xSplit="5" ySplit="2" topLeftCell="AN3" activePane="bottomRight" state="frozen"/>
      <selection pane="topRight" activeCell="F1" sqref="F1"/>
      <selection pane="bottomLeft" activeCell="A3" sqref="A3"/>
      <selection pane="bottomRight" activeCell="AR10" sqref="AR10"/>
    </sheetView>
  </sheetViews>
  <sheetFormatPr baseColWidth="10" defaultColWidth="11.42578125" defaultRowHeight="12" x14ac:dyDescent="0.2"/>
  <cols>
    <col min="1" max="1" width="47.85546875" style="37" customWidth="1"/>
    <col min="2" max="4" width="11.42578125" style="37"/>
    <col min="5" max="5" width="4.42578125" style="37" bestFit="1" customWidth="1"/>
    <col min="6" max="16384" width="11.42578125" style="37"/>
  </cols>
  <sheetData>
    <row r="1" spans="1:89" ht="12.75" thickBot="1" x14ac:dyDescent="0.25">
      <c r="A1" s="5" t="s">
        <v>53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151"/>
      <c r="N1" s="7"/>
      <c r="O1" s="151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89" ht="12.75" hidden="1" thickBot="1" x14ac:dyDescent="0.25">
      <c r="A2" s="29"/>
      <c r="B2" s="6"/>
      <c r="C2" s="6"/>
      <c r="D2" s="6"/>
      <c r="E2" s="83"/>
      <c r="F2" s="212">
        <v>46181</v>
      </c>
      <c r="G2" s="213"/>
      <c r="H2" s="213"/>
      <c r="I2" s="214"/>
      <c r="J2" s="212">
        <v>46188</v>
      </c>
      <c r="K2" s="213"/>
      <c r="L2" s="213"/>
      <c r="M2" s="214"/>
      <c r="N2" s="212">
        <v>46195</v>
      </c>
      <c r="O2" s="213"/>
      <c r="P2" s="213"/>
      <c r="Q2" s="214"/>
      <c r="R2" s="212">
        <v>46202</v>
      </c>
      <c r="S2" s="213"/>
      <c r="T2" s="213"/>
      <c r="U2" s="214"/>
      <c r="V2" s="212">
        <v>46209</v>
      </c>
      <c r="W2" s="213"/>
      <c r="X2" s="213"/>
      <c r="Y2" s="214"/>
      <c r="Z2" s="212">
        <v>46216</v>
      </c>
      <c r="AA2" s="213"/>
      <c r="AB2" s="213"/>
      <c r="AC2" s="214"/>
      <c r="AD2" s="212">
        <v>46223</v>
      </c>
      <c r="AE2" s="213"/>
      <c r="AF2" s="213"/>
      <c r="AG2" s="214"/>
      <c r="AH2" s="212">
        <v>46230</v>
      </c>
      <c r="AI2" s="213"/>
      <c r="AJ2" s="213"/>
      <c r="AK2" s="214"/>
      <c r="AL2" s="212">
        <v>46237</v>
      </c>
      <c r="AM2" s="213"/>
      <c r="AN2" s="213"/>
      <c r="AO2" s="214"/>
      <c r="AP2" s="212">
        <v>46244</v>
      </c>
      <c r="AQ2" s="213"/>
      <c r="AR2" s="213"/>
      <c r="AS2" s="214"/>
      <c r="AT2" s="212">
        <v>46251</v>
      </c>
      <c r="AU2" s="213"/>
      <c r="AV2" s="213"/>
      <c r="AW2" s="214"/>
      <c r="AX2" s="212">
        <v>46258</v>
      </c>
      <c r="AY2" s="213"/>
      <c r="AZ2" s="213"/>
      <c r="BA2" s="214"/>
      <c r="BB2" s="212">
        <v>46265</v>
      </c>
      <c r="BC2" s="213"/>
      <c r="BD2" s="213"/>
      <c r="BE2" s="214"/>
      <c r="BF2" s="212">
        <v>46272</v>
      </c>
      <c r="BG2" s="213"/>
      <c r="BH2" s="213"/>
      <c r="BI2" s="214"/>
      <c r="BJ2" s="212">
        <v>46279</v>
      </c>
      <c r="BK2" s="213"/>
      <c r="BL2" s="213"/>
      <c r="BM2" s="214"/>
      <c r="BN2" s="212"/>
      <c r="BO2" s="213"/>
      <c r="BP2" s="213"/>
      <c r="BQ2" s="214"/>
      <c r="BR2" s="212"/>
      <c r="BS2" s="213"/>
      <c r="BT2" s="213"/>
      <c r="BU2" s="214"/>
      <c r="BV2" s="212"/>
      <c r="BW2" s="213"/>
      <c r="BX2" s="213"/>
      <c r="BY2" s="214"/>
      <c r="BZ2" s="212"/>
      <c r="CA2" s="213"/>
      <c r="CB2" s="213"/>
      <c r="CC2" s="214"/>
      <c r="CD2" s="212"/>
      <c r="CE2" s="213"/>
      <c r="CF2" s="213"/>
      <c r="CG2" s="214"/>
      <c r="CH2" s="212"/>
      <c r="CI2" s="213"/>
      <c r="CJ2" s="213"/>
      <c r="CK2" s="214"/>
    </row>
    <row r="3" spans="1:89" ht="33.75" x14ac:dyDescent="0.2">
      <c r="A3" s="11" t="s">
        <v>1</v>
      </c>
      <c r="B3" s="138" t="s">
        <v>345</v>
      </c>
      <c r="C3" s="137" t="s">
        <v>348</v>
      </c>
      <c r="D3" s="139" t="s">
        <v>347</v>
      </c>
      <c r="E3" s="60"/>
      <c r="F3" s="1" t="s">
        <v>3</v>
      </c>
      <c r="G3" s="2" t="s">
        <v>4</v>
      </c>
      <c r="H3" s="3" t="s">
        <v>5</v>
      </c>
      <c r="I3" s="4" t="s">
        <v>6</v>
      </c>
      <c r="J3" s="1" t="s">
        <v>3</v>
      </c>
      <c r="K3" s="2" t="s">
        <v>4</v>
      </c>
      <c r="L3" s="3" t="s">
        <v>5</v>
      </c>
      <c r="M3" s="4" t="s">
        <v>6</v>
      </c>
      <c r="N3" s="1" t="s">
        <v>3</v>
      </c>
      <c r="O3" s="2" t="s">
        <v>4</v>
      </c>
      <c r="P3" s="3" t="s">
        <v>5</v>
      </c>
      <c r="Q3" s="4" t="s">
        <v>6</v>
      </c>
      <c r="R3" s="1" t="s">
        <v>3</v>
      </c>
      <c r="S3" s="2" t="s">
        <v>4</v>
      </c>
      <c r="T3" s="3" t="s">
        <v>5</v>
      </c>
      <c r="U3" s="4" t="s">
        <v>6</v>
      </c>
      <c r="V3" s="1" t="s">
        <v>3</v>
      </c>
      <c r="W3" s="2" t="s">
        <v>4</v>
      </c>
      <c r="X3" s="3" t="s">
        <v>5</v>
      </c>
      <c r="Y3" s="4" t="s">
        <v>6</v>
      </c>
      <c r="Z3" s="1" t="s">
        <v>3</v>
      </c>
      <c r="AA3" s="2" t="s">
        <v>4</v>
      </c>
      <c r="AB3" s="3" t="s">
        <v>5</v>
      </c>
      <c r="AC3" s="4" t="s">
        <v>6</v>
      </c>
      <c r="AD3" s="1" t="s">
        <v>3</v>
      </c>
      <c r="AE3" s="2" t="s">
        <v>4</v>
      </c>
      <c r="AF3" s="3" t="s">
        <v>5</v>
      </c>
      <c r="AG3" s="4" t="s">
        <v>6</v>
      </c>
      <c r="AH3" s="1" t="s">
        <v>3</v>
      </c>
      <c r="AI3" s="2" t="s">
        <v>4</v>
      </c>
      <c r="AJ3" s="3" t="s">
        <v>5</v>
      </c>
      <c r="AK3" s="4" t="s">
        <v>6</v>
      </c>
      <c r="AL3" s="1" t="s">
        <v>3</v>
      </c>
      <c r="AM3" s="2" t="s">
        <v>4</v>
      </c>
      <c r="AN3" s="3" t="s">
        <v>5</v>
      </c>
      <c r="AO3" s="4" t="s">
        <v>6</v>
      </c>
      <c r="AP3" s="1" t="s">
        <v>3</v>
      </c>
      <c r="AQ3" s="2" t="s">
        <v>4</v>
      </c>
      <c r="AR3" s="3" t="s">
        <v>5</v>
      </c>
      <c r="AS3" s="4" t="s">
        <v>6</v>
      </c>
      <c r="AT3" s="1" t="s">
        <v>3</v>
      </c>
      <c r="AU3" s="2" t="s">
        <v>4</v>
      </c>
      <c r="AV3" s="3" t="s">
        <v>5</v>
      </c>
      <c r="AW3" s="4" t="s">
        <v>6</v>
      </c>
      <c r="AX3" s="1" t="s">
        <v>3</v>
      </c>
      <c r="AY3" s="2" t="s">
        <v>4</v>
      </c>
      <c r="AZ3" s="3" t="s">
        <v>5</v>
      </c>
      <c r="BA3" s="4" t="s">
        <v>6</v>
      </c>
      <c r="BB3" s="1" t="s">
        <v>3</v>
      </c>
      <c r="BC3" s="2" t="s">
        <v>4</v>
      </c>
      <c r="BD3" s="3" t="s">
        <v>5</v>
      </c>
      <c r="BE3" s="4" t="s">
        <v>6</v>
      </c>
      <c r="BF3" s="1" t="s">
        <v>3</v>
      </c>
      <c r="BG3" s="2" t="s">
        <v>4</v>
      </c>
      <c r="BH3" s="3" t="s">
        <v>5</v>
      </c>
      <c r="BI3" s="4" t="s">
        <v>6</v>
      </c>
      <c r="BJ3" s="1" t="s">
        <v>3</v>
      </c>
      <c r="BK3" s="2" t="s">
        <v>4</v>
      </c>
      <c r="BL3" s="3" t="s">
        <v>5</v>
      </c>
      <c r="BM3" s="4" t="s">
        <v>6</v>
      </c>
      <c r="BN3" s="1" t="s">
        <v>3</v>
      </c>
      <c r="BO3" s="2" t="s">
        <v>4</v>
      </c>
      <c r="BP3" s="3" t="s">
        <v>5</v>
      </c>
      <c r="BQ3" s="4" t="s">
        <v>6</v>
      </c>
      <c r="BR3" s="1" t="s">
        <v>3</v>
      </c>
      <c r="BS3" s="2" t="s">
        <v>4</v>
      </c>
      <c r="BT3" s="3" t="s">
        <v>5</v>
      </c>
      <c r="BU3" s="4" t="s">
        <v>6</v>
      </c>
      <c r="BV3" s="1" t="s">
        <v>3</v>
      </c>
      <c r="BW3" s="2" t="s">
        <v>4</v>
      </c>
      <c r="BX3" s="3" t="s">
        <v>5</v>
      </c>
      <c r="BY3" s="4" t="s">
        <v>6</v>
      </c>
      <c r="BZ3" s="1" t="s">
        <v>3</v>
      </c>
      <c r="CA3" s="2" t="s">
        <v>4</v>
      </c>
      <c r="CB3" s="3" t="s">
        <v>5</v>
      </c>
      <c r="CC3" s="4" t="s">
        <v>6</v>
      </c>
      <c r="CD3" s="1" t="s">
        <v>3</v>
      </c>
      <c r="CE3" s="2" t="s">
        <v>4</v>
      </c>
      <c r="CF3" s="3" t="s">
        <v>5</v>
      </c>
      <c r="CG3" s="4" t="s">
        <v>6</v>
      </c>
      <c r="CH3" s="1" t="s">
        <v>3</v>
      </c>
      <c r="CI3" s="2" t="s">
        <v>4</v>
      </c>
      <c r="CJ3" s="3" t="s">
        <v>5</v>
      </c>
      <c r="CK3" s="4" t="s">
        <v>6</v>
      </c>
    </row>
    <row r="4" spans="1:89" s="89" customFormat="1" ht="20.100000000000001" customHeight="1" x14ac:dyDescent="0.25">
      <c r="A4" s="19" t="s">
        <v>54</v>
      </c>
      <c r="B4" s="9" t="s">
        <v>7</v>
      </c>
      <c r="C4" s="17">
        <v>5</v>
      </c>
      <c r="D4" s="9" t="s">
        <v>358</v>
      </c>
      <c r="E4" s="13">
        <v>5</v>
      </c>
      <c r="F4" s="43">
        <v>5.5</v>
      </c>
      <c r="G4" s="47">
        <v>3</v>
      </c>
      <c r="H4" s="45">
        <v>1</v>
      </c>
      <c r="I4" s="48">
        <f>+F4+H4*$E4</f>
        <v>10.5</v>
      </c>
      <c r="J4" s="43">
        <v>8</v>
      </c>
      <c r="K4" s="47">
        <f>+I4-J4</f>
        <v>2.5</v>
      </c>
      <c r="L4" s="45"/>
      <c r="M4" s="48">
        <f>+J4+L4*$E4</f>
        <v>8</v>
      </c>
      <c r="N4" s="43">
        <v>6</v>
      </c>
      <c r="O4" s="47">
        <v>2</v>
      </c>
      <c r="P4" s="45"/>
      <c r="Q4" s="48">
        <f>+N4+P4*$E4</f>
        <v>6</v>
      </c>
      <c r="R4" s="43">
        <v>4</v>
      </c>
      <c r="S4" s="47">
        <f>+Q4-R4</f>
        <v>2</v>
      </c>
      <c r="T4" s="45">
        <v>1</v>
      </c>
      <c r="U4" s="48">
        <f>+R4+T4*$E4</f>
        <v>9</v>
      </c>
      <c r="V4" s="43">
        <v>6.5</v>
      </c>
      <c r="W4" s="47">
        <f>+U4-V4</f>
        <v>2.5</v>
      </c>
      <c r="X4" s="49">
        <v>1</v>
      </c>
      <c r="Y4" s="48">
        <f>+V4+X4*$E4</f>
        <v>11.5</v>
      </c>
      <c r="Z4" s="43">
        <v>10</v>
      </c>
      <c r="AA4" s="47">
        <f>+Y4-Z4</f>
        <v>1.5</v>
      </c>
      <c r="AB4" s="45"/>
      <c r="AC4" s="48">
        <f>+Z4+AB4*$E4</f>
        <v>10</v>
      </c>
      <c r="AD4" s="43">
        <v>7</v>
      </c>
      <c r="AE4" s="47">
        <f>+AC4-AD4</f>
        <v>3</v>
      </c>
      <c r="AF4" s="45"/>
      <c r="AG4" s="48">
        <f>+AD4+AF4*$E4</f>
        <v>7</v>
      </c>
      <c r="AH4" s="43">
        <v>6</v>
      </c>
      <c r="AI4" s="47">
        <f>+AG4-AH4</f>
        <v>1</v>
      </c>
      <c r="AJ4" s="45"/>
      <c r="AK4" s="48">
        <f>+AH4+AJ4*$E4</f>
        <v>6</v>
      </c>
      <c r="AL4" s="43">
        <v>3.5</v>
      </c>
      <c r="AM4" s="47">
        <f>+AK4-AL4</f>
        <v>2.5</v>
      </c>
      <c r="AN4" s="45">
        <v>1</v>
      </c>
      <c r="AO4" s="48">
        <f>+AL4+AN4*$E4</f>
        <v>8.5</v>
      </c>
      <c r="AP4" s="43">
        <v>5</v>
      </c>
      <c r="AQ4" s="47">
        <f>+AO4-AP4</f>
        <v>3.5</v>
      </c>
      <c r="AR4" s="45">
        <v>1</v>
      </c>
      <c r="AS4" s="48">
        <f>+AP4+AR4*$E4</f>
        <v>10</v>
      </c>
      <c r="AT4" s="43">
        <v>5</v>
      </c>
      <c r="AU4" s="47">
        <f>+AS4-AT4</f>
        <v>5</v>
      </c>
      <c r="AV4" s="45">
        <v>1</v>
      </c>
      <c r="AW4" s="48">
        <f>+AT4+AV4*$E4</f>
        <v>10</v>
      </c>
      <c r="AX4" s="43">
        <v>8</v>
      </c>
      <c r="AY4" s="47">
        <f>+AW4-AX4</f>
        <v>2</v>
      </c>
      <c r="AZ4" s="45"/>
      <c r="BA4" s="48">
        <f>+AX4+AZ4*$E4</f>
        <v>8</v>
      </c>
      <c r="BB4" s="43">
        <v>4</v>
      </c>
      <c r="BC4" s="47">
        <f>+BA4-BB4</f>
        <v>4</v>
      </c>
      <c r="BD4" s="45">
        <v>1</v>
      </c>
      <c r="BE4" s="48">
        <f>+BB4+BD4*$E4</f>
        <v>9</v>
      </c>
      <c r="BF4" s="43">
        <v>8</v>
      </c>
      <c r="BG4" s="47">
        <f>+BE4-BF4</f>
        <v>1</v>
      </c>
      <c r="BH4" s="45"/>
      <c r="BI4" s="48">
        <f>+BF4+BH4*$E4</f>
        <v>8</v>
      </c>
      <c r="BJ4" s="43">
        <v>6</v>
      </c>
      <c r="BK4" s="47">
        <f>+BI4-BJ4</f>
        <v>2</v>
      </c>
      <c r="BL4" s="45">
        <v>1</v>
      </c>
      <c r="BM4" s="48">
        <f>+BJ4+BL4*$E4</f>
        <v>11</v>
      </c>
      <c r="BN4" s="43"/>
      <c r="BO4" s="47">
        <f>+BM4-BN4</f>
        <v>11</v>
      </c>
      <c r="BP4" s="45"/>
      <c r="BQ4" s="48">
        <f>+BN4+BP4*$E4</f>
        <v>0</v>
      </c>
      <c r="BR4" s="43"/>
      <c r="BS4" s="47">
        <f>+BQ4-BR4</f>
        <v>0</v>
      </c>
      <c r="BT4" s="45"/>
      <c r="BU4" s="48">
        <f>+BR4+BT4*$E4</f>
        <v>0</v>
      </c>
      <c r="BV4" s="43"/>
      <c r="BW4" s="47">
        <f>+BU4-BV4</f>
        <v>0</v>
      </c>
      <c r="BX4" s="45"/>
      <c r="BY4" s="48">
        <f>+BV4+BX4*$E4</f>
        <v>0</v>
      </c>
      <c r="BZ4" s="43"/>
      <c r="CA4" s="47">
        <f>+BY4-BZ4</f>
        <v>0</v>
      </c>
      <c r="CB4" s="45"/>
      <c r="CC4" s="48">
        <f>+BZ4+CB4*$E4</f>
        <v>0</v>
      </c>
      <c r="CD4" s="43"/>
      <c r="CE4" s="47">
        <f>+CC4-CD4</f>
        <v>0</v>
      </c>
      <c r="CF4" s="45"/>
      <c r="CG4" s="48">
        <f>+CD4+CF4*$E4</f>
        <v>0</v>
      </c>
      <c r="CH4" s="43"/>
      <c r="CI4" s="47">
        <f>+CG4-CH4</f>
        <v>0</v>
      </c>
      <c r="CJ4" s="45"/>
      <c r="CK4" s="48">
        <f>+CH4+CJ4*$E4</f>
        <v>0</v>
      </c>
    </row>
    <row r="5" spans="1:89" s="89" customFormat="1" ht="15.75" customHeight="1" x14ac:dyDescent="0.25">
      <c r="A5" s="19" t="s">
        <v>55</v>
      </c>
      <c r="B5" s="9" t="s">
        <v>7</v>
      </c>
      <c r="C5" s="17">
        <v>6</v>
      </c>
      <c r="D5" s="9" t="s">
        <v>359</v>
      </c>
      <c r="E5" s="13">
        <v>8</v>
      </c>
      <c r="F5" s="43">
        <v>12</v>
      </c>
      <c r="G5" s="47">
        <v>6</v>
      </c>
      <c r="H5" s="45">
        <v>1</v>
      </c>
      <c r="I5" s="48">
        <f t="shared" ref="I5:I21" si="0">+F5+H5*$E5</f>
        <v>20</v>
      </c>
      <c r="J5" s="43">
        <v>20</v>
      </c>
      <c r="K5" s="47">
        <f t="shared" ref="K5:K21" si="1">+I5-J5</f>
        <v>0</v>
      </c>
      <c r="L5" s="45"/>
      <c r="M5" s="48">
        <f t="shared" ref="M5:M21" si="2">+J5+L5*$E5</f>
        <v>20</v>
      </c>
      <c r="N5" s="43">
        <v>18</v>
      </c>
      <c r="O5" s="47">
        <v>2</v>
      </c>
      <c r="P5" s="45"/>
      <c r="Q5" s="48">
        <f t="shared" ref="Q5:Q21" si="3">+N5+P5*$E5</f>
        <v>18</v>
      </c>
      <c r="R5" s="43">
        <v>12</v>
      </c>
      <c r="S5" s="47">
        <f t="shared" ref="S5:S21" si="4">+Q5-R5</f>
        <v>6</v>
      </c>
      <c r="T5" s="45"/>
      <c r="U5" s="48">
        <f t="shared" ref="U5:U21" si="5">+R5+T5*$E5</f>
        <v>12</v>
      </c>
      <c r="V5" s="43">
        <v>9</v>
      </c>
      <c r="W5" s="47">
        <f t="shared" ref="W5:W21" si="6">+U5-V5</f>
        <v>3</v>
      </c>
      <c r="X5" s="45"/>
      <c r="Y5" s="48">
        <f t="shared" ref="Y5:Y21" si="7">+V5+X5*$E5</f>
        <v>9</v>
      </c>
      <c r="Z5" s="43">
        <v>6</v>
      </c>
      <c r="AA5" s="47">
        <f t="shared" ref="AA5:AA72" si="8">+Y5-Z5</f>
        <v>3</v>
      </c>
      <c r="AB5" s="49">
        <v>1</v>
      </c>
      <c r="AC5" s="48">
        <f t="shared" ref="AC5:AC21" si="9">+Z5+AB5*$E5</f>
        <v>14</v>
      </c>
      <c r="AD5" s="43">
        <v>11</v>
      </c>
      <c r="AE5" s="47">
        <f t="shared" ref="AE5:AE21" si="10">+AC5-AD5</f>
        <v>3</v>
      </c>
      <c r="AF5" s="45"/>
      <c r="AG5" s="48">
        <f t="shared" ref="AG5:AG21" si="11">+AD5+AF5*$E5</f>
        <v>11</v>
      </c>
      <c r="AH5" s="43">
        <v>7</v>
      </c>
      <c r="AI5" s="47">
        <f t="shared" ref="AI5:AI71" si="12">+AG5-AH5</f>
        <v>4</v>
      </c>
      <c r="AJ5" s="45">
        <v>1</v>
      </c>
      <c r="AK5" s="48">
        <f t="shared" ref="AK5:AK21" si="13">+AH5+AJ5*$E5</f>
        <v>15</v>
      </c>
      <c r="AL5" s="43">
        <v>14</v>
      </c>
      <c r="AM5" s="47">
        <f t="shared" ref="AM5:AM21" si="14">+AK5-AL5</f>
        <v>1</v>
      </c>
      <c r="AN5" s="45"/>
      <c r="AO5" s="48">
        <f t="shared" ref="AO5:AO21" si="15">+AL5+AN5*$E5</f>
        <v>14</v>
      </c>
      <c r="AP5" s="43">
        <v>7</v>
      </c>
      <c r="AQ5" s="47">
        <f t="shared" ref="AQ5:AQ71" si="16">+AO5-AP5</f>
        <v>7</v>
      </c>
      <c r="AR5" s="45">
        <v>1</v>
      </c>
      <c r="AS5" s="48">
        <f t="shared" ref="AS5:AS21" si="17">+AP5+AR5*$E5</f>
        <v>15</v>
      </c>
      <c r="AT5" s="43">
        <f>6+8</f>
        <v>14</v>
      </c>
      <c r="AU5" s="47">
        <f t="shared" ref="AU5:AU21" si="18">+AS5-AT5</f>
        <v>1</v>
      </c>
      <c r="AV5" s="45"/>
      <c r="AW5" s="48">
        <f t="shared" ref="AW5:AW21" si="19">+AT5+AV5*$E5</f>
        <v>14</v>
      </c>
      <c r="AX5" s="43">
        <v>12</v>
      </c>
      <c r="AY5" s="47">
        <f t="shared" ref="AY5:AY21" si="20">+AW5-AX5</f>
        <v>2</v>
      </c>
      <c r="AZ5" s="45"/>
      <c r="BA5" s="48">
        <f t="shared" ref="BA5:BA21" si="21">+AX5+AZ5*$E5</f>
        <v>12</v>
      </c>
      <c r="BB5" s="43">
        <v>9</v>
      </c>
      <c r="BC5" s="47">
        <f t="shared" ref="BC5:BC21" si="22">+BA5-BB5</f>
        <v>3</v>
      </c>
      <c r="BD5" s="45"/>
      <c r="BE5" s="48">
        <f t="shared" ref="BE5:BE21" si="23">+BB5+BD5*$E5</f>
        <v>9</v>
      </c>
      <c r="BF5" s="43">
        <v>6</v>
      </c>
      <c r="BG5" s="47">
        <f t="shared" ref="BG5:BG21" si="24">+BE5-BF5</f>
        <v>3</v>
      </c>
      <c r="BH5" s="45"/>
      <c r="BI5" s="48">
        <f t="shared" ref="BI5:BI21" si="25">+BF5+BH5*$E5</f>
        <v>6</v>
      </c>
      <c r="BJ5" s="43">
        <v>0</v>
      </c>
      <c r="BK5" s="47">
        <f t="shared" ref="BK5:BK21" si="26">+BI5-BJ5</f>
        <v>6</v>
      </c>
      <c r="BL5" s="45">
        <v>2</v>
      </c>
      <c r="BM5" s="48">
        <f t="shared" ref="BM5:BM21" si="27">+BJ5+BL5*$E5</f>
        <v>16</v>
      </c>
      <c r="BN5" s="43"/>
      <c r="BO5" s="47">
        <f t="shared" ref="BO5:BO21" si="28">+BM5-BN5</f>
        <v>16</v>
      </c>
      <c r="BP5" s="45"/>
      <c r="BQ5" s="48">
        <f t="shared" ref="BQ5:BQ21" si="29">+BN5+BP5*$E5</f>
        <v>0</v>
      </c>
      <c r="BR5" s="43"/>
      <c r="BS5" s="47">
        <f t="shared" ref="BS5:BS21" si="30">+BQ5-BR5</f>
        <v>0</v>
      </c>
      <c r="BT5" s="45"/>
      <c r="BU5" s="48">
        <f t="shared" ref="BU5:BU21" si="31">+BR5+BT5*$E5</f>
        <v>0</v>
      </c>
      <c r="BV5" s="43"/>
      <c r="BW5" s="47">
        <f t="shared" ref="BW5:BW21" si="32">+BU5-BV5</f>
        <v>0</v>
      </c>
      <c r="BX5" s="45"/>
      <c r="BY5" s="48">
        <f t="shared" ref="BY5:BY21" si="33">+BV5+BX5*$E5</f>
        <v>0</v>
      </c>
      <c r="BZ5" s="43"/>
      <c r="CA5" s="47">
        <f t="shared" ref="CA5:CA21" si="34">+BY5-BZ5</f>
        <v>0</v>
      </c>
      <c r="CB5" s="45"/>
      <c r="CC5" s="48">
        <f t="shared" ref="CC5:CC21" si="35">+BZ5+CB5*$E5</f>
        <v>0</v>
      </c>
      <c r="CD5" s="43"/>
      <c r="CE5" s="47">
        <f t="shared" ref="CE5:CE21" si="36">+CC5-CD5</f>
        <v>0</v>
      </c>
      <c r="CF5" s="45"/>
      <c r="CG5" s="48">
        <f t="shared" ref="CG5:CG21" si="37">+CD5+CF5*$E5</f>
        <v>0</v>
      </c>
      <c r="CH5" s="43"/>
      <c r="CI5" s="47">
        <f t="shared" ref="CI5:CI21" si="38">+CG5-CH5</f>
        <v>0</v>
      </c>
      <c r="CJ5" s="45"/>
      <c r="CK5" s="48">
        <f t="shared" ref="CK5:CK21" si="39">+CH5+CJ5*$E5</f>
        <v>0</v>
      </c>
    </row>
    <row r="6" spans="1:89" s="89" customFormat="1" ht="20.100000000000001" hidden="1" customHeight="1" x14ac:dyDescent="0.25">
      <c r="A6" s="19" t="s">
        <v>56</v>
      </c>
      <c r="B6" s="9" t="s">
        <v>7</v>
      </c>
      <c r="C6" s="10">
        <v>6</v>
      </c>
      <c r="D6" s="9" t="s">
        <v>358</v>
      </c>
      <c r="E6" s="13">
        <v>6</v>
      </c>
      <c r="F6" s="43">
        <v>6</v>
      </c>
      <c r="G6" s="47">
        <v>2</v>
      </c>
      <c r="H6" s="45"/>
      <c r="I6" s="48">
        <f t="shared" si="0"/>
        <v>6</v>
      </c>
      <c r="J6" s="43">
        <v>3.1</v>
      </c>
      <c r="K6" s="47">
        <f t="shared" si="1"/>
        <v>2.9</v>
      </c>
      <c r="L6" s="45">
        <v>1</v>
      </c>
      <c r="M6" s="48">
        <f t="shared" si="2"/>
        <v>9.1</v>
      </c>
      <c r="N6" s="43">
        <v>5</v>
      </c>
      <c r="O6" s="47">
        <v>4.0999999999999996</v>
      </c>
      <c r="P6" s="45">
        <v>1</v>
      </c>
      <c r="Q6" s="48">
        <f t="shared" si="3"/>
        <v>11</v>
      </c>
      <c r="R6" s="43">
        <v>7.65</v>
      </c>
      <c r="S6" s="47">
        <f t="shared" si="4"/>
        <v>3.3499999999999996</v>
      </c>
      <c r="T6" s="45"/>
      <c r="U6" s="48">
        <f t="shared" si="5"/>
        <v>7.65</v>
      </c>
      <c r="V6" s="43">
        <v>3</v>
      </c>
      <c r="W6" s="47">
        <f t="shared" si="6"/>
        <v>4.6500000000000004</v>
      </c>
      <c r="X6" s="49">
        <v>1</v>
      </c>
      <c r="Y6" s="48">
        <f t="shared" si="7"/>
        <v>9</v>
      </c>
      <c r="Z6" s="43">
        <v>6</v>
      </c>
      <c r="AA6" s="47">
        <f t="shared" si="8"/>
        <v>3</v>
      </c>
      <c r="AB6" s="45"/>
      <c r="AC6" s="48">
        <f t="shared" si="9"/>
        <v>6</v>
      </c>
      <c r="AD6" s="43">
        <v>2</v>
      </c>
      <c r="AE6" s="47">
        <f t="shared" si="10"/>
        <v>4</v>
      </c>
      <c r="AF6" s="45">
        <v>1</v>
      </c>
      <c r="AG6" s="48">
        <f t="shared" si="11"/>
        <v>8</v>
      </c>
      <c r="AH6" s="43">
        <v>5</v>
      </c>
      <c r="AI6" s="47">
        <f t="shared" si="12"/>
        <v>3</v>
      </c>
      <c r="AJ6" s="45"/>
      <c r="AK6" s="48">
        <f t="shared" si="13"/>
        <v>5</v>
      </c>
      <c r="AL6" s="43">
        <v>2</v>
      </c>
      <c r="AM6" s="47">
        <f t="shared" si="14"/>
        <v>3</v>
      </c>
      <c r="AN6" s="45">
        <v>1</v>
      </c>
      <c r="AO6" s="48">
        <f t="shared" si="15"/>
        <v>8</v>
      </c>
      <c r="AP6" s="43">
        <v>4</v>
      </c>
      <c r="AQ6" s="47">
        <f t="shared" si="16"/>
        <v>4</v>
      </c>
      <c r="AR6" s="45">
        <v>1</v>
      </c>
      <c r="AS6" s="48">
        <f t="shared" si="17"/>
        <v>10</v>
      </c>
      <c r="AT6" s="43">
        <v>7</v>
      </c>
      <c r="AU6" s="47">
        <f t="shared" si="18"/>
        <v>3</v>
      </c>
      <c r="AV6" s="45"/>
      <c r="AW6" s="48">
        <f t="shared" si="19"/>
        <v>7</v>
      </c>
      <c r="AX6" s="43">
        <v>4</v>
      </c>
      <c r="AY6" s="47">
        <f t="shared" si="20"/>
        <v>3</v>
      </c>
      <c r="AZ6" s="45">
        <v>1</v>
      </c>
      <c r="BA6" s="48">
        <f t="shared" si="21"/>
        <v>10</v>
      </c>
      <c r="BB6" s="43">
        <v>7</v>
      </c>
      <c r="BC6" s="47">
        <f t="shared" si="22"/>
        <v>3</v>
      </c>
      <c r="BD6" s="45">
        <v>1</v>
      </c>
      <c r="BE6" s="48">
        <f t="shared" si="23"/>
        <v>13</v>
      </c>
      <c r="BF6" s="43">
        <v>8</v>
      </c>
      <c r="BG6" s="47">
        <f t="shared" si="24"/>
        <v>5</v>
      </c>
      <c r="BH6" s="45">
        <v>1</v>
      </c>
      <c r="BI6" s="48">
        <f t="shared" si="25"/>
        <v>14</v>
      </c>
      <c r="BJ6" s="43">
        <v>11</v>
      </c>
      <c r="BK6" s="47">
        <f t="shared" si="26"/>
        <v>3</v>
      </c>
      <c r="BL6" s="45"/>
      <c r="BM6" s="48">
        <f t="shared" si="27"/>
        <v>11</v>
      </c>
      <c r="BN6" s="43"/>
      <c r="BO6" s="47">
        <f t="shared" si="28"/>
        <v>11</v>
      </c>
      <c r="BP6" s="45"/>
      <c r="BQ6" s="48">
        <f t="shared" si="29"/>
        <v>0</v>
      </c>
      <c r="BR6" s="43"/>
      <c r="BS6" s="47">
        <f t="shared" si="30"/>
        <v>0</v>
      </c>
      <c r="BT6" s="45"/>
      <c r="BU6" s="48">
        <f t="shared" si="31"/>
        <v>0</v>
      </c>
      <c r="BV6" s="43"/>
      <c r="BW6" s="47">
        <f t="shared" si="32"/>
        <v>0</v>
      </c>
      <c r="BX6" s="45"/>
      <c r="BY6" s="48">
        <f t="shared" si="33"/>
        <v>0</v>
      </c>
      <c r="BZ6" s="43"/>
      <c r="CA6" s="47">
        <f t="shared" si="34"/>
        <v>0</v>
      </c>
      <c r="CB6" s="45"/>
      <c r="CC6" s="48">
        <f t="shared" si="35"/>
        <v>0</v>
      </c>
      <c r="CD6" s="43"/>
      <c r="CE6" s="47">
        <f t="shared" si="36"/>
        <v>0</v>
      </c>
      <c r="CF6" s="45"/>
      <c r="CG6" s="48">
        <f t="shared" si="37"/>
        <v>0</v>
      </c>
      <c r="CH6" s="43"/>
      <c r="CI6" s="47">
        <f t="shared" si="38"/>
        <v>0</v>
      </c>
      <c r="CJ6" s="45"/>
      <c r="CK6" s="48">
        <f t="shared" si="39"/>
        <v>0</v>
      </c>
    </row>
    <row r="7" spans="1:89" s="89" customFormat="1" ht="20.100000000000001" customHeight="1" x14ac:dyDescent="0.25">
      <c r="A7" s="19" t="s">
        <v>57</v>
      </c>
      <c r="B7" s="9" t="s">
        <v>7</v>
      </c>
      <c r="C7" s="10">
        <v>25</v>
      </c>
      <c r="D7" s="9" t="s">
        <v>9</v>
      </c>
      <c r="E7" s="13">
        <v>25</v>
      </c>
      <c r="F7" s="43">
        <v>7</v>
      </c>
      <c r="G7" s="47">
        <v>35</v>
      </c>
      <c r="H7" s="45">
        <v>2</v>
      </c>
      <c r="I7" s="48">
        <f t="shared" si="0"/>
        <v>57</v>
      </c>
      <c r="J7" s="43">
        <f>25+8</f>
        <v>33</v>
      </c>
      <c r="K7" s="47">
        <f t="shared" si="1"/>
        <v>24</v>
      </c>
      <c r="L7" s="45">
        <v>1</v>
      </c>
      <c r="M7" s="48">
        <f t="shared" si="2"/>
        <v>58</v>
      </c>
      <c r="N7" s="43">
        <v>21</v>
      </c>
      <c r="O7" s="47">
        <v>37</v>
      </c>
      <c r="P7" s="45">
        <v>1</v>
      </c>
      <c r="Q7" s="48">
        <f t="shared" si="3"/>
        <v>46</v>
      </c>
      <c r="R7" s="43">
        <v>11</v>
      </c>
      <c r="S7" s="47">
        <f t="shared" si="4"/>
        <v>35</v>
      </c>
      <c r="T7" s="45">
        <v>2</v>
      </c>
      <c r="U7" s="48">
        <f t="shared" si="5"/>
        <v>61</v>
      </c>
      <c r="V7" s="43">
        <v>29</v>
      </c>
      <c r="W7" s="47">
        <f t="shared" si="6"/>
        <v>32</v>
      </c>
      <c r="X7" s="49">
        <v>1</v>
      </c>
      <c r="Y7" s="48">
        <f t="shared" si="7"/>
        <v>54</v>
      </c>
      <c r="Z7" s="43">
        <v>24</v>
      </c>
      <c r="AA7" s="47">
        <f t="shared" si="8"/>
        <v>30</v>
      </c>
      <c r="AB7" s="49">
        <v>1</v>
      </c>
      <c r="AC7" s="48">
        <f t="shared" si="9"/>
        <v>49</v>
      </c>
      <c r="AD7" s="43">
        <v>12</v>
      </c>
      <c r="AE7" s="47">
        <f t="shared" si="10"/>
        <v>37</v>
      </c>
      <c r="AF7" s="45">
        <v>2.2000000000000002</v>
      </c>
      <c r="AG7" s="48">
        <f t="shared" si="11"/>
        <v>67</v>
      </c>
      <c r="AH7" s="43">
        <v>35</v>
      </c>
      <c r="AI7" s="47">
        <f t="shared" si="12"/>
        <v>32</v>
      </c>
      <c r="AJ7" s="45">
        <v>1</v>
      </c>
      <c r="AK7" s="48">
        <f t="shared" si="13"/>
        <v>60</v>
      </c>
      <c r="AL7" s="43">
        <v>19</v>
      </c>
      <c r="AM7" s="47">
        <f t="shared" si="14"/>
        <v>41</v>
      </c>
      <c r="AN7" s="45">
        <v>2</v>
      </c>
      <c r="AO7" s="48">
        <f t="shared" si="15"/>
        <v>69</v>
      </c>
      <c r="AP7" s="43">
        <v>29</v>
      </c>
      <c r="AQ7" s="47">
        <f t="shared" si="16"/>
        <v>40</v>
      </c>
      <c r="AR7" s="45">
        <v>2</v>
      </c>
      <c r="AS7" s="48">
        <f t="shared" si="17"/>
        <v>79</v>
      </c>
      <c r="AT7" s="43">
        <f>25+16</f>
        <v>41</v>
      </c>
      <c r="AU7" s="47">
        <f t="shared" si="18"/>
        <v>38</v>
      </c>
      <c r="AV7" s="45">
        <v>1</v>
      </c>
      <c r="AW7" s="48">
        <f t="shared" si="19"/>
        <v>66</v>
      </c>
      <c r="AX7" s="43">
        <v>27</v>
      </c>
      <c r="AY7" s="47">
        <f t="shared" si="20"/>
        <v>39</v>
      </c>
      <c r="AZ7" s="45">
        <v>1</v>
      </c>
      <c r="BA7" s="48">
        <f t="shared" si="21"/>
        <v>52</v>
      </c>
      <c r="BB7" s="43">
        <v>11</v>
      </c>
      <c r="BC7" s="47">
        <f t="shared" si="22"/>
        <v>41</v>
      </c>
      <c r="BD7" s="45">
        <v>2</v>
      </c>
      <c r="BE7" s="48">
        <f t="shared" si="23"/>
        <v>61</v>
      </c>
      <c r="BF7" s="43">
        <v>37</v>
      </c>
      <c r="BG7" s="47">
        <f t="shared" si="24"/>
        <v>24</v>
      </c>
      <c r="BH7" s="45">
        <v>1</v>
      </c>
      <c r="BI7" s="48">
        <f t="shared" si="25"/>
        <v>62</v>
      </c>
      <c r="BJ7" s="43">
        <v>24</v>
      </c>
      <c r="BK7" s="47">
        <f t="shared" si="26"/>
        <v>38</v>
      </c>
      <c r="BL7" s="45">
        <v>1</v>
      </c>
      <c r="BM7" s="48">
        <f t="shared" si="27"/>
        <v>49</v>
      </c>
      <c r="BN7" s="43"/>
      <c r="BO7" s="47">
        <f t="shared" si="28"/>
        <v>49</v>
      </c>
      <c r="BP7" s="45"/>
      <c r="BQ7" s="48">
        <f t="shared" si="29"/>
        <v>0</v>
      </c>
      <c r="BR7" s="43"/>
      <c r="BS7" s="47">
        <f t="shared" si="30"/>
        <v>0</v>
      </c>
      <c r="BT7" s="45"/>
      <c r="BU7" s="48">
        <f t="shared" si="31"/>
        <v>0</v>
      </c>
      <c r="BV7" s="43"/>
      <c r="BW7" s="47">
        <f t="shared" si="32"/>
        <v>0</v>
      </c>
      <c r="BX7" s="45"/>
      <c r="BY7" s="48">
        <f t="shared" si="33"/>
        <v>0</v>
      </c>
      <c r="BZ7" s="43"/>
      <c r="CA7" s="47">
        <f t="shared" si="34"/>
        <v>0</v>
      </c>
      <c r="CB7" s="45"/>
      <c r="CC7" s="48">
        <f t="shared" si="35"/>
        <v>0</v>
      </c>
      <c r="CD7" s="43"/>
      <c r="CE7" s="47">
        <f t="shared" si="36"/>
        <v>0</v>
      </c>
      <c r="CF7" s="45"/>
      <c r="CG7" s="48">
        <f t="shared" si="37"/>
        <v>0</v>
      </c>
      <c r="CH7" s="43"/>
      <c r="CI7" s="47">
        <f t="shared" si="38"/>
        <v>0</v>
      </c>
      <c r="CJ7" s="45"/>
      <c r="CK7" s="48">
        <f t="shared" si="39"/>
        <v>0</v>
      </c>
    </row>
    <row r="8" spans="1:89" s="89" customFormat="1" ht="20.100000000000001" hidden="1" customHeight="1" x14ac:dyDescent="0.25">
      <c r="A8" s="19" t="s">
        <v>58</v>
      </c>
      <c r="B8" s="9" t="s">
        <v>7</v>
      </c>
      <c r="C8" s="17">
        <v>2</v>
      </c>
      <c r="D8" s="9" t="s">
        <v>358</v>
      </c>
      <c r="E8" s="13">
        <v>8</v>
      </c>
      <c r="F8" s="43">
        <v>3</v>
      </c>
      <c r="G8" s="47">
        <v>1</v>
      </c>
      <c r="H8" s="45"/>
      <c r="I8" s="48">
        <f t="shared" si="0"/>
        <v>3</v>
      </c>
      <c r="J8" s="43">
        <v>1</v>
      </c>
      <c r="K8" s="47">
        <f t="shared" si="1"/>
        <v>2</v>
      </c>
      <c r="L8" s="45">
        <v>1</v>
      </c>
      <c r="M8" s="48">
        <f t="shared" si="2"/>
        <v>9</v>
      </c>
      <c r="N8" s="43">
        <v>8</v>
      </c>
      <c r="O8" s="47">
        <v>1</v>
      </c>
      <c r="P8" s="45"/>
      <c r="Q8" s="48">
        <f t="shared" si="3"/>
        <v>8</v>
      </c>
      <c r="R8" s="43">
        <v>5</v>
      </c>
      <c r="S8" s="47">
        <f t="shared" si="4"/>
        <v>3</v>
      </c>
      <c r="T8" s="45"/>
      <c r="U8" s="48">
        <f t="shared" si="5"/>
        <v>5</v>
      </c>
      <c r="V8" s="43">
        <v>5</v>
      </c>
      <c r="W8" s="47">
        <f t="shared" si="6"/>
        <v>0</v>
      </c>
      <c r="X8" s="45"/>
      <c r="Y8" s="48">
        <f t="shared" si="7"/>
        <v>5</v>
      </c>
      <c r="Z8" s="43">
        <v>5</v>
      </c>
      <c r="AA8" s="47">
        <f t="shared" si="8"/>
        <v>0</v>
      </c>
      <c r="AB8" s="45"/>
      <c r="AC8" s="48">
        <f t="shared" si="9"/>
        <v>5</v>
      </c>
      <c r="AD8" s="43">
        <v>4</v>
      </c>
      <c r="AE8" s="47">
        <f t="shared" si="10"/>
        <v>1</v>
      </c>
      <c r="AF8" s="45"/>
      <c r="AG8" s="48">
        <f t="shared" si="11"/>
        <v>4</v>
      </c>
      <c r="AH8" s="43">
        <v>4</v>
      </c>
      <c r="AI8" s="47">
        <f t="shared" si="12"/>
        <v>0</v>
      </c>
      <c r="AJ8" s="45"/>
      <c r="AK8" s="48">
        <f t="shared" si="13"/>
        <v>4</v>
      </c>
      <c r="AL8" s="43">
        <v>3</v>
      </c>
      <c r="AM8" s="47">
        <f t="shared" si="14"/>
        <v>1</v>
      </c>
      <c r="AN8" s="45">
        <v>1</v>
      </c>
      <c r="AO8" s="48">
        <f t="shared" si="15"/>
        <v>11</v>
      </c>
      <c r="AP8" s="43">
        <v>11</v>
      </c>
      <c r="AQ8" s="47">
        <f t="shared" si="16"/>
        <v>0</v>
      </c>
      <c r="AR8" s="45"/>
      <c r="AS8" s="48">
        <f t="shared" si="17"/>
        <v>11</v>
      </c>
      <c r="AT8" s="43">
        <v>11</v>
      </c>
      <c r="AU8" s="47">
        <f t="shared" si="18"/>
        <v>0</v>
      </c>
      <c r="AV8" s="45"/>
      <c r="AW8" s="48">
        <f t="shared" si="19"/>
        <v>11</v>
      </c>
      <c r="AX8" s="43">
        <v>11</v>
      </c>
      <c r="AY8" s="47">
        <f t="shared" si="20"/>
        <v>0</v>
      </c>
      <c r="AZ8" s="45"/>
      <c r="BA8" s="48">
        <f t="shared" si="21"/>
        <v>11</v>
      </c>
      <c r="BB8" s="43">
        <v>7</v>
      </c>
      <c r="BC8" s="47">
        <f t="shared" si="22"/>
        <v>4</v>
      </c>
      <c r="BD8" s="45">
        <v>1</v>
      </c>
      <c r="BE8" s="48">
        <f t="shared" si="23"/>
        <v>15</v>
      </c>
      <c r="BF8" s="43">
        <v>15</v>
      </c>
      <c r="BG8" s="47">
        <f t="shared" si="24"/>
        <v>0</v>
      </c>
      <c r="BH8" s="45"/>
      <c r="BI8" s="48">
        <f t="shared" si="25"/>
        <v>15</v>
      </c>
      <c r="BJ8" s="43">
        <v>15</v>
      </c>
      <c r="BK8" s="47">
        <f t="shared" si="26"/>
        <v>0</v>
      </c>
      <c r="BL8" s="45"/>
      <c r="BM8" s="48">
        <f t="shared" si="27"/>
        <v>15</v>
      </c>
      <c r="BN8" s="43"/>
      <c r="BO8" s="47">
        <f t="shared" si="28"/>
        <v>15</v>
      </c>
      <c r="BP8" s="45"/>
      <c r="BQ8" s="48">
        <f t="shared" si="29"/>
        <v>0</v>
      </c>
      <c r="BR8" s="43"/>
      <c r="BS8" s="47">
        <f t="shared" si="30"/>
        <v>0</v>
      </c>
      <c r="BT8" s="45"/>
      <c r="BU8" s="48">
        <f t="shared" si="31"/>
        <v>0</v>
      </c>
      <c r="BV8" s="43"/>
      <c r="BW8" s="47">
        <f t="shared" si="32"/>
        <v>0</v>
      </c>
      <c r="BX8" s="45"/>
      <c r="BY8" s="48">
        <f t="shared" si="33"/>
        <v>0</v>
      </c>
      <c r="BZ8" s="43"/>
      <c r="CA8" s="47">
        <f t="shared" si="34"/>
        <v>0</v>
      </c>
      <c r="CB8" s="45"/>
      <c r="CC8" s="48">
        <f t="shared" si="35"/>
        <v>0</v>
      </c>
      <c r="CD8" s="43"/>
      <c r="CE8" s="47">
        <f t="shared" si="36"/>
        <v>0</v>
      </c>
      <c r="CF8" s="45"/>
      <c r="CG8" s="48">
        <f t="shared" si="37"/>
        <v>0</v>
      </c>
      <c r="CH8" s="43"/>
      <c r="CI8" s="47">
        <f t="shared" si="38"/>
        <v>0</v>
      </c>
      <c r="CJ8" s="45"/>
      <c r="CK8" s="48">
        <f t="shared" si="39"/>
        <v>0</v>
      </c>
    </row>
    <row r="9" spans="1:89" s="89" customFormat="1" ht="20.100000000000001" customHeight="1" x14ac:dyDescent="0.25">
      <c r="A9" s="19" t="s">
        <v>59</v>
      </c>
      <c r="B9" s="9" t="s">
        <v>7</v>
      </c>
      <c r="C9" s="10">
        <v>288</v>
      </c>
      <c r="D9" s="9" t="s">
        <v>9</v>
      </c>
      <c r="E9" s="13">
        <v>288</v>
      </c>
      <c r="F9" s="43">
        <v>430</v>
      </c>
      <c r="G9" s="47">
        <v>146</v>
      </c>
      <c r="H9" s="45"/>
      <c r="I9" s="48">
        <f t="shared" si="0"/>
        <v>430</v>
      </c>
      <c r="J9" s="43">
        <f>288+20</f>
        <v>308</v>
      </c>
      <c r="K9" s="47">
        <f t="shared" si="1"/>
        <v>122</v>
      </c>
      <c r="L9" s="45"/>
      <c r="M9" s="48">
        <f t="shared" si="2"/>
        <v>308</v>
      </c>
      <c r="N9" s="43">
        <v>184</v>
      </c>
      <c r="O9" s="47">
        <v>124</v>
      </c>
      <c r="P9" s="45">
        <v>1</v>
      </c>
      <c r="Q9" s="48">
        <f t="shared" si="3"/>
        <v>472</v>
      </c>
      <c r="R9" s="43">
        <v>221</v>
      </c>
      <c r="S9" s="47">
        <f t="shared" si="4"/>
        <v>251</v>
      </c>
      <c r="T9" s="45">
        <v>1</v>
      </c>
      <c r="U9" s="48">
        <f t="shared" si="5"/>
        <v>509</v>
      </c>
      <c r="V9" s="43">
        <f>288+40</f>
        <v>328</v>
      </c>
      <c r="W9" s="47">
        <f t="shared" si="6"/>
        <v>181</v>
      </c>
      <c r="X9" s="45"/>
      <c r="Y9" s="48">
        <f t="shared" si="7"/>
        <v>328</v>
      </c>
      <c r="Z9" s="43">
        <v>288</v>
      </c>
      <c r="AA9" s="47">
        <f t="shared" si="8"/>
        <v>40</v>
      </c>
      <c r="AB9" s="49">
        <v>1</v>
      </c>
      <c r="AC9" s="48">
        <f t="shared" si="9"/>
        <v>576</v>
      </c>
      <c r="AD9" s="43">
        <f>288+90</f>
        <v>378</v>
      </c>
      <c r="AE9" s="47">
        <f t="shared" si="10"/>
        <v>198</v>
      </c>
      <c r="AF9" s="45"/>
      <c r="AG9" s="48">
        <f t="shared" si="11"/>
        <v>378</v>
      </c>
      <c r="AH9" s="43">
        <v>175</v>
      </c>
      <c r="AI9" s="47">
        <f t="shared" si="12"/>
        <v>203</v>
      </c>
      <c r="AJ9" s="45"/>
      <c r="AK9" s="48">
        <f t="shared" si="13"/>
        <v>175</v>
      </c>
      <c r="AL9" s="43">
        <v>60</v>
      </c>
      <c r="AM9" s="47">
        <f t="shared" si="14"/>
        <v>115</v>
      </c>
      <c r="AN9" s="45">
        <v>1</v>
      </c>
      <c r="AO9" s="48">
        <f t="shared" si="15"/>
        <v>348</v>
      </c>
      <c r="AP9" s="43">
        <v>109</v>
      </c>
      <c r="AQ9" s="47">
        <f t="shared" si="16"/>
        <v>239</v>
      </c>
      <c r="AR9" s="45">
        <v>1</v>
      </c>
      <c r="AS9" s="48">
        <f t="shared" si="17"/>
        <v>397</v>
      </c>
      <c r="AT9" s="43">
        <v>288</v>
      </c>
      <c r="AU9" s="47">
        <f t="shared" si="18"/>
        <v>109</v>
      </c>
      <c r="AV9" s="45"/>
      <c r="AW9" s="48">
        <f t="shared" si="19"/>
        <v>288</v>
      </c>
      <c r="AX9" s="43">
        <v>186</v>
      </c>
      <c r="AY9" s="47">
        <f t="shared" si="20"/>
        <v>102</v>
      </c>
      <c r="AZ9" s="45">
        <v>1</v>
      </c>
      <c r="BA9" s="48">
        <f t="shared" si="21"/>
        <v>474</v>
      </c>
      <c r="BB9" s="43">
        <f>288+39</f>
        <v>327</v>
      </c>
      <c r="BC9" s="47">
        <f t="shared" si="22"/>
        <v>147</v>
      </c>
      <c r="BD9" s="45"/>
      <c r="BE9" s="48">
        <f t="shared" si="23"/>
        <v>327</v>
      </c>
      <c r="BF9" s="43">
        <v>184</v>
      </c>
      <c r="BG9" s="47">
        <f t="shared" si="24"/>
        <v>143</v>
      </c>
      <c r="BH9" s="45">
        <v>1</v>
      </c>
      <c r="BI9" s="48">
        <f t="shared" si="25"/>
        <v>472</v>
      </c>
      <c r="BJ9" s="43">
        <v>288</v>
      </c>
      <c r="BK9" s="47">
        <f t="shared" si="26"/>
        <v>184</v>
      </c>
      <c r="BL9" s="45">
        <v>1</v>
      </c>
      <c r="BM9" s="48">
        <f t="shared" si="27"/>
        <v>576</v>
      </c>
      <c r="BN9" s="43"/>
      <c r="BO9" s="47">
        <f t="shared" si="28"/>
        <v>576</v>
      </c>
      <c r="BP9" s="45"/>
      <c r="BQ9" s="48">
        <f t="shared" si="29"/>
        <v>0</v>
      </c>
      <c r="BR9" s="43"/>
      <c r="BS9" s="47">
        <f t="shared" si="30"/>
        <v>0</v>
      </c>
      <c r="BT9" s="45"/>
      <c r="BU9" s="48">
        <f t="shared" si="31"/>
        <v>0</v>
      </c>
      <c r="BV9" s="43"/>
      <c r="BW9" s="47">
        <f t="shared" si="32"/>
        <v>0</v>
      </c>
      <c r="BX9" s="45"/>
      <c r="BY9" s="48">
        <f t="shared" si="33"/>
        <v>0</v>
      </c>
      <c r="BZ9" s="43"/>
      <c r="CA9" s="47">
        <f t="shared" si="34"/>
        <v>0</v>
      </c>
      <c r="CB9" s="45"/>
      <c r="CC9" s="48">
        <f t="shared" si="35"/>
        <v>0</v>
      </c>
      <c r="CD9" s="43"/>
      <c r="CE9" s="47">
        <f t="shared" si="36"/>
        <v>0</v>
      </c>
      <c r="CF9" s="45"/>
      <c r="CG9" s="48">
        <f t="shared" si="37"/>
        <v>0</v>
      </c>
      <c r="CH9" s="43"/>
      <c r="CI9" s="47">
        <f t="shared" si="38"/>
        <v>0</v>
      </c>
      <c r="CJ9" s="45"/>
      <c r="CK9" s="48">
        <f t="shared" si="39"/>
        <v>0</v>
      </c>
    </row>
    <row r="10" spans="1:89" s="89" customFormat="1" ht="20.100000000000001" customHeight="1" x14ac:dyDescent="0.25">
      <c r="A10" s="19" t="s">
        <v>363</v>
      </c>
      <c r="B10" s="9" t="s">
        <v>7</v>
      </c>
      <c r="C10" s="10">
        <v>5</v>
      </c>
      <c r="D10" s="9" t="s">
        <v>8</v>
      </c>
      <c r="E10" s="13">
        <v>5</v>
      </c>
      <c r="F10" s="43">
        <v>10</v>
      </c>
      <c r="G10" s="47">
        <v>3.9000000000000004</v>
      </c>
      <c r="H10" s="45"/>
      <c r="I10" s="48">
        <f t="shared" si="0"/>
        <v>10</v>
      </c>
      <c r="J10" s="43">
        <v>7.3</v>
      </c>
      <c r="K10" s="47">
        <f t="shared" si="1"/>
        <v>2.7</v>
      </c>
      <c r="L10" s="45">
        <v>1</v>
      </c>
      <c r="M10" s="48">
        <f t="shared" si="2"/>
        <v>12.3</v>
      </c>
      <c r="N10" s="43">
        <v>10</v>
      </c>
      <c r="O10" s="47">
        <v>2.3000000000000007</v>
      </c>
      <c r="P10" s="45"/>
      <c r="Q10" s="48">
        <f t="shared" si="3"/>
        <v>10</v>
      </c>
      <c r="R10" s="43">
        <v>6.1</v>
      </c>
      <c r="S10" s="47">
        <f t="shared" si="4"/>
        <v>3.9000000000000004</v>
      </c>
      <c r="T10" s="45"/>
      <c r="U10" s="48">
        <f t="shared" si="5"/>
        <v>6.1</v>
      </c>
      <c r="V10" s="43">
        <v>2.5</v>
      </c>
      <c r="W10" s="47">
        <f t="shared" si="6"/>
        <v>3.5999999999999996</v>
      </c>
      <c r="X10" s="49">
        <v>2</v>
      </c>
      <c r="Y10" s="48">
        <f t="shared" si="7"/>
        <v>12.5</v>
      </c>
      <c r="Z10" s="43">
        <v>10</v>
      </c>
      <c r="AA10" s="47">
        <f t="shared" si="8"/>
        <v>2.5</v>
      </c>
      <c r="AB10" s="45"/>
      <c r="AC10" s="48">
        <f t="shared" si="9"/>
        <v>10</v>
      </c>
      <c r="AD10" s="43">
        <v>4</v>
      </c>
      <c r="AE10" s="47">
        <f t="shared" si="10"/>
        <v>6</v>
      </c>
      <c r="AF10" s="45">
        <v>1</v>
      </c>
      <c r="AG10" s="48">
        <f t="shared" si="11"/>
        <v>9</v>
      </c>
      <c r="AH10" s="43">
        <v>5.8</v>
      </c>
      <c r="AI10" s="47">
        <f t="shared" si="12"/>
        <v>3.2</v>
      </c>
      <c r="AJ10" s="45">
        <v>1</v>
      </c>
      <c r="AK10" s="48">
        <f t="shared" si="13"/>
        <v>10.8</v>
      </c>
      <c r="AL10" s="43">
        <v>6.2</v>
      </c>
      <c r="AM10" s="47">
        <f t="shared" si="14"/>
        <v>4.6000000000000005</v>
      </c>
      <c r="AN10" s="45">
        <v>1</v>
      </c>
      <c r="AO10" s="48">
        <f t="shared" si="15"/>
        <v>11.2</v>
      </c>
      <c r="AP10" s="43">
        <v>8</v>
      </c>
      <c r="AQ10" s="47">
        <f t="shared" si="16"/>
        <v>3.1999999999999993</v>
      </c>
      <c r="AR10" s="45">
        <v>1</v>
      </c>
      <c r="AS10" s="48">
        <f t="shared" si="17"/>
        <v>13</v>
      </c>
      <c r="AT10" s="43">
        <v>8.8000000000000007</v>
      </c>
      <c r="AU10" s="47">
        <f t="shared" si="18"/>
        <v>4.1999999999999993</v>
      </c>
      <c r="AV10" s="45">
        <v>1</v>
      </c>
      <c r="AW10" s="48">
        <f t="shared" si="19"/>
        <v>13.8</v>
      </c>
      <c r="AX10" s="43">
        <v>7</v>
      </c>
      <c r="AY10" s="47">
        <f t="shared" si="20"/>
        <v>6.8000000000000007</v>
      </c>
      <c r="AZ10" s="45">
        <v>1</v>
      </c>
      <c r="BA10" s="48">
        <f t="shared" si="21"/>
        <v>12</v>
      </c>
      <c r="BB10" s="43">
        <v>9</v>
      </c>
      <c r="BC10" s="47">
        <f t="shared" si="22"/>
        <v>3</v>
      </c>
      <c r="BD10" s="45">
        <v>1</v>
      </c>
      <c r="BE10" s="48">
        <f t="shared" si="23"/>
        <v>14</v>
      </c>
      <c r="BF10" s="43">
        <v>10</v>
      </c>
      <c r="BG10" s="47">
        <f t="shared" si="24"/>
        <v>4</v>
      </c>
      <c r="BH10" s="45">
        <v>1</v>
      </c>
      <c r="BI10" s="48">
        <f t="shared" si="25"/>
        <v>15</v>
      </c>
      <c r="BJ10" s="43">
        <v>10.5</v>
      </c>
      <c r="BK10" s="47">
        <f t="shared" si="26"/>
        <v>4.5</v>
      </c>
      <c r="BL10" s="45">
        <v>1</v>
      </c>
      <c r="BM10" s="48">
        <f t="shared" si="27"/>
        <v>15.5</v>
      </c>
      <c r="BN10" s="43"/>
      <c r="BO10" s="47">
        <f t="shared" si="28"/>
        <v>15.5</v>
      </c>
      <c r="BP10" s="45"/>
      <c r="BQ10" s="48">
        <f t="shared" si="29"/>
        <v>0</v>
      </c>
      <c r="BR10" s="43"/>
      <c r="BS10" s="47">
        <f t="shared" si="30"/>
        <v>0</v>
      </c>
      <c r="BT10" s="45"/>
      <c r="BU10" s="48">
        <f t="shared" si="31"/>
        <v>0</v>
      </c>
      <c r="BV10" s="43"/>
      <c r="BW10" s="47">
        <f t="shared" si="32"/>
        <v>0</v>
      </c>
      <c r="BX10" s="45"/>
      <c r="BY10" s="48">
        <f t="shared" si="33"/>
        <v>0</v>
      </c>
      <c r="BZ10" s="43"/>
      <c r="CA10" s="47">
        <f t="shared" si="34"/>
        <v>0</v>
      </c>
      <c r="CB10" s="45"/>
      <c r="CC10" s="48">
        <f t="shared" si="35"/>
        <v>0</v>
      </c>
      <c r="CD10" s="43"/>
      <c r="CE10" s="47">
        <f t="shared" si="36"/>
        <v>0</v>
      </c>
      <c r="CF10" s="45"/>
      <c r="CG10" s="48">
        <f t="shared" si="37"/>
        <v>0</v>
      </c>
      <c r="CH10" s="43"/>
      <c r="CI10" s="47">
        <f t="shared" si="38"/>
        <v>0</v>
      </c>
      <c r="CJ10" s="45"/>
      <c r="CK10" s="48">
        <f t="shared" si="39"/>
        <v>0</v>
      </c>
    </row>
    <row r="11" spans="1:89" s="89" customFormat="1" ht="20.100000000000001" hidden="1" customHeight="1" x14ac:dyDescent="0.25">
      <c r="A11" s="19" t="s">
        <v>264</v>
      </c>
      <c r="B11" s="9" t="s">
        <v>7</v>
      </c>
      <c r="C11" s="10">
        <v>48</v>
      </c>
      <c r="D11" s="9" t="s">
        <v>9</v>
      </c>
      <c r="E11" s="13">
        <v>48</v>
      </c>
      <c r="F11" s="43">
        <v>58</v>
      </c>
      <c r="G11" s="47">
        <v>9</v>
      </c>
      <c r="H11" s="45"/>
      <c r="I11" s="48">
        <f t="shared" si="0"/>
        <v>58</v>
      </c>
      <c r="J11" s="43">
        <v>7.3</v>
      </c>
      <c r="K11" s="47">
        <f t="shared" si="1"/>
        <v>50.7</v>
      </c>
      <c r="L11" s="45"/>
      <c r="M11" s="48">
        <f t="shared" si="2"/>
        <v>7.3</v>
      </c>
      <c r="N11" s="43">
        <v>48</v>
      </c>
      <c r="O11" s="47">
        <v>-40.700000000000003</v>
      </c>
      <c r="P11" s="45"/>
      <c r="Q11" s="48">
        <f t="shared" si="3"/>
        <v>48</v>
      </c>
      <c r="R11" s="43">
        <v>37</v>
      </c>
      <c r="S11" s="47">
        <f t="shared" si="4"/>
        <v>11</v>
      </c>
      <c r="T11" s="45"/>
      <c r="U11" s="48">
        <f t="shared" si="5"/>
        <v>37</v>
      </c>
      <c r="V11" s="43">
        <v>21</v>
      </c>
      <c r="W11" s="47">
        <f t="shared" si="6"/>
        <v>16</v>
      </c>
      <c r="X11" s="49">
        <v>1</v>
      </c>
      <c r="Y11" s="48">
        <f t="shared" si="7"/>
        <v>69</v>
      </c>
      <c r="Z11" s="43">
        <f>48+17</f>
        <v>65</v>
      </c>
      <c r="AA11" s="47">
        <f t="shared" si="8"/>
        <v>4</v>
      </c>
      <c r="AB11" s="45"/>
      <c r="AC11" s="48">
        <f t="shared" si="9"/>
        <v>65</v>
      </c>
      <c r="AD11" s="43">
        <f>48+5</f>
        <v>53</v>
      </c>
      <c r="AE11" s="47">
        <f t="shared" si="10"/>
        <v>12</v>
      </c>
      <c r="AF11" s="45"/>
      <c r="AG11" s="48">
        <f t="shared" si="11"/>
        <v>53</v>
      </c>
      <c r="AH11" s="43">
        <v>52</v>
      </c>
      <c r="AI11" s="47">
        <f t="shared" si="12"/>
        <v>1</v>
      </c>
      <c r="AJ11" s="45"/>
      <c r="AK11" s="48">
        <f t="shared" si="13"/>
        <v>52</v>
      </c>
      <c r="AL11" s="43">
        <v>48</v>
      </c>
      <c r="AM11" s="47">
        <f t="shared" si="14"/>
        <v>4</v>
      </c>
      <c r="AN11" s="45"/>
      <c r="AO11" s="48">
        <f t="shared" si="15"/>
        <v>48</v>
      </c>
      <c r="AP11" s="43">
        <v>48</v>
      </c>
      <c r="AQ11" s="47">
        <f t="shared" si="16"/>
        <v>0</v>
      </c>
      <c r="AR11" s="45">
        <v>1</v>
      </c>
      <c r="AS11" s="48">
        <f t="shared" si="17"/>
        <v>96</v>
      </c>
      <c r="AT11" s="43">
        <v>78</v>
      </c>
      <c r="AU11" s="47">
        <f t="shared" si="18"/>
        <v>18</v>
      </c>
      <c r="AV11" s="45"/>
      <c r="AW11" s="48">
        <f t="shared" si="19"/>
        <v>78</v>
      </c>
      <c r="AX11" s="43">
        <f>48+28</f>
        <v>76</v>
      </c>
      <c r="AY11" s="47">
        <f t="shared" si="20"/>
        <v>2</v>
      </c>
      <c r="AZ11" s="45"/>
      <c r="BA11" s="48">
        <f t="shared" si="21"/>
        <v>76</v>
      </c>
      <c r="BB11" s="43">
        <f>48+17</f>
        <v>65</v>
      </c>
      <c r="BC11" s="47">
        <f t="shared" si="22"/>
        <v>11</v>
      </c>
      <c r="BD11" s="45"/>
      <c r="BE11" s="48">
        <f t="shared" si="23"/>
        <v>65</v>
      </c>
      <c r="BF11" s="43">
        <v>55</v>
      </c>
      <c r="BG11" s="47">
        <f t="shared" si="24"/>
        <v>10</v>
      </c>
      <c r="BH11" s="45"/>
      <c r="BI11" s="48">
        <f t="shared" si="25"/>
        <v>55</v>
      </c>
      <c r="BJ11" s="43">
        <v>51</v>
      </c>
      <c r="BK11" s="47">
        <f t="shared" si="26"/>
        <v>4</v>
      </c>
      <c r="BL11" s="45"/>
      <c r="BM11" s="48">
        <f t="shared" si="27"/>
        <v>51</v>
      </c>
      <c r="BN11" s="43"/>
      <c r="BO11" s="47">
        <f t="shared" si="28"/>
        <v>51</v>
      </c>
      <c r="BP11" s="45"/>
      <c r="BQ11" s="48">
        <f t="shared" si="29"/>
        <v>0</v>
      </c>
      <c r="BR11" s="43"/>
      <c r="BS11" s="47">
        <f t="shared" si="30"/>
        <v>0</v>
      </c>
      <c r="BT11" s="45"/>
      <c r="BU11" s="48">
        <f t="shared" si="31"/>
        <v>0</v>
      </c>
      <c r="BV11" s="43"/>
      <c r="BW11" s="47">
        <f t="shared" si="32"/>
        <v>0</v>
      </c>
      <c r="BX11" s="45"/>
      <c r="BY11" s="48">
        <f t="shared" si="33"/>
        <v>0</v>
      </c>
      <c r="BZ11" s="43"/>
      <c r="CA11" s="47">
        <f t="shared" si="34"/>
        <v>0</v>
      </c>
      <c r="CB11" s="45"/>
      <c r="CC11" s="48">
        <f t="shared" si="35"/>
        <v>0</v>
      </c>
      <c r="CD11" s="43"/>
      <c r="CE11" s="47">
        <f t="shared" si="36"/>
        <v>0</v>
      </c>
      <c r="CF11" s="45"/>
      <c r="CG11" s="48">
        <f t="shared" si="37"/>
        <v>0</v>
      </c>
      <c r="CH11" s="43"/>
      <c r="CI11" s="47">
        <f t="shared" si="38"/>
        <v>0</v>
      </c>
      <c r="CJ11" s="45"/>
      <c r="CK11" s="48">
        <f t="shared" si="39"/>
        <v>0</v>
      </c>
    </row>
    <row r="12" spans="1:89" s="89" customFormat="1" ht="20.100000000000001" hidden="1" customHeight="1" x14ac:dyDescent="0.25">
      <c r="A12" s="19" t="s">
        <v>60</v>
      </c>
      <c r="B12" s="9" t="s">
        <v>7</v>
      </c>
      <c r="C12" s="10">
        <v>8</v>
      </c>
      <c r="D12" s="9" t="s">
        <v>9</v>
      </c>
      <c r="E12" s="13">
        <v>8</v>
      </c>
      <c r="F12" s="43"/>
      <c r="G12" s="47">
        <v>0</v>
      </c>
      <c r="H12" s="45">
        <v>4</v>
      </c>
      <c r="I12" s="48">
        <f t="shared" si="0"/>
        <v>32</v>
      </c>
      <c r="J12" s="43">
        <v>7.3</v>
      </c>
      <c r="K12" s="47">
        <f t="shared" si="1"/>
        <v>24.7</v>
      </c>
      <c r="L12" s="45"/>
      <c r="M12" s="48">
        <f t="shared" si="2"/>
        <v>7.3</v>
      </c>
      <c r="N12" s="43">
        <v>2</v>
      </c>
      <c r="O12" s="47">
        <v>5.3</v>
      </c>
      <c r="P12" s="45"/>
      <c r="Q12" s="48">
        <f t="shared" si="3"/>
        <v>2</v>
      </c>
      <c r="R12" s="43">
        <v>2</v>
      </c>
      <c r="S12" s="47">
        <f t="shared" si="4"/>
        <v>0</v>
      </c>
      <c r="T12" s="45">
        <v>6</v>
      </c>
      <c r="U12" s="48">
        <f t="shared" si="5"/>
        <v>50</v>
      </c>
      <c r="V12" s="43">
        <f>6*8</f>
        <v>48</v>
      </c>
      <c r="W12" s="47">
        <f t="shared" si="6"/>
        <v>2</v>
      </c>
      <c r="X12" s="45"/>
      <c r="Y12" s="48">
        <f t="shared" si="7"/>
        <v>48</v>
      </c>
      <c r="Z12" s="43">
        <f>6*8</f>
        <v>48</v>
      </c>
      <c r="AA12" s="47">
        <f t="shared" si="8"/>
        <v>0</v>
      </c>
      <c r="AB12" s="45"/>
      <c r="AC12" s="48">
        <f t="shared" si="9"/>
        <v>48</v>
      </c>
      <c r="AD12" s="43">
        <f>6*8</f>
        <v>48</v>
      </c>
      <c r="AE12" s="47">
        <f t="shared" si="10"/>
        <v>0</v>
      </c>
      <c r="AF12" s="45"/>
      <c r="AG12" s="48">
        <f t="shared" si="11"/>
        <v>48</v>
      </c>
      <c r="AH12" s="176">
        <v>48</v>
      </c>
      <c r="AI12" s="47">
        <f t="shared" si="12"/>
        <v>0</v>
      </c>
      <c r="AJ12" s="45"/>
      <c r="AK12" s="48">
        <f t="shared" si="13"/>
        <v>48</v>
      </c>
      <c r="AL12" s="43">
        <v>48</v>
      </c>
      <c r="AM12" s="47">
        <f t="shared" si="14"/>
        <v>0</v>
      </c>
      <c r="AN12" s="45"/>
      <c r="AO12" s="48">
        <f t="shared" si="15"/>
        <v>48</v>
      </c>
      <c r="AP12" s="43">
        <v>46</v>
      </c>
      <c r="AQ12" s="47">
        <f t="shared" si="16"/>
        <v>2</v>
      </c>
      <c r="AR12" s="45"/>
      <c r="AS12" s="48">
        <f t="shared" si="17"/>
        <v>46</v>
      </c>
      <c r="AT12" s="43">
        <f>5*8+6</f>
        <v>46</v>
      </c>
      <c r="AU12" s="47">
        <f t="shared" si="18"/>
        <v>0</v>
      </c>
      <c r="AV12" s="45"/>
      <c r="AW12" s="48">
        <f t="shared" si="19"/>
        <v>46</v>
      </c>
      <c r="AX12" s="43">
        <f>5*8+6</f>
        <v>46</v>
      </c>
      <c r="AY12" s="47">
        <f t="shared" si="20"/>
        <v>0</v>
      </c>
      <c r="AZ12" s="45"/>
      <c r="BA12" s="48">
        <f t="shared" si="21"/>
        <v>46</v>
      </c>
      <c r="BB12" s="43">
        <v>46</v>
      </c>
      <c r="BC12" s="47">
        <f t="shared" si="22"/>
        <v>0</v>
      </c>
      <c r="BD12" s="45"/>
      <c r="BE12" s="48">
        <f t="shared" si="23"/>
        <v>46</v>
      </c>
      <c r="BF12" s="43">
        <v>46</v>
      </c>
      <c r="BG12" s="47">
        <f t="shared" si="24"/>
        <v>0</v>
      </c>
      <c r="BH12" s="45"/>
      <c r="BI12" s="48">
        <f t="shared" si="25"/>
        <v>46</v>
      </c>
      <c r="BJ12" s="43">
        <v>46</v>
      </c>
      <c r="BK12" s="47">
        <f t="shared" si="26"/>
        <v>0</v>
      </c>
      <c r="BL12" s="45"/>
      <c r="BM12" s="48">
        <f t="shared" si="27"/>
        <v>46</v>
      </c>
      <c r="BN12" s="43"/>
      <c r="BO12" s="47">
        <f t="shared" si="28"/>
        <v>46</v>
      </c>
      <c r="BP12" s="45"/>
      <c r="BQ12" s="48">
        <f t="shared" si="29"/>
        <v>0</v>
      </c>
      <c r="BR12" s="43"/>
      <c r="BS12" s="47">
        <f t="shared" si="30"/>
        <v>0</v>
      </c>
      <c r="BT12" s="45"/>
      <c r="BU12" s="48">
        <f t="shared" si="31"/>
        <v>0</v>
      </c>
      <c r="BV12" s="43"/>
      <c r="BW12" s="47">
        <f t="shared" si="32"/>
        <v>0</v>
      </c>
      <c r="BX12" s="45"/>
      <c r="BY12" s="48">
        <f t="shared" si="33"/>
        <v>0</v>
      </c>
      <c r="BZ12" s="43"/>
      <c r="CA12" s="47">
        <f t="shared" si="34"/>
        <v>0</v>
      </c>
      <c r="CB12" s="45"/>
      <c r="CC12" s="48">
        <f t="shared" si="35"/>
        <v>0</v>
      </c>
      <c r="CD12" s="43"/>
      <c r="CE12" s="47">
        <f t="shared" si="36"/>
        <v>0</v>
      </c>
      <c r="CF12" s="45"/>
      <c r="CG12" s="48">
        <f t="shared" si="37"/>
        <v>0</v>
      </c>
      <c r="CH12" s="43"/>
      <c r="CI12" s="47">
        <f t="shared" si="38"/>
        <v>0</v>
      </c>
      <c r="CJ12" s="45"/>
      <c r="CK12" s="48">
        <f t="shared" si="39"/>
        <v>0</v>
      </c>
    </row>
    <row r="13" spans="1:89" s="89" customFormat="1" ht="20.100000000000001" customHeight="1" x14ac:dyDescent="0.25">
      <c r="A13" s="19" t="s">
        <v>61</v>
      </c>
      <c r="B13" s="9" t="s">
        <v>7</v>
      </c>
      <c r="C13" s="10">
        <v>90</v>
      </c>
      <c r="D13" s="9" t="s">
        <v>9</v>
      </c>
      <c r="E13" s="13">
        <v>90</v>
      </c>
      <c r="F13" s="43">
        <v>105</v>
      </c>
      <c r="G13" s="47">
        <v>75</v>
      </c>
      <c r="H13" s="45">
        <v>1</v>
      </c>
      <c r="I13" s="48">
        <f t="shared" si="0"/>
        <v>195</v>
      </c>
      <c r="J13" s="43">
        <v>7.3</v>
      </c>
      <c r="K13" s="47">
        <f t="shared" si="1"/>
        <v>187.7</v>
      </c>
      <c r="L13" s="45">
        <v>1</v>
      </c>
      <c r="M13" s="48">
        <f t="shared" si="2"/>
        <v>97.3</v>
      </c>
      <c r="N13" s="43">
        <v>90</v>
      </c>
      <c r="O13" s="47">
        <v>7.2999999999999972</v>
      </c>
      <c r="P13" s="45">
        <v>1</v>
      </c>
      <c r="Q13" s="48">
        <f t="shared" si="3"/>
        <v>180</v>
      </c>
      <c r="R13" s="43">
        <v>92</v>
      </c>
      <c r="S13" s="47">
        <f t="shared" si="4"/>
        <v>88</v>
      </c>
      <c r="T13" s="45">
        <v>1</v>
      </c>
      <c r="U13" s="48">
        <f t="shared" si="5"/>
        <v>182</v>
      </c>
      <c r="V13" s="43">
        <v>90</v>
      </c>
      <c r="W13" s="47">
        <f t="shared" si="6"/>
        <v>92</v>
      </c>
      <c r="X13" s="49">
        <v>1</v>
      </c>
      <c r="Y13" s="48">
        <f t="shared" si="7"/>
        <v>180</v>
      </c>
      <c r="Z13" s="43">
        <v>45</v>
      </c>
      <c r="AA13" s="47">
        <f t="shared" si="8"/>
        <v>135</v>
      </c>
      <c r="AB13" s="49">
        <v>2</v>
      </c>
      <c r="AC13" s="48">
        <f t="shared" si="9"/>
        <v>225</v>
      </c>
      <c r="AD13" s="43">
        <v>120</v>
      </c>
      <c r="AE13" s="47">
        <f t="shared" si="10"/>
        <v>105</v>
      </c>
      <c r="AF13" s="45">
        <v>1</v>
      </c>
      <c r="AG13" s="48">
        <f t="shared" si="11"/>
        <v>210</v>
      </c>
      <c r="AH13" s="43">
        <v>110</v>
      </c>
      <c r="AI13" s="47">
        <f t="shared" si="12"/>
        <v>100</v>
      </c>
      <c r="AJ13" s="45">
        <v>1</v>
      </c>
      <c r="AK13" s="48">
        <f>+AH14+AJ13*$E13</f>
        <v>97</v>
      </c>
      <c r="AL13" s="43">
        <f>5*15</f>
        <v>75</v>
      </c>
      <c r="AM13" s="47">
        <f t="shared" si="14"/>
        <v>22</v>
      </c>
      <c r="AN13" s="45">
        <v>1</v>
      </c>
      <c r="AO13" s="48">
        <f t="shared" si="15"/>
        <v>165</v>
      </c>
      <c r="AP13" s="43">
        <v>90</v>
      </c>
      <c r="AQ13" s="47">
        <f t="shared" si="16"/>
        <v>75</v>
      </c>
      <c r="AR13" s="45">
        <v>1</v>
      </c>
      <c r="AS13" s="48">
        <f t="shared" si="17"/>
        <v>180</v>
      </c>
      <c r="AT13" s="43">
        <v>30</v>
      </c>
      <c r="AU13" s="47">
        <f t="shared" si="18"/>
        <v>150</v>
      </c>
      <c r="AV13" s="45">
        <v>2</v>
      </c>
      <c r="AW13" s="48">
        <f t="shared" si="19"/>
        <v>210</v>
      </c>
      <c r="AX13" s="43">
        <v>105</v>
      </c>
      <c r="AY13" s="47">
        <f t="shared" si="20"/>
        <v>105</v>
      </c>
      <c r="AZ13" s="45">
        <v>1</v>
      </c>
      <c r="BA13" s="48">
        <f t="shared" si="21"/>
        <v>195</v>
      </c>
      <c r="BB13" s="43">
        <f>90+49</f>
        <v>139</v>
      </c>
      <c r="BC13" s="47">
        <f t="shared" si="22"/>
        <v>56</v>
      </c>
      <c r="BD13" s="45">
        <v>1</v>
      </c>
      <c r="BE13" s="48">
        <f t="shared" si="23"/>
        <v>229</v>
      </c>
      <c r="BF13" s="43">
        <v>180</v>
      </c>
      <c r="BG13" s="47">
        <f t="shared" si="24"/>
        <v>49</v>
      </c>
      <c r="BH13" s="45">
        <v>1</v>
      </c>
      <c r="BI13" s="48">
        <f t="shared" si="25"/>
        <v>270</v>
      </c>
      <c r="BJ13" s="43">
        <v>105</v>
      </c>
      <c r="BK13" s="47">
        <f t="shared" si="26"/>
        <v>165</v>
      </c>
      <c r="BL13" s="45">
        <v>1</v>
      </c>
      <c r="BM13" s="48">
        <f t="shared" si="27"/>
        <v>195</v>
      </c>
      <c r="BN13" s="43"/>
      <c r="BO13" s="47">
        <f t="shared" si="28"/>
        <v>195</v>
      </c>
      <c r="BP13" s="45"/>
      <c r="BQ13" s="48">
        <f t="shared" si="29"/>
        <v>0</v>
      </c>
      <c r="BR13" s="43"/>
      <c r="BS13" s="47">
        <f t="shared" si="30"/>
        <v>0</v>
      </c>
      <c r="BT13" s="45"/>
      <c r="BU13" s="48">
        <f t="shared" si="31"/>
        <v>0</v>
      </c>
      <c r="BV13" s="43"/>
      <c r="BW13" s="47">
        <f t="shared" si="32"/>
        <v>0</v>
      </c>
      <c r="BX13" s="45"/>
      <c r="BY13" s="48">
        <f t="shared" si="33"/>
        <v>0</v>
      </c>
      <c r="BZ13" s="43"/>
      <c r="CA13" s="47">
        <f t="shared" si="34"/>
        <v>0</v>
      </c>
      <c r="CB13" s="45"/>
      <c r="CC13" s="48">
        <f t="shared" si="35"/>
        <v>0</v>
      </c>
      <c r="CD13" s="43"/>
      <c r="CE13" s="47">
        <f t="shared" si="36"/>
        <v>0</v>
      </c>
      <c r="CF13" s="45"/>
      <c r="CG13" s="48">
        <f t="shared" si="37"/>
        <v>0</v>
      </c>
      <c r="CH13" s="43"/>
      <c r="CI13" s="47">
        <f t="shared" si="38"/>
        <v>0</v>
      </c>
      <c r="CJ13" s="45"/>
      <c r="CK13" s="48">
        <f t="shared" si="39"/>
        <v>0</v>
      </c>
    </row>
    <row r="14" spans="1:89" s="89" customFormat="1" ht="20.100000000000001" customHeight="1" x14ac:dyDescent="0.25">
      <c r="A14" s="19" t="s">
        <v>62</v>
      </c>
      <c r="B14" s="9" t="s">
        <v>7</v>
      </c>
      <c r="C14" s="10">
        <v>10</v>
      </c>
      <c r="D14" s="9" t="s">
        <v>8</v>
      </c>
      <c r="E14" s="13">
        <v>10</v>
      </c>
      <c r="F14" s="43">
        <v>8</v>
      </c>
      <c r="G14" s="47">
        <v>4</v>
      </c>
      <c r="H14" s="45">
        <v>1</v>
      </c>
      <c r="I14" s="48">
        <f t="shared" si="0"/>
        <v>18</v>
      </c>
      <c r="J14" s="43">
        <v>7.3</v>
      </c>
      <c r="K14" s="47">
        <f t="shared" si="1"/>
        <v>10.7</v>
      </c>
      <c r="L14" s="45"/>
      <c r="M14" s="48">
        <f t="shared" si="2"/>
        <v>7.3</v>
      </c>
      <c r="N14" s="43">
        <v>12.25</v>
      </c>
      <c r="O14" s="47">
        <v>-4.95</v>
      </c>
      <c r="P14" s="45">
        <v>0</v>
      </c>
      <c r="Q14" s="48">
        <f t="shared" si="3"/>
        <v>12.25</v>
      </c>
      <c r="R14" s="43">
        <v>11.15</v>
      </c>
      <c r="S14" s="47">
        <f t="shared" si="4"/>
        <v>1.0999999999999996</v>
      </c>
      <c r="T14" s="45"/>
      <c r="U14" s="48">
        <f t="shared" si="5"/>
        <v>11.15</v>
      </c>
      <c r="V14" s="43">
        <v>7.5</v>
      </c>
      <c r="W14" s="47">
        <f t="shared" si="6"/>
        <v>3.6500000000000004</v>
      </c>
      <c r="X14" s="45"/>
      <c r="Y14" s="48">
        <f t="shared" si="7"/>
        <v>7.5</v>
      </c>
      <c r="Z14" s="43">
        <v>4.0999999999999996</v>
      </c>
      <c r="AA14" s="47">
        <f t="shared" si="8"/>
        <v>3.4000000000000004</v>
      </c>
      <c r="AB14" s="49">
        <v>1</v>
      </c>
      <c r="AC14" s="48">
        <f t="shared" si="9"/>
        <v>14.1</v>
      </c>
      <c r="AD14" s="43">
        <v>11</v>
      </c>
      <c r="AE14" s="47">
        <f t="shared" si="10"/>
        <v>3.0999999999999996</v>
      </c>
      <c r="AF14" s="45"/>
      <c r="AG14" s="48">
        <f t="shared" si="11"/>
        <v>11</v>
      </c>
      <c r="AH14" s="43">
        <v>7</v>
      </c>
      <c r="AI14" s="47">
        <f t="shared" si="12"/>
        <v>4</v>
      </c>
      <c r="AJ14" s="45"/>
      <c r="AK14" s="48">
        <f t="shared" si="13"/>
        <v>7</v>
      </c>
      <c r="AL14" s="43">
        <v>4.5999999999999996</v>
      </c>
      <c r="AM14" s="47">
        <f t="shared" si="14"/>
        <v>2.4000000000000004</v>
      </c>
      <c r="AN14" s="45">
        <v>1</v>
      </c>
      <c r="AO14" s="48">
        <f t="shared" si="15"/>
        <v>14.6</v>
      </c>
      <c r="AP14" s="43">
        <v>9</v>
      </c>
      <c r="AQ14" s="47">
        <f t="shared" si="16"/>
        <v>5.6</v>
      </c>
      <c r="AR14" s="45"/>
      <c r="AS14" s="48">
        <f t="shared" si="17"/>
        <v>9</v>
      </c>
      <c r="AT14" s="43">
        <v>5</v>
      </c>
      <c r="AU14" s="47">
        <f t="shared" si="18"/>
        <v>4</v>
      </c>
      <c r="AV14" s="45">
        <v>1</v>
      </c>
      <c r="AW14" s="48">
        <f t="shared" si="19"/>
        <v>15</v>
      </c>
      <c r="AX14" s="43">
        <v>12.5</v>
      </c>
      <c r="AY14" s="47">
        <f t="shared" si="20"/>
        <v>2.5</v>
      </c>
      <c r="AZ14" s="45"/>
      <c r="BA14" s="48">
        <f t="shared" si="21"/>
        <v>12.5</v>
      </c>
      <c r="BB14" s="43">
        <v>8</v>
      </c>
      <c r="BC14" s="47">
        <f t="shared" si="22"/>
        <v>4.5</v>
      </c>
      <c r="BD14" s="45"/>
      <c r="BE14" s="48">
        <f t="shared" si="23"/>
        <v>8</v>
      </c>
      <c r="BF14" s="43">
        <v>4.3</v>
      </c>
      <c r="BG14" s="47">
        <f t="shared" si="24"/>
        <v>3.7</v>
      </c>
      <c r="BH14" s="45">
        <v>1</v>
      </c>
      <c r="BI14" s="48">
        <f t="shared" si="25"/>
        <v>14.3</v>
      </c>
      <c r="BJ14" s="43">
        <v>9.5</v>
      </c>
      <c r="BK14" s="47">
        <f t="shared" si="26"/>
        <v>4.8000000000000007</v>
      </c>
      <c r="BL14" s="45">
        <v>1</v>
      </c>
      <c r="BM14" s="48">
        <f t="shared" si="27"/>
        <v>19.5</v>
      </c>
      <c r="BN14" s="43"/>
      <c r="BO14" s="47">
        <f t="shared" si="28"/>
        <v>19.5</v>
      </c>
      <c r="BP14" s="45"/>
      <c r="BQ14" s="48">
        <f t="shared" si="29"/>
        <v>0</v>
      </c>
      <c r="BR14" s="43"/>
      <c r="BS14" s="47">
        <f t="shared" si="30"/>
        <v>0</v>
      </c>
      <c r="BT14" s="45"/>
      <c r="BU14" s="48">
        <f t="shared" si="31"/>
        <v>0</v>
      </c>
      <c r="BV14" s="43"/>
      <c r="BW14" s="47">
        <f t="shared" si="32"/>
        <v>0</v>
      </c>
      <c r="BX14" s="45"/>
      <c r="BY14" s="48">
        <f t="shared" si="33"/>
        <v>0</v>
      </c>
      <c r="BZ14" s="43"/>
      <c r="CA14" s="47">
        <f t="shared" si="34"/>
        <v>0</v>
      </c>
      <c r="CB14" s="45"/>
      <c r="CC14" s="48">
        <f t="shared" si="35"/>
        <v>0</v>
      </c>
      <c r="CD14" s="43"/>
      <c r="CE14" s="47">
        <f t="shared" si="36"/>
        <v>0</v>
      </c>
      <c r="CF14" s="45"/>
      <c r="CG14" s="48">
        <f t="shared" si="37"/>
        <v>0</v>
      </c>
      <c r="CH14" s="43"/>
      <c r="CI14" s="47">
        <f t="shared" si="38"/>
        <v>0</v>
      </c>
      <c r="CJ14" s="45"/>
      <c r="CK14" s="48">
        <f t="shared" si="39"/>
        <v>0</v>
      </c>
    </row>
    <row r="15" spans="1:89" s="89" customFormat="1" ht="20.100000000000001" hidden="1" customHeight="1" x14ac:dyDescent="0.25">
      <c r="A15" s="19" t="s">
        <v>63</v>
      </c>
      <c r="B15" s="9" t="s">
        <v>7</v>
      </c>
      <c r="C15" s="10">
        <v>120</v>
      </c>
      <c r="D15" s="9" t="s">
        <v>9</v>
      </c>
      <c r="E15" s="13">
        <v>120</v>
      </c>
      <c r="F15" s="43">
        <v>115</v>
      </c>
      <c r="G15" s="47">
        <v>162</v>
      </c>
      <c r="H15" s="45">
        <v>1</v>
      </c>
      <c r="I15" s="48">
        <f t="shared" si="0"/>
        <v>235</v>
      </c>
      <c r="J15" s="43">
        <v>7.3</v>
      </c>
      <c r="K15" s="47">
        <f t="shared" si="1"/>
        <v>227.7</v>
      </c>
      <c r="L15" s="45">
        <v>1</v>
      </c>
      <c r="M15" s="48">
        <f t="shared" si="2"/>
        <v>127.3</v>
      </c>
      <c r="N15" s="43">
        <v>87</v>
      </c>
      <c r="O15" s="47">
        <v>40.299999999999997</v>
      </c>
      <c r="P15" s="45">
        <v>1</v>
      </c>
      <c r="Q15" s="48">
        <f t="shared" si="3"/>
        <v>207</v>
      </c>
      <c r="R15" s="43">
        <v>182</v>
      </c>
      <c r="S15" s="47">
        <f t="shared" si="4"/>
        <v>25</v>
      </c>
      <c r="T15" s="45"/>
      <c r="U15" s="48">
        <f t="shared" si="5"/>
        <v>182</v>
      </c>
      <c r="V15" s="43">
        <v>105</v>
      </c>
      <c r="W15" s="47">
        <f t="shared" si="6"/>
        <v>77</v>
      </c>
      <c r="X15" s="49">
        <v>1</v>
      </c>
      <c r="Y15" s="48">
        <f t="shared" si="7"/>
        <v>225</v>
      </c>
      <c r="Z15" s="43">
        <v>143</v>
      </c>
      <c r="AA15" s="47">
        <f t="shared" si="8"/>
        <v>82</v>
      </c>
      <c r="AB15" s="45"/>
      <c r="AC15" s="48">
        <f t="shared" si="9"/>
        <v>143</v>
      </c>
      <c r="AD15" s="43">
        <v>24</v>
      </c>
      <c r="AE15" s="47">
        <f t="shared" si="10"/>
        <v>119</v>
      </c>
      <c r="AF15" s="45">
        <v>1</v>
      </c>
      <c r="AG15" s="48">
        <f t="shared" si="11"/>
        <v>144</v>
      </c>
      <c r="AH15" s="43">
        <v>57</v>
      </c>
      <c r="AI15" s="47">
        <f t="shared" si="12"/>
        <v>87</v>
      </c>
      <c r="AJ15" s="45">
        <v>1</v>
      </c>
      <c r="AK15" s="48">
        <f t="shared" si="13"/>
        <v>177</v>
      </c>
      <c r="AL15" s="43">
        <v>100</v>
      </c>
      <c r="AM15" s="47">
        <f t="shared" si="14"/>
        <v>77</v>
      </c>
      <c r="AN15" s="45">
        <v>1</v>
      </c>
      <c r="AO15" s="48">
        <f t="shared" si="15"/>
        <v>220</v>
      </c>
      <c r="AP15" s="43">
        <v>103</v>
      </c>
      <c r="AQ15" s="47">
        <f t="shared" si="16"/>
        <v>117</v>
      </c>
      <c r="AR15" s="45">
        <v>1</v>
      </c>
      <c r="AS15" s="48">
        <f t="shared" si="17"/>
        <v>223</v>
      </c>
      <c r="AT15" s="43">
        <v>40</v>
      </c>
      <c r="AU15" s="47">
        <f t="shared" si="18"/>
        <v>183</v>
      </c>
      <c r="AV15" s="45">
        <v>2</v>
      </c>
      <c r="AW15" s="48">
        <f t="shared" si="19"/>
        <v>280</v>
      </c>
      <c r="AX15" s="43">
        <v>159</v>
      </c>
      <c r="AY15" s="47">
        <f t="shared" si="20"/>
        <v>121</v>
      </c>
      <c r="AZ15" s="45">
        <v>1</v>
      </c>
      <c r="BA15" s="48">
        <f t="shared" si="21"/>
        <v>279</v>
      </c>
      <c r="BB15" s="43">
        <f>120+69</f>
        <v>189</v>
      </c>
      <c r="BC15" s="47">
        <f t="shared" si="22"/>
        <v>90</v>
      </c>
      <c r="BD15" s="45">
        <v>1</v>
      </c>
      <c r="BE15" s="48">
        <f t="shared" si="23"/>
        <v>309</v>
      </c>
      <c r="BF15" s="43">
        <v>210</v>
      </c>
      <c r="BG15" s="47">
        <f t="shared" si="24"/>
        <v>99</v>
      </c>
      <c r="BH15" s="45"/>
      <c r="BI15" s="48">
        <f t="shared" si="25"/>
        <v>210</v>
      </c>
      <c r="BJ15" s="43">
        <v>132</v>
      </c>
      <c r="BK15" s="47">
        <f t="shared" si="26"/>
        <v>78</v>
      </c>
      <c r="BL15" s="45"/>
      <c r="BM15" s="48">
        <f t="shared" si="27"/>
        <v>132</v>
      </c>
      <c r="BN15" s="43"/>
      <c r="BO15" s="47">
        <f t="shared" si="28"/>
        <v>132</v>
      </c>
      <c r="BP15" s="45"/>
      <c r="BQ15" s="48">
        <f t="shared" si="29"/>
        <v>0</v>
      </c>
      <c r="BR15" s="43"/>
      <c r="BS15" s="47">
        <f t="shared" si="30"/>
        <v>0</v>
      </c>
      <c r="BT15" s="45"/>
      <c r="BU15" s="48">
        <f t="shared" si="31"/>
        <v>0</v>
      </c>
      <c r="BV15" s="43"/>
      <c r="BW15" s="47">
        <f t="shared" si="32"/>
        <v>0</v>
      </c>
      <c r="BX15" s="45"/>
      <c r="BY15" s="48">
        <f t="shared" si="33"/>
        <v>0</v>
      </c>
      <c r="BZ15" s="43"/>
      <c r="CA15" s="47">
        <f t="shared" si="34"/>
        <v>0</v>
      </c>
      <c r="CB15" s="45"/>
      <c r="CC15" s="48">
        <f t="shared" si="35"/>
        <v>0</v>
      </c>
      <c r="CD15" s="43"/>
      <c r="CE15" s="47">
        <f t="shared" si="36"/>
        <v>0</v>
      </c>
      <c r="CF15" s="45"/>
      <c r="CG15" s="48">
        <f t="shared" si="37"/>
        <v>0</v>
      </c>
      <c r="CH15" s="43"/>
      <c r="CI15" s="47">
        <f t="shared" si="38"/>
        <v>0</v>
      </c>
      <c r="CJ15" s="45"/>
      <c r="CK15" s="48">
        <f t="shared" si="39"/>
        <v>0</v>
      </c>
    </row>
    <row r="16" spans="1:89" s="89" customFormat="1" ht="20.100000000000001" customHeight="1" x14ac:dyDescent="0.25">
      <c r="A16" s="19" t="s">
        <v>64</v>
      </c>
      <c r="B16" s="9" t="s">
        <v>7</v>
      </c>
      <c r="C16" s="17">
        <v>3</v>
      </c>
      <c r="D16" s="9" t="s">
        <v>355</v>
      </c>
      <c r="E16" s="13">
        <v>6</v>
      </c>
      <c r="F16" s="43">
        <v>7</v>
      </c>
      <c r="G16" s="47">
        <v>6</v>
      </c>
      <c r="H16" s="45">
        <v>1</v>
      </c>
      <c r="I16" s="48">
        <f t="shared" si="0"/>
        <v>13</v>
      </c>
      <c r="J16" s="43">
        <v>7.3</v>
      </c>
      <c r="K16" s="47">
        <f t="shared" si="1"/>
        <v>5.7</v>
      </c>
      <c r="L16" s="45">
        <v>1</v>
      </c>
      <c r="M16" s="48">
        <f t="shared" si="2"/>
        <v>13.3</v>
      </c>
      <c r="N16" s="43">
        <v>9</v>
      </c>
      <c r="O16" s="47">
        <v>4.3000000000000007</v>
      </c>
      <c r="P16" s="45"/>
      <c r="Q16" s="48">
        <f t="shared" si="3"/>
        <v>9</v>
      </c>
      <c r="R16" s="43">
        <v>4</v>
      </c>
      <c r="S16" s="47">
        <f t="shared" si="4"/>
        <v>5</v>
      </c>
      <c r="T16" s="45">
        <v>1</v>
      </c>
      <c r="U16" s="48">
        <f t="shared" si="5"/>
        <v>10</v>
      </c>
      <c r="V16" s="43">
        <v>4</v>
      </c>
      <c r="W16" s="47">
        <f t="shared" si="6"/>
        <v>6</v>
      </c>
      <c r="X16" s="49">
        <v>1</v>
      </c>
      <c r="Y16" s="48">
        <f t="shared" si="7"/>
        <v>10</v>
      </c>
      <c r="Z16" s="43">
        <v>6</v>
      </c>
      <c r="AA16" s="47">
        <f t="shared" si="8"/>
        <v>4</v>
      </c>
      <c r="AB16" s="49">
        <v>1</v>
      </c>
      <c r="AC16" s="48">
        <f t="shared" si="9"/>
        <v>12</v>
      </c>
      <c r="AD16" s="43">
        <v>6</v>
      </c>
      <c r="AE16" s="47">
        <f t="shared" si="10"/>
        <v>6</v>
      </c>
      <c r="AF16" s="45"/>
      <c r="AG16" s="48">
        <f t="shared" si="11"/>
        <v>6</v>
      </c>
      <c r="AH16" s="43">
        <v>0</v>
      </c>
      <c r="AI16" s="47">
        <f t="shared" si="12"/>
        <v>6</v>
      </c>
      <c r="AJ16" s="45">
        <v>3</v>
      </c>
      <c r="AK16" s="48">
        <f t="shared" si="13"/>
        <v>18</v>
      </c>
      <c r="AL16" s="43">
        <v>18</v>
      </c>
      <c r="AM16" s="47">
        <f t="shared" si="14"/>
        <v>0</v>
      </c>
      <c r="AN16" s="45"/>
      <c r="AO16" s="48">
        <f t="shared" si="15"/>
        <v>18</v>
      </c>
      <c r="AP16" s="43">
        <v>13</v>
      </c>
      <c r="AQ16" s="47">
        <f t="shared" si="16"/>
        <v>5</v>
      </c>
      <c r="AR16" s="45"/>
      <c r="AS16" s="48">
        <f t="shared" si="17"/>
        <v>13</v>
      </c>
      <c r="AT16" s="43">
        <v>9</v>
      </c>
      <c r="AU16" s="47">
        <f t="shared" si="18"/>
        <v>4</v>
      </c>
      <c r="AV16" s="45"/>
      <c r="AW16" s="48">
        <f t="shared" si="19"/>
        <v>9</v>
      </c>
      <c r="AX16" s="43">
        <v>6</v>
      </c>
      <c r="AY16" s="47">
        <f t="shared" si="20"/>
        <v>3</v>
      </c>
      <c r="AZ16" s="45">
        <v>1</v>
      </c>
      <c r="BA16" s="48">
        <f t="shared" si="21"/>
        <v>12</v>
      </c>
      <c r="BB16" s="43">
        <v>7</v>
      </c>
      <c r="BC16" s="47">
        <f t="shared" si="22"/>
        <v>5</v>
      </c>
      <c r="BD16" s="45">
        <v>1</v>
      </c>
      <c r="BE16" s="48">
        <f t="shared" si="23"/>
        <v>13</v>
      </c>
      <c r="BF16" s="43">
        <v>9</v>
      </c>
      <c r="BG16" s="47">
        <f t="shared" si="24"/>
        <v>4</v>
      </c>
      <c r="BH16" s="45">
        <v>1</v>
      </c>
      <c r="BI16" s="48">
        <f t="shared" si="25"/>
        <v>15</v>
      </c>
      <c r="BJ16" s="43">
        <v>12</v>
      </c>
      <c r="BK16" s="47">
        <f t="shared" si="26"/>
        <v>3</v>
      </c>
      <c r="BL16" s="45">
        <v>1</v>
      </c>
      <c r="BM16" s="48">
        <f t="shared" si="27"/>
        <v>18</v>
      </c>
      <c r="BN16" s="43"/>
      <c r="BO16" s="47">
        <f t="shared" si="28"/>
        <v>18</v>
      </c>
      <c r="BP16" s="45"/>
      <c r="BQ16" s="48">
        <f t="shared" si="29"/>
        <v>0</v>
      </c>
      <c r="BR16" s="43"/>
      <c r="BS16" s="47">
        <f t="shared" si="30"/>
        <v>0</v>
      </c>
      <c r="BT16" s="45"/>
      <c r="BU16" s="48">
        <f t="shared" si="31"/>
        <v>0</v>
      </c>
      <c r="BV16" s="43"/>
      <c r="BW16" s="47">
        <f t="shared" si="32"/>
        <v>0</v>
      </c>
      <c r="BX16" s="45"/>
      <c r="BY16" s="48">
        <f t="shared" si="33"/>
        <v>0</v>
      </c>
      <c r="BZ16" s="43"/>
      <c r="CA16" s="47">
        <f t="shared" si="34"/>
        <v>0</v>
      </c>
      <c r="CB16" s="45"/>
      <c r="CC16" s="48">
        <f t="shared" si="35"/>
        <v>0</v>
      </c>
      <c r="CD16" s="43"/>
      <c r="CE16" s="47">
        <f t="shared" si="36"/>
        <v>0</v>
      </c>
      <c r="CF16" s="45"/>
      <c r="CG16" s="48">
        <f t="shared" si="37"/>
        <v>0</v>
      </c>
      <c r="CH16" s="43"/>
      <c r="CI16" s="47">
        <f t="shared" si="38"/>
        <v>0</v>
      </c>
      <c r="CJ16" s="45"/>
      <c r="CK16" s="48">
        <f t="shared" si="39"/>
        <v>0</v>
      </c>
    </row>
    <row r="17" spans="1:89" s="89" customFormat="1" ht="20.100000000000001" customHeight="1" x14ac:dyDescent="0.25">
      <c r="A17" s="19" t="s">
        <v>65</v>
      </c>
      <c r="B17" s="9" t="s">
        <v>7</v>
      </c>
      <c r="C17" s="17">
        <v>5</v>
      </c>
      <c r="D17" s="9" t="s">
        <v>358</v>
      </c>
      <c r="E17" s="13">
        <v>5</v>
      </c>
      <c r="F17" s="43">
        <v>10</v>
      </c>
      <c r="G17" s="47">
        <v>1.9000000000000004</v>
      </c>
      <c r="H17" s="45"/>
      <c r="I17" s="48">
        <f t="shared" si="0"/>
        <v>10</v>
      </c>
      <c r="J17" s="43">
        <v>7.3</v>
      </c>
      <c r="K17" s="47">
        <f t="shared" si="1"/>
        <v>2.7</v>
      </c>
      <c r="L17" s="45">
        <v>1</v>
      </c>
      <c r="M17" s="48">
        <f t="shared" si="2"/>
        <v>12.3</v>
      </c>
      <c r="N17" s="43">
        <v>9</v>
      </c>
      <c r="O17" s="47">
        <v>3.3000000000000007</v>
      </c>
      <c r="P17" s="45"/>
      <c r="Q17" s="48">
        <f t="shared" si="3"/>
        <v>9</v>
      </c>
      <c r="R17" s="43">
        <v>4.75</v>
      </c>
      <c r="S17" s="47">
        <f t="shared" si="4"/>
        <v>4.25</v>
      </c>
      <c r="T17" s="45">
        <v>1</v>
      </c>
      <c r="U17" s="48">
        <f t="shared" si="5"/>
        <v>9.75</v>
      </c>
      <c r="V17" s="43">
        <v>5</v>
      </c>
      <c r="W17" s="47">
        <f t="shared" si="6"/>
        <v>4.75</v>
      </c>
      <c r="X17" s="49">
        <v>1</v>
      </c>
      <c r="Y17" s="48">
        <f t="shared" si="7"/>
        <v>10</v>
      </c>
      <c r="Z17" s="43">
        <v>7</v>
      </c>
      <c r="AA17" s="47">
        <f t="shared" si="8"/>
        <v>3</v>
      </c>
      <c r="AB17" s="49">
        <v>1</v>
      </c>
      <c r="AC17" s="48">
        <f t="shared" si="9"/>
        <v>12</v>
      </c>
      <c r="AD17" s="43">
        <v>7</v>
      </c>
      <c r="AE17" s="47">
        <f t="shared" si="10"/>
        <v>5</v>
      </c>
      <c r="AF17" s="45">
        <v>1</v>
      </c>
      <c r="AG17" s="48">
        <f t="shared" si="11"/>
        <v>12</v>
      </c>
      <c r="AH17" s="43">
        <v>8</v>
      </c>
      <c r="AI17" s="47">
        <f t="shared" si="12"/>
        <v>4</v>
      </c>
      <c r="AJ17" s="45">
        <v>1</v>
      </c>
      <c r="AK17" s="48">
        <f t="shared" si="13"/>
        <v>13</v>
      </c>
      <c r="AL17" s="43">
        <v>9.3000000000000007</v>
      </c>
      <c r="AM17" s="47">
        <f t="shared" si="14"/>
        <v>3.6999999999999993</v>
      </c>
      <c r="AN17" s="45">
        <v>1</v>
      </c>
      <c r="AO17" s="48">
        <f t="shared" si="15"/>
        <v>14.3</v>
      </c>
      <c r="AP17" s="43">
        <v>9</v>
      </c>
      <c r="AQ17" s="47">
        <f t="shared" si="16"/>
        <v>5.3000000000000007</v>
      </c>
      <c r="AR17" s="45">
        <v>1</v>
      </c>
      <c r="AS17" s="48">
        <f t="shared" si="17"/>
        <v>14</v>
      </c>
      <c r="AT17" s="43">
        <v>7</v>
      </c>
      <c r="AU17" s="47">
        <f t="shared" si="18"/>
        <v>7</v>
      </c>
      <c r="AV17" s="45">
        <v>1</v>
      </c>
      <c r="AW17" s="48">
        <f t="shared" si="19"/>
        <v>12</v>
      </c>
      <c r="AX17" s="43">
        <v>8.1</v>
      </c>
      <c r="AY17" s="47">
        <f t="shared" si="20"/>
        <v>3.9000000000000004</v>
      </c>
      <c r="AZ17" s="45">
        <v>1</v>
      </c>
      <c r="BA17" s="48">
        <f t="shared" si="21"/>
        <v>13.1</v>
      </c>
      <c r="BB17" s="43">
        <v>10.8</v>
      </c>
      <c r="BC17" s="47">
        <f t="shared" si="22"/>
        <v>2.2999999999999989</v>
      </c>
      <c r="BD17" s="45"/>
      <c r="BE17" s="48">
        <f t="shared" si="23"/>
        <v>10.8</v>
      </c>
      <c r="BF17" s="43">
        <v>9</v>
      </c>
      <c r="BG17" s="47">
        <f t="shared" si="24"/>
        <v>1.8000000000000007</v>
      </c>
      <c r="BH17" s="45"/>
      <c r="BI17" s="48">
        <f t="shared" si="25"/>
        <v>9</v>
      </c>
      <c r="BJ17" s="43">
        <v>5</v>
      </c>
      <c r="BK17" s="47">
        <f t="shared" si="26"/>
        <v>4</v>
      </c>
      <c r="BL17" s="45">
        <v>1</v>
      </c>
      <c r="BM17" s="48">
        <f t="shared" si="27"/>
        <v>10</v>
      </c>
      <c r="BN17" s="43"/>
      <c r="BO17" s="47">
        <f t="shared" si="28"/>
        <v>10</v>
      </c>
      <c r="BP17" s="45"/>
      <c r="BQ17" s="48">
        <f t="shared" si="29"/>
        <v>0</v>
      </c>
      <c r="BR17" s="43"/>
      <c r="BS17" s="47">
        <f t="shared" si="30"/>
        <v>0</v>
      </c>
      <c r="BT17" s="45"/>
      <c r="BU17" s="48">
        <f t="shared" si="31"/>
        <v>0</v>
      </c>
      <c r="BV17" s="43"/>
      <c r="BW17" s="47">
        <f t="shared" si="32"/>
        <v>0</v>
      </c>
      <c r="BX17" s="45"/>
      <c r="BY17" s="48">
        <f t="shared" si="33"/>
        <v>0</v>
      </c>
      <c r="BZ17" s="43"/>
      <c r="CA17" s="47">
        <f t="shared" si="34"/>
        <v>0</v>
      </c>
      <c r="CB17" s="45"/>
      <c r="CC17" s="48">
        <f t="shared" si="35"/>
        <v>0</v>
      </c>
      <c r="CD17" s="43"/>
      <c r="CE17" s="47">
        <f t="shared" si="36"/>
        <v>0</v>
      </c>
      <c r="CF17" s="45"/>
      <c r="CG17" s="48">
        <f t="shared" si="37"/>
        <v>0</v>
      </c>
      <c r="CH17" s="43"/>
      <c r="CI17" s="47">
        <f t="shared" si="38"/>
        <v>0</v>
      </c>
      <c r="CJ17" s="45"/>
      <c r="CK17" s="48">
        <f t="shared" si="39"/>
        <v>0</v>
      </c>
    </row>
    <row r="18" spans="1:89" s="89" customFormat="1" ht="20.100000000000001" hidden="1" customHeight="1" x14ac:dyDescent="0.25">
      <c r="A18" s="19" t="s">
        <v>66</v>
      </c>
      <c r="B18" s="9" t="s">
        <v>7</v>
      </c>
      <c r="C18" s="17">
        <v>3.2</v>
      </c>
      <c r="D18" s="9" t="s">
        <v>358</v>
      </c>
      <c r="E18" s="13">
        <v>8</v>
      </c>
      <c r="F18" s="43">
        <v>11</v>
      </c>
      <c r="G18" s="47">
        <v>0</v>
      </c>
      <c r="H18" s="45"/>
      <c r="I18" s="48">
        <f t="shared" si="0"/>
        <v>11</v>
      </c>
      <c r="J18" s="43">
        <v>7.3</v>
      </c>
      <c r="K18" s="47">
        <f t="shared" si="1"/>
        <v>3.7</v>
      </c>
      <c r="L18" s="45"/>
      <c r="M18" s="48">
        <f t="shared" si="2"/>
        <v>7.3</v>
      </c>
      <c r="N18" s="43">
        <v>10</v>
      </c>
      <c r="O18" s="47">
        <v>-2.7</v>
      </c>
      <c r="P18" s="45"/>
      <c r="Q18" s="48">
        <f t="shared" si="3"/>
        <v>10</v>
      </c>
      <c r="R18" s="43">
        <v>10</v>
      </c>
      <c r="S18" s="47">
        <f t="shared" si="4"/>
        <v>0</v>
      </c>
      <c r="T18" s="45"/>
      <c r="U18" s="48">
        <f t="shared" si="5"/>
        <v>10</v>
      </c>
      <c r="V18" s="43">
        <v>9</v>
      </c>
      <c r="W18" s="47">
        <f t="shared" si="6"/>
        <v>1</v>
      </c>
      <c r="X18" s="45"/>
      <c r="Y18" s="48">
        <f t="shared" si="7"/>
        <v>9</v>
      </c>
      <c r="Z18" s="43">
        <v>8</v>
      </c>
      <c r="AA18" s="47">
        <f t="shared" si="8"/>
        <v>1</v>
      </c>
      <c r="AB18" s="45"/>
      <c r="AC18" s="48">
        <f t="shared" si="9"/>
        <v>8</v>
      </c>
      <c r="AD18" s="43">
        <v>8</v>
      </c>
      <c r="AE18" s="47">
        <f t="shared" si="10"/>
        <v>0</v>
      </c>
      <c r="AF18" s="45"/>
      <c r="AG18" s="48">
        <f t="shared" si="11"/>
        <v>8</v>
      </c>
      <c r="AH18" s="43">
        <v>7</v>
      </c>
      <c r="AI18" s="47">
        <f t="shared" si="12"/>
        <v>1</v>
      </c>
      <c r="AJ18" s="45"/>
      <c r="AK18" s="48">
        <f t="shared" si="13"/>
        <v>7</v>
      </c>
      <c r="AL18" s="43">
        <v>6</v>
      </c>
      <c r="AM18" s="47">
        <f t="shared" si="14"/>
        <v>1</v>
      </c>
      <c r="AN18" s="45"/>
      <c r="AO18" s="48">
        <f t="shared" si="15"/>
        <v>6</v>
      </c>
      <c r="AP18" s="43">
        <v>6</v>
      </c>
      <c r="AQ18" s="47">
        <f t="shared" si="16"/>
        <v>0</v>
      </c>
      <c r="AR18" s="45"/>
      <c r="AS18" s="48">
        <f t="shared" si="17"/>
        <v>6</v>
      </c>
      <c r="AT18" s="43">
        <v>4</v>
      </c>
      <c r="AU18" s="47">
        <f t="shared" si="18"/>
        <v>2</v>
      </c>
      <c r="AV18" s="45"/>
      <c r="AW18" s="48">
        <f t="shared" si="19"/>
        <v>4</v>
      </c>
      <c r="AX18" s="43">
        <v>3</v>
      </c>
      <c r="AY18" s="47">
        <f t="shared" si="20"/>
        <v>1</v>
      </c>
      <c r="AZ18" s="45">
        <v>1</v>
      </c>
      <c r="BA18" s="48">
        <f t="shared" si="21"/>
        <v>11</v>
      </c>
      <c r="BB18" s="43">
        <v>11</v>
      </c>
      <c r="BC18" s="47">
        <f t="shared" si="22"/>
        <v>0</v>
      </c>
      <c r="BD18" s="45"/>
      <c r="BE18" s="48">
        <f t="shared" si="23"/>
        <v>11</v>
      </c>
      <c r="BF18" s="43">
        <v>11</v>
      </c>
      <c r="BG18" s="47">
        <f t="shared" si="24"/>
        <v>0</v>
      </c>
      <c r="BH18" s="45"/>
      <c r="BI18" s="48">
        <f t="shared" si="25"/>
        <v>11</v>
      </c>
      <c r="BJ18" s="43">
        <v>10</v>
      </c>
      <c r="BK18" s="47">
        <f t="shared" si="26"/>
        <v>1</v>
      </c>
      <c r="BL18" s="45"/>
      <c r="BM18" s="48">
        <f t="shared" si="27"/>
        <v>10</v>
      </c>
      <c r="BN18" s="43"/>
      <c r="BO18" s="47">
        <f t="shared" si="28"/>
        <v>10</v>
      </c>
      <c r="BP18" s="45"/>
      <c r="BQ18" s="48">
        <f t="shared" si="29"/>
        <v>0</v>
      </c>
      <c r="BR18" s="43"/>
      <c r="BS18" s="47">
        <f t="shared" si="30"/>
        <v>0</v>
      </c>
      <c r="BT18" s="45"/>
      <c r="BU18" s="48">
        <f t="shared" si="31"/>
        <v>0</v>
      </c>
      <c r="BV18" s="43"/>
      <c r="BW18" s="47">
        <f t="shared" si="32"/>
        <v>0</v>
      </c>
      <c r="BX18" s="45"/>
      <c r="BY18" s="48">
        <f t="shared" si="33"/>
        <v>0</v>
      </c>
      <c r="BZ18" s="43"/>
      <c r="CA18" s="47">
        <f t="shared" si="34"/>
        <v>0</v>
      </c>
      <c r="CB18" s="45"/>
      <c r="CC18" s="48">
        <f t="shared" si="35"/>
        <v>0</v>
      </c>
      <c r="CD18" s="43"/>
      <c r="CE18" s="47">
        <f t="shared" si="36"/>
        <v>0</v>
      </c>
      <c r="CF18" s="45"/>
      <c r="CG18" s="48">
        <f t="shared" si="37"/>
        <v>0</v>
      </c>
      <c r="CH18" s="43"/>
      <c r="CI18" s="47">
        <f t="shared" si="38"/>
        <v>0</v>
      </c>
      <c r="CJ18" s="45"/>
      <c r="CK18" s="48">
        <f t="shared" si="39"/>
        <v>0</v>
      </c>
    </row>
    <row r="19" spans="1:89" s="89" customFormat="1" ht="20.100000000000001" customHeight="1" x14ac:dyDescent="0.25">
      <c r="A19" s="152" t="s">
        <v>67</v>
      </c>
      <c r="B19" s="9" t="s">
        <v>7</v>
      </c>
      <c r="C19" s="17">
        <v>5</v>
      </c>
      <c r="D19" s="9" t="s">
        <v>358</v>
      </c>
      <c r="E19" s="13">
        <v>5</v>
      </c>
      <c r="F19" s="43">
        <v>13</v>
      </c>
      <c r="G19" s="47">
        <v>3</v>
      </c>
      <c r="H19" s="45"/>
      <c r="I19" s="48">
        <f t="shared" si="0"/>
        <v>13</v>
      </c>
      <c r="J19" s="43">
        <v>7.3</v>
      </c>
      <c r="K19" s="47">
        <f t="shared" si="1"/>
        <v>5.7</v>
      </c>
      <c r="L19" s="45"/>
      <c r="M19" s="48">
        <f t="shared" si="2"/>
        <v>7.3</v>
      </c>
      <c r="N19" s="43">
        <v>6</v>
      </c>
      <c r="O19" s="47">
        <v>1.2999999999999998</v>
      </c>
      <c r="P19" s="45">
        <v>1</v>
      </c>
      <c r="Q19" s="48">
        <f t="shared" si="3"/>
        <v>11</v>
      </c>
      <c r="R19" s="43">
        <v>8</v>
      </c>
      <c r="S19" s="47">
        <f t="shared" si="4"/>
        <v>3</v>
      </c>
      <c r="T19" s="45"/>
      <c r="U19" s="48">
        <f t="shared" si="5"/>
        <v>8</v>
      </c>
      <c r="V19" s="43">
        <v>3</v>
      </c>
      <c r="W19" s="47">
        <f t="shared" si="6"/>
        <v>5</v>
      </c>
      <c r="X19" s="49">
        <v>2</v>
      </c>
      <c r="Y19" s="48">
        <f t="shared" si="7"/>
        <v>13</v>
      </c>
      <c r="Z19" s="43">
        <v>8</v>
      </c>
      <c r="AA19" s="47">
        <f t="shared" si="8"/>
        <v>5</v>
      </c>
      <c r="AB19" s="49">
        <v>1</v>
      </c>
      <c r="AC19" s="48">
        <f t="shared" si="9"/>
        <v>13</v>
      </c>
      <c r="AD19" s="43">
        <v>7</v>
      </c>
      <c r="AE19" s="47">
        <f t="shared" si="10"/>
        <v>6</v>
      </c>
      <c r="AF19" s="45">
        <v>1</v>
      </c>
      <c r="AG19" s="48">
        <f t="shared" si="11"/>
        <v>12</v>
      </c>
      <c r="AH19" s="43">
        <v>1</v>
      </c>
      <c r="AI19" s="47">
        <f t="shared" si="12"/>
        <v>11</v>
      </c>
      <c r="AJ19" s="45">
        <v>2</v>
      </c>
      <c r="AK19" s="48">
        <f t="shared" si="13"/>
        <v>11</v>
      </c>
      <c r="AL19" s="43">
        <v>10</v>
      </c>
      <c r="AM19" s="47">
        <f t="shared" si="14"/>
        <v>1</v>
      </c>
      <c r="AN19" s="45">
        <v>1</v>
      </c>
      <c r="AO19" s="48">
        <f t="shared" si="15"/>
        <v>15</v>
      </c>
      <c r="AP19" s="43">
        <v>4</v>
      </c>
      <c r="AQ19" s="47">
        <f t="shared" si="16"/>
        <v>11</v>
      </c>
      <c r="AR19" s="45">
        <v>2</v>
      </c>
      <c r="AS19" s="48">
        <f t="shared" si="17"/>
        <v>14</v>
      </c>
      <c r="AT19" s="43">
        <v>8</v>
      </c>
      <c r="AU19" s="47">
        <f t="shared" si="18"/>
        <v>6</v>
      </c>
      <c r="AV19" s="45">
        <v>1</v>
      </c>
      <c r="AW19" s="48">
        <f t="shared" si="19"/>
        <v>13</v>
      </c>
      <c r="AX19" s="43">
        <v>3</v>
      </c>
      <c r="AY19" s="47">
        <f t="shared" si="20"/>
        <v>10</v>
      </c>
      <c r="AZ19" s="45">
        <v>2</v>
      </c>
      <c r="BA19" s="48">
        <f t="shared" si="21"/>
        <v>13</v>
      </c>
      <c r="BB19" s="43">
        <v>10</v>
      </c>
      <c r="BC19" s="47">
        <f t="shared" si="22"/>
        <v>3</v>
      </c>
      <c r="BD19" s="45">
        <v>1</v>
      </c>
      <c r="BE19" s="48">
        <f t="shared" si="23"/>
        <v>15</v>
      </c>
      <c r="BF19" s="43">
        <v>11</v>
      </c>
      <c r="BG19" s="47">
        <f t="shared" si="24"/>
        <v>4</v>
      </c>
      <c r="BH19" s="45"/>
      <c r="BI19" s="48">
        <f t="shared" si="25"/>
        <v>11</v>
      </c>
      <c r="BJ19" s="43">
        <v>7</v>
      </c>
      <c r="BK19" s="47">
        <f t="shared" si="26"/>
        <v>4</v>
      </c>
      <c r="BL19" s="45">
        <v>1</v>
      </c>
      <c r="BM19" s="48">
        <f t="shared" si="27"/>
        <v>12</v>
      </c>
      <c r="BN19" s="43"/>
      <c r="BO19" s="47">
        <f t="shared" si="28"/>
        <v>12</v>
      </c>
      <c r="BP19" s="45"/>
      <c r="BQ19" s="48">
        <f t="shared" si="29"/>
        <v>0</v>
      </c>
      <c r="BR19" s="43"/>
      <c r="BS19" s="47">
        <f t="shared" si="30"/>
        <v>0</v>
      </c>
      <c r="BT19" s="45"/>
      <c r="BU19" s="48">
        <f t="shared" si="31"/>
        <v>0</v>
      </c>
      <c r="BV19" s="43"/>
      <c r="BW19" s="47">
        <f t="shared" si="32"/>
        <v>0</v>
      </c>
      <c r="BX19" s="45"/>
      <c r="BY19" s="48">
        <f t="shared" si="33"/>
        <v>0</v>
      </c>
      <c r="BZ19" s="43"/>
      <c r="CA19" s="47">
        <f t="shared" si="34"/>
        <v>0</v>
      </c>
      <c r="CB19" s="45"/>
      <c r="CC19" s="48">
        <f t="shared" si="35"/>
        <v>0</v>
      </c>
      <c r="CD19" s="43"/>
      <c r="CE19" s="47">
        <f t="shared" si="36"/>
        <v>0</v>
      </c>
      <c r="CF19" s="45"/>
      <c r="CG19" s="48">
        <f t="shared" si="37"/>
        <v>0</v>
      </c>
      <c r="CH19" s="43"/>
      <c r="CI19" s="47">
        <f t="shared" si="38"/>
        <v>0</v>
      </c>
      <c r="CJ19" s="45"/>
      <c r="CK19" s="48">
        <f t="shared" si="39"/>
        <v>0</v>
      </c>
    </row>
    <row r="20" spans="1:89" s="89" customFormat="1" ht="20.100000000000001" customHeight="1" x14ac:dyDescent="0.25">
      <c r="A20" s="152" t="s">
        <v>68</v>
      </c>
      <c r="B20" s="9" t="s">
        <v>7</v>
      </c>
      <c r="C20" s="17">
        <v>4</v>
      </c>
      <c r="D20" s="9" t="s">
        <v>8</v>
      </c>
      <c r="E20" s="13">
        <v>4</v>
      </c>
      <c r="F20" s="43">
        <v>17.2</v>
      </c>
      <c r="G20" s="47">
        <v>3.8000000000000007</v>
      </c>
      <c r="H20" s="45">
        <v>1</v>
      </c>
      <c r="I20" s="48">
        <f t="shared" si="0"/>
        <v>21.2</v>
      </c>
      <c r="J20" s="43">
        <v>7.3</v>
      </c>
      <c r="K20" s="47">
        <f t="shared" si="1"/>
        <v>13.899999999999999</v>
      </c>
      <c r="L20" s="45">
        <v>1</v>
      </c>
      <c r="M20" s="48">
        <f t="shared" si="2"/>
        <v>11.3</v>
      </c>
      <c r="N20" s="43">
        <v>7</v>
      </c>
      <c r="O20" s="47">
        <v>4.3000000000000007</v>
      </c>
      <c r="P20" s="45">
        <v>2</v>
      </c>
      <c r="Q20" s="48">
        <f t="shared" si="3"/>
        <v>15</v>
      </c>
      <c r="R20" s="43">
        <v>7.4649999999999999</v>
      </c>
      <c r="S20" s="47">
        <f t="shared" si="4"/>
        <v>7.5350000000000001</v>
      </c>
      <c r="T20" s="45">
        <v>3</v>
      </c>
      <c r="U20" s="48">
        <f t="shared" si="5"/>
        <v>19.465</v>
      </c>
      <c r="V20" s="43">
        <v>12</v>
      </c>
      <c r="W20" s="47">
        <f t="shared" si="6"/>
        <v>7.4649999999999999</v>
      </c>
      <c r="X20" s="49">
        <v>2</v>
      </c>
      <c r="Y20" s="48">
        <f t="shared" si="7"/>
        <v>20</v>
      </c>
      <c r="Z20" s="43">
        <v>12</v>
      </c>
      <c r="AA20" s="47">
        <f t="shared" si="8"/>
        <v>8</v>
      </c>
      <c r="AB20" s="49">
        <v>2</v>
      </c>
      <c r="AC20" s="48">
        <f t="shared" si="9"/>
        <v>20</v>
      </c>
      <c r="AD20" s="43">
        <v>12</v>
      </c>
      <c r="AE20" s="47">
        <f t="shared" si="10"/>
        <v>8</v>
      </c>
      <c r="AF20" s="45">
        <v>2</v>
      </c>
      <c r="AG20" s="48">
        <f t="shared" si="11"/>
        <v>20</v>
      </c>
      <c r="AH20" s="43">
        <v>9.5</v>
      </c>
      <c r="AI20" s="47">
        <f t="shared" si="12"/>
        <v>10.5</v>
      </c>
      <c r="AJ20" s="45">
        <v>2</v>
      </c>
      <c r="AK20" s="48">
        <f t="shared" si="13"/>
        <v>17.5</v>
      </c>
      <c r="AL20" s="43">
        <v>5.9</v>
      </c>
      <c r="AM20" s="47">
        <f t="shared" si="14"/>
        <v>11.6</v>
      </c>
      <c r="AN20" s="45">
        <v>3</v>
      </c>
      <c r="AO20" s="48">
        <f t="shared" si="15"/>
        <v>17.899999999999999</v>
      </c>
      <c r="AP20" s="43">
        <v>6.5</v>
      </c>
      <c r="AQ20" s="47">
        <f t="shared" si="16"/>
        <v>11.399999999999999</v>
      </c>
      <c r="AR20" s="45">
        <v>3</v>
      </c>
      <c r="AS20" s="48">
        <f t="shared" si="17"/>
        <v>18.5</v>
      </c>
      <c r="AT20" s="43">
        <v>8</v>
      </c>
      <c r="AU20" s="47">
        <f t="shared" si="18"/>
        <v>10.5</v>
      </c>
      <c r="AV20" s="45">
        <v>2</v>
      </c>
      <c r="AW20" s="48">
        <f t="shared" si="19"/>
        <v>16</v>
      </c>
      <c r="AX20" s="43">
        <v>5</v>
      </c>
      <c r="AY20" s="47">
        <f t="shared" si="20"/>
        <v>11</v>
      </c>
      <c r="AZ20" s="45">
        <v>3</v>
      </c>
      <c r="BA20" s="48">
        <f t="shared" si="21"/>
        <v>17</v>
      </c>
      <c r="BB20" s="43">
        <v>9.5</v>
      </c>
      <c r="BC20" s="47">
        <f t="shared" si="22"/>
        <v>7.5</v>
      </c>
      <c r="BD20" s="45">
        <v>3</v>
      </c>
      <c r="BE20" s="48">
        <f t="shared" si="23"/>
        <v>21.5</v>
      </c>
      <c r="BF20" s="43">
        <v>14.1</v>
      </c>
      <c r="BG20" s="47">
        <f t="shared" si="24"/>
        <v>7.4</v>
      </c>
      <c r="BH20" s="45">
        <v>2</v>
      </c>
      <c r="BI20" s="48">
        <f t="shared" si="25"/>
        <v>22.1</v>
      </c>
      <c r="BJ20" s="43">
        <v>12.3</v>
      </c>
      <c r="BK20" s="47">
        <f t="shared" si="26"/>
        <v>9.8000000000000007</v>
      </c>
      <c r="BL20" s="45">
        <v>1</v>
      </c>
      <c r="BM20" s="48">
        <f t="shared" si="27"/>
        <v>16.3</v>
      </c>
      <c r="BN20" s="43"/>
      <c r="BO20" s="47">
        <f t="shared" si="28"/>
        <v>16.3</v>
      </c>
      <c r="BP20" s="45"/>
      <c r="BQ20" s="48">
        <f t="shared" si="29"/>
        <v>0</v>
      </c>
      <c r="BR20" s="43"/>
      <c r="BS20" s="47">
        <f t="shared" si="30"/>
        <v>0</v>
      </c>
      <c r="BT20" s="45"/>
      <c r="BU20" s="48">
        <f t="shared" si="31"/>
        <v>0</v>
      </c>
      <c r="BV20" s="43"/>
      <c r="BW20" s="47">
        <f t="shared" si="32"/>
        <v>0</v>
      </c>
      <c r="BX20" s="45"/>
      <c r="BY20" s="48">
        <f t="shared" si="33"/>
        <v>0</v>
      </c>
      <c r="BZ20" s="43"/>
      <c r="CA20" s="47">
        <f t="shared" si="34"/>
        <v>0</v>
      </c>
      <c r="CB20" s="45"/>
      <c r="CC20" s="48">
        <f t="shared" si="35"/>
        <v>0</v>
      </c>
      <c r="CD20" s="43"/>
      <c r="CE20" s="47">
        <f t="shared" si="36"/>
        <v>0</v>
      </c>
      <c r="CF20" s="45"/>
      <c r="CG20" s="48">
        <f t="shared" si="37"/>
        <v>0</v>
      </c>
      <c r="CH20" s="43"/>
      <c r="CI20" s="47">
        <f t="shared" si="38"/>
        <v>0</v>
      </c>
      <c r="CJ20" s="45"/>
      <c r="CK20" s="48">
        <f t="shared" si="39"/>
        <v>0</v>
      </c>
    </row>
    <row r="21" spans="1:89" s="89" customFormat="1" ht="20.100000000000001" hidden="1" customHeight="1" x14ac:dyDescent="0.25">
      <c r="A21" s="152" t="s">
        <v>69</v>
      </c>
      <c r="B21" s="9" t="s">
        <v>7</v>
      </c>
      <c r="C21" s="17">
        <v>5</v>
      </c>
      <c r="D21" s="9" t="s">
        <v>8</v>
      </c>
      <c r="E21" s="13">
        <v>5</v>
      </c>
      <c r="F21" s="43">
        <v>10</v>
      </c>
      <c r="G21" s="47">
        <v>11</v>
      </c>
      <c r="H21" s="45">
        <v>2</v>
      </c>
      <c r="I21" s="48">
        <f t="shared" si="0"/>
        <v>20</v>
      </c>
      <c r="J21" s="43">
        <v>7.3</v>
      </c>
      <c r="K21" s="47">
        <f t="shared" si="1"/>
        <v>12.7</v>
      </c>
      <c r="L21" s="45">
        <v>2</v>
      </c>
      <c r="M21" s="48">
        <f t="shared" si="2"/>
        <v>17.3</v>
      </c>
      <c r="N21" s="43">
        <v>13.385999999999999</v>
      </c>
      <c r="O21" s="47">
        <v>3.9140000000000015</v>
      </c>
      <c r="P21" s="45">
        <v>1</v>
      </c>
      <c r="Q21" s="48">
        <f t="shared" si="3"/>
        <v>18.385999999999999</v>
      </c>
      <c r="R21" s="43">
        <v>10.48</v>
      </c>
      <c r="S21" s="47">
        <f t="shared" si="4"/>
        <v>7.9059999999999988</v>
      </c>
      <c r="T21" s="45">
        <v>2</v>
      </c>
      <c r="U21" s="48">
        <f t="shared" si="5"/>
        <v>20.48</v>
      </c>
      <c r="V21" s="43">
        <v>12.1</v>
      </c>
      <c r="W21" s="47">
        <f t="shared" si="6"/>
        <v>8.3800000000000008</v>
      </c>
      <c r="X21" s="49">
        <v>2</v>
      </c>
      <c r="Y21" s="48">
        <f t="shared" si="7"/>
        <v>22.1</v>
      </c>
      <c r="Z21" s="43">
        <v>13</v>
      </c>
      <c r="AA21" s="47">
        <f t="shared" si="8"/>
        <v>9.1000000000000014</v>
      </c>
      <c r="AB21" s="49">
        <v>2</v>
      </c>
      <c r="AC21" s="48">
        <f t="shared" si="9"/>
        <v>23</v>
      </c>
      <c r="AD21" s="43">
        <v>12</v>
      </c>
      <c r="AE21" s="47">
        <f t="shared" si="10"/>
        <v>11</v>
      </c>
      <c r="AF21" s="45">
        <v>2</v>
      </c>
      <c r="AG21" s="48">
        <f t="shared" si="11"/>
        <v>22</v>
      </c>
      <c r="AH21" s="43">
        <v>14</v>
      </c>
      <c r="AI21" s="47">
        <f t="shared" si="12"/>
        <v>8</v>
      </c>
      <c r="AJ21" s="45">
        <v>1</v>
      </c>
      <c r="AK21" s="48">
        <f t="shared" si="13"/>
        <v>19</v>
      </c>
      <c r="AL21" s="43">
        <v>8</v>
      </c>
      <c r="AM21" s="47">
        <f t="shared" si="14"/>
        <v>11</v>
      </c>
      <c r="AN21" s="45">
        <v>3</v>
      </c>
      <c r="AO21" s="48">
        <f t="shared" si="15"/>
        <v>23</v>
      </c>
      <c r="AP21" s="43">
        <v>14.5</v>
      </c>
      <c r="AQ21" s="47">
        <f t="shared" si="16"/>
        <v>8.5</v>
      </c>
      <c r="AR21" s="45">
        <v>1</v>
      </c>
      <c r="AS21" s="48">
        <f t="shared" si="17"/>
        <v>19.5</v>
      </c>
      <c r="AT21" s="43">
        <v>11</v>
      </c>
      <c r="AU21" s="47">
        <f t="shared" si="18"/>
        <v>8.5</v>
      </c>
      <c r="AV21" s="45">
        <v>1</v>
      </c>
      <c r="AW21" s="48">
        <f t="shared" si="19"/>
        <v>16</v>
      </c>
      <c r="AX21" s="43">
        <v>6</v>
      </c>
      <c r="AY21" s="47">
        <f t="shared" si="20"/>
        <v>10</v>
      </c>
      <c r="AZ21" s="45">
        <v>2</v>
      </c>
      <c r="BA21" s="48">
        <f t="shared" si="21"/>
        <v>16</v>
      </c>
      <c r="BB21" s="43">
        <v>5</v>
      </c>
      <c r="BC21" s="47">
        <f t="shared" si="22"/>
        <v>11</v>
      </c>
      <c r="BD21" s="45">
        <v>4</v>
      </c>
      <c r="BE21" s="48">
        <f t="shared" si="23"/>
        <v>25</v>
      </c>
      <c r="BF21" s="43">
        <v>18.3</v>
      </c>
      <c r="BG21" s="47">
        <f t="shared" si="24"/>
        <v>6.6999999999999993</v>
      </c>
      <c r="BH21" s="45">
        <v>2</v>
      </c>
      <c r="BI21" s="48">
        <f t="shared" si="25"/>
        <v>28.3</v>
      </c>
      <c r="BJ21" s="43">
        <v>18.600000000000001</v>
      </c>
      <c r="BK21" s="47">
        <f t="shared" si="26"/>
        <v>9.6999999999999993</v>
      </c>
      <c r="BL21" s="45"/>
      <c r="BM21" s="48">
        <f t="shared" si="27"/>
        <v>18.600000000000001</v>
      </c>
      <c r="BN21" s="43"/>
      <c r="BO21" s="47">
        <f t="shared" si="28"/>
        <v>18.600000000000001</v>
      </c>
      <c r="BP21" s="45"/>
      <c r="BQ21" s="48">
        <f t="shared" si="29"/>
        <v>0</v>
      </c>
      <c r="BR21" s="43"/>
      <c r="BS21" s="47">
        <f t="shared" si="30"/>
        <v>0</v>
      </c>
      <c r="BT21" s="45"/>
      <c r="BU21" s="48">
        <f t="shared" si="31"/>
        <v>0</v>
      </c>
      <c r="BV21" s="43"/>
      <c r="BW21" s="47">
        <f t="shared" si="32"/>
        <v>0</v>
      </c>
      <c r="BX21" s="45"/>
      <c r="BY21" s="48">
        <f t="shared" si="33"/>
        <v>0</v>
      </c>
      <c r="BZ21" s="43"/>
      <c r="CA21" s="47">
        <f t="shared" si="34"/>
        <v>0</v>
      </c>
      <c r="CB21" s="45"/>
      <c r="CC21" s="48">
        <f t="shared" si="35"/>
        <v>0</v>
      </c>
      <c r="CD21" s="43"/>
      <c r="CE21" s="47">
        <f t="shared" si="36"/>
        <v>0</v>
      </c>
      <c r="CF21" s="45"/>
      <c r="CG21" s="48">
        <f t="shared" si="37"/>
        <v>0</v>
      </c>
      <c r="CH21" s="43"/>
      <c r="CI21" s="47">
        <f t="shared" si="38"/>
        <v>0</v>
      </c>
      <c r="CJ21" s="45"/>
      <c r="CK21" s="48">
        <f t="shared" si="39"/>
        <v>0</v>
      </c>
    </row>
    <row r="22" spans="1:89" s="89" customFormat="1" ht="20.100000000000001" customHeight="1" x14ac:dyDescent="0.25">
      <c r="A22" s="152" t="s">
        <v>239</v>
      </c>
      <c r="B22" s="9" t="s">
        <v>9</v>
      </c>
      <c r="C22" s="17">
        <v>1</v>
      </c>
      <c r="D22" s="9" t="s">
        <v>9</v>
      </c>
      <c r="E22" s="13">
        <v>3</v>
      </c>
      <c r="F22" s="43">
        <v>8</v>
      </c>
      <c r="G22" s="47">
        <v>2</v>
      </c>
      <c r="H22" s="45"/>
      <c r="I22" s="48">
        <f>+F22+H22*$E22</f>
        <v>8</v>
      </c>
      <c r="J22" s="43">
        <v>7.3</v>
      </c>
      <c r="K22" s="47">
        <f>+I22-J22</f>
        <v>0.70000000000000018</v>
      </c>
      <c r="L22" s="45">
        <v>1</v>
      </c>
      <c r="M22" s="48">
        <f>+J22+L22*$E22</f>
        <v>10.3</v>
      </c>
      <c r="N22" s="43">
        <v>7</v>
      </c>
      <c r="O22" s="47">
        <v>3.3000000000000007</v>
      </c>
      <c r="P22" s="45"/>
      <c r="Q22" s="48">
        <f>+N22+P22*$E22</f>
        <v>7</v>
      </c>
      <c r="R22" s="43">
        <v>4</v>
      </c>
      <c r="S22" s="47">
        <f>+Q22-R22</f>
        <v>3</v>
      </c>
      <c r="T22" s="45">
        <v>1</v>
      </c>
      <c r="U22" s="48">
        <f>+R22+T22*$E22</f>
        <v>7</v>
      </c>
      <c r="V22" s="43">
        <v>4</v>
      </c>
      <c r="W22" s="47">
        <f>+U22-V22</f>
        <v>3</v>
      </c>
      <c r="X22" s="49">
        <v>1</v>
      </c>
      <c r="Y22" s="48">
        <f>+V22+X22*$E22</f>
        <v>7</v>
      </c>
      <c r="Z22" s="43">
        <v>5</v>
      </c>
      <c r="AA22" s="47">
        <f t="shared" si="8"/>
        <v>2</v>
      </c>
      <c r="AB22" s="49">
        <v>1</v>
      </c>
      <c r="AC22" s="48">
        <f>+Z22+AB22*$E22</f>
        <v>8</v>
      </c>
      <c r="AD22" s="43">
        <v>5</v>
      </c>
      <c r="AE22" s="47">
        <f>+AC22-AD22</f>
        <v>3</v>
      </c>
      <c r="AF22" s="45">
        <v>1</v>
      </c>
      <c r="AG22" s="48">
        <f>+AD22+AF22*$E22</f>
        <v>8</v>
      </c>
      <c r="AH22" s="43">
        <v>6</v>
      </c>
      <c r="AI22" s="47">
        <f t="shared" si="12"/>
        <v>2</v>
      </c>
      <c r="AJ22" s="45"/>
      <c r="AK22" s="48">
        <f>+AH22+AJ22*$E22</f>
        <v>6</v>
      </c>
      <c r="AL22" s="43">
        <v>3</v>
      </c>
      <c r="AM22" s="47">
        <f>+AK22-AL22</f>
        <v>3</v>
      </c>
      <c r="AN22" s="45">
        <v>1</v>
      </c>
      <c r="AO22" s="48">
        <f>+AL22+AN22*$E22</f>
        <v>6</v>
      </c>
      <c r="AP22" s="43">
        <v>3</v>
      </c>
      <c r="AQ22" s="47">
        <f t="shared" si="16"/>
        <v>3</v>
      </c>
      <c r="AR22" s="45">
        <v>1</v>
      </c>
      <c r="AS22" s="48">
        <f>+AP22+AR22*$E22</f>
        <v>6</v>
      </c>
      <c r="AT22" s="43">
        <v>3</v>
      </c>
      <c r="AU22" s="47">
        <f>+AS22-AT22</f>
        <v>3</v>
      </c>
      <c r="AV22" s="45">
        <v>1</v>
      </c>
      <c r="AW22" s="48">
        <f>+AT22+AV22*$E22</f>
        <v>6</v>
      </c>
      <c r="AX22" s="43">
        <v>4</v>
      </c>
      <c r="AY22" s="47">
        <f>+AW22-AX22</f>
        <v>2</v>
      </c>
      <c r="AZ22" s="45">
        <v>1</v>
      </c>
      <c r="BA22" s="48">
        <f>+AX22+AZ22*$E22</f>
        <v>7</v>
      </c>
      <c r="BB22" s="43">
        <v>5</v>
      </c>
      <c r="BC22" s="47">
        <f>+BA22-BB22</f>
        <v>2</v>
      </c>
      <c r="BD22" s="45">
        <v>1</v>
      </c>
      <c r="BE22" s="48">
        <f>+BB22+BD22*$E22</f>
        <v>8</v>
      </c>
      <c r="BF22" s="43">
        <v>6</v>
      </c>
      <c r="BG22" s="47">
        <f>+BE22-BF22</f>
        <v>2</v>
      </c>
      <c r="BH22" s="45">
        <v>2</v>
      </c>
      <c r="BI22" s="48">
        <f>+BF22+BH22*$E22</f>
        <v>12</v>
      </c>
      <c r="BJ22" s="43">
        <v>4</v>
      </c>
      <c r="BK22" s="47">
        <f>+BI22-BJ22</f>
        <v>8</v>
      </c>
      <c r="BL22" s="45">
        <v>2</v>
      </c>
      <c r="BM22" s="48">
        <f>+BJ22+BL22*$E22</f>
        <v>10</v>
      </c>
      <c r="BN22" s="43"/>
      <c r="BO22" s="47">
        <f>+BM22-BN22</f>
        <v>10</v>
      </c>
      <c r="BP22" s="45"/>
      <c r="BQ22" s="48">
        <f>+BN22+BP22*$E22</f>
        <v>0</v>
      </c>
      <c r="BR22" s="43"/>
      <c r="BS22" s="47">
        <f>+BQ22-BR22</f>
        <v>0</v>
      </c>
      <c r="BT22" s="45"/>
      <c r="BU22" s="48">
        <f>+BR22+BT22*$E22</f>
        <v>0</v>
      </c>
      <c r="BV22" s="43"/>
      <c r="BW22" s="47">
        <f>+BU22-BV22</f>
        <v>0</v>
      </c>
      <c r="BX22" s="45"/>
      <c r="BY22" s="48">
        <f>+BV22+BX22*$E22</f>
        <v>0</v>
      </c>
      <c r="BZ22" s="43"/>
      <c r="CA22" s="47">
        <f>+BY22-BZ22</f>
        <v>0</v>
      </c>
      <c r="CB22" s="45"/>
      <c r="CC22" s="48">
        <f>+BZ22+CB22*$E22</f>
        <v>0</v>
      </c>
      <c r="CD22" s="43"/>
      <c r="CE22" s="47">
        <f>+CC22-CD22</f>
        <v>0</v>
      </c>
      <c r="CF22" s="45"/>
      <c r="CG22" s="48">
        <f>+CD22+CF22*$E22</f>
        <v>0</v>
      </c>
      <c r="CH22" s="43"/>
      <c r="CI22" s="47">
        <f>+CG22-CH22</f>
        <v>0</v>
      </c>
      <c r="CJ22" s="45"/>
      <c r="CK22" s="48">
        <f>+CH22+CJ22*$E22</f>
        <v>0</v>
      </c>
    </row>
    <row r="23" spans="1:89" s="89" customFormat="1" ht="20.100000000000001" hidden="1" customHeight="1" x14ac:dyDescent="0.25">
      <c r="A23" s="152" t="s">
        <v>70</v>
      </c>
      <c r="B23" s="9" t="s">
        <v>7</v>
      </c>
      <c r="C23" s="17">
        <v>10</v>
      </c>
      <c r="D23" s="9" t="s">
        <v>9</v>
      </c>
      <c r="E23" s="13">
        <v>10</v>
      </c>
      <c r="F23" s="43">
        <v>11</v>
      </c>
      <c r="G23" s="47">
        <v>3</v>
      </c>
      <c r="H23" s="45"/>
      <c r="I23" s="48">
        <f t="shared" ref="I23:I44" si="40">+F23+H23*$E23</f>
        <v>11</v>
      </c>
      <c r="J23" s="43">
        <v>7.3</v>
      </c>
      <c r="K23" s="47">
        <f t="shared" ref="K23:K44" si="41">+I23-J23</f>
        <v>3.7</v>
      </c>
      <c r="L23" s="45">
        <v>1</v>
      </c>
      <c r="M23" s="48">
        <f t="shared" ref="M23:M44" si="42">+J23+L23*$E23</f>
        <v>17.3</v>
      </c>
      <c r="N23" s="43">
        <v>10</v>
      </c>
      <c r="O23" s="47">
        <v>7.3000000000000007</v>
      </c>
      <c r="P23" s="45"/>
      <c r="Q23" s="48">
        <f t="shared" ref="Q23:Q44" si="43">+N23+P23*$E23</f>
        <v>10</v>
      </c>
      <c r="R23" s="43">
        <v>3</v>
      </c>
      <c r="S23" s="47">
        <f t="shared" ref="S23:S44" si="44">+Q23-R23</f>
        <v>7</v>
      </c>
      <c r="T23" s="45">
        <v>1</v>
      </c>
      <c r="U23" s="48">
        <f t="shared" ref="U23:U44" si="45">+R23+T23*$E23</f>
        <v>13</v>
      </c>
      <c r="V23" s="43">
        <v>9</v>
      </c>
      <c r="W23" s="47">
        <f t="shared" ref="W23:W29" si="46">+U23-V23</f>
        <v>4</v>
      </c>
      <c r="X23" s="49">
        <v>1</v>
      </c>
      <c r="Y23" s="48">
        <f t="shared" ref="Y23:Y29" si="47">+V23+X23*$E23</f>
        <v>19</v>
      </c>
      <c r="Z23" s="43">
        <v>15</v>
      </c>
      <c r="AA23" s="47">
        <f t="shared" si="8"/>
        <v>4</v>
      </c>
      <c r="AB23" s="45"/>
      <c r="AC23" s="48">
        <f t="shared" ref="AC23:AC29" si="48">+Z23+AB23*$E23</f>
        <v>15</v>
      </c>
      <c r="AD23" s="43">
        <v>11</v>
      </c>
      <c r="AE23" s="47">
        <f t="shared" ref="AE23:AE29" si="49">+AC23-AD23</f>
        <v>4</v>
      </c>
      <c r="AF23" s="45">
        <v>1</v>
      </c>
      <c r="AG23" s="48">
        <f t="shared" ref="AG23:AG29" si="50">+AD23+AF23*$E23</f>
        <v>21</v>
      </c>
      <c r="AH23" s="43">
        <v>15</v>
      </c>
      <c r="AI23" s="47">
        <f t="shared" si="12"/>
        <v>6</v>
      </c>
      <c r="AJ23" s="45"/>
      <c r="AK23" s="48">
        <f t="shared" ref="AK23:AK29" si="51">+AH23+AJ23*$E23</f>
        <v>15</v>
      </c>
      <c r="AL23" s="43">
        <v>9</v>
      </c>
      <c r="AM23" s="47">
        <f t="shared" ref="AM23:AM29" si="52">+AK23-AL23</f>
        <v>6</v>
      </c>
      <c r="AN23" s="45">
        <v>1</v>
      </c>
      <c r="AO23" s="48">
        <f t="shared" ref="AO23:AO29" si="53">+AL23+AN23*$E23</f>
        <v>19</v>
      </c>
      <c r="AP23" s="43">
        <v>12</v>
      </c>
      <c r="AQ23" s="47">
        <f t="shared" si="16"/>
        <v>7</v>
      </c>
      <c r="AR23" s="45">
        <v>1</v>
      </c>
      <c r="AS23" s="48">
        <f t="shared" ref="AS23:AS29" si="54">+AP23+AR23*$E23</f>
        <v>22</v>
      </c>
      <c r="AT23" s="43">
        <v>15</v>
      </c>
      <c r="AU23" s="47">
        <f t="shared" ref="AU23:AU29" si="55">+AS23-AT23</f>
        <v>7</v>
      </c>
      <c r="AV23" s="45"/>
      <c r="AW23" s="48">
        <f t="shared" ref="AW23:AW29" si="56">+AT23+AV23*$E23</f>
        <v>15</v>
      </c>
      <c r="AX23" s="43">
        <v>9</v>
      </c>
      <c r="AY23" s="47">
        <f t="shared" ref="AY23:AY29" si="57">+AW23-AX23</f>
        <v>6</v>
      </c>
      <c r="AZ23" s="45">
        <v>1</v>
      </c>
      <c r="BA23" s="48">
        <f t="shared" ref="BA23:BA29" si="58">+AX23+AZ23*$E23</f>
        <v>19</v>
      </c>
      <c r="BB23" s="43">
        <v>11</v>
      </c>
      <c r="BC23" s="47">
        <f t="shared" ref="BC23:BC24" si="59">+BA23-BB23</f>
        <v>8</v>
      </c>
      <c r="BD23" s="45">
        <v>1</v>
      </c>
      <c r="BE23" s="48">
        <f t="shared" ref="BE23:BE24" si="60">+BB23+BD23*$E23</f>
        <v>21</v>
      </c>
      <c r="BF23" s="43">
        <v>18</v>
      </c>
      <c r="BG23" s="47">
        <f t="shared" ref="BG23:BG24" si="61">+BE23-BF23</f>
        <v>3</v>
      </c>
      <c r="BH23" s="45"/>
      <c r="BI23" s="48">
        <f t="shared" ref="BI23:BI24" si="62">+BF23+BH23*$E23</f>
        <v>18</v>
      </c>
      <c r="BJ23" s="43">
        <v>14</v>
      </c>
      <c r="BK23" s="47">
        <f t="shared" ref="BK23:BK24" si="63">+BI23-BJ23</f>
        <v>4</v>
      </c>
      <c r="BL23" s="45"/>
      <c r="BM23" s="48">
        <f t="shared" ref="BM23:BM24" si="64">+BJ23+BL23*$E23</f>
        <v>14</v>
      </c>
      <c r="BN23" s="43"/>
      <c r="BO23" s="47">
        <f t="shared" ref="BO23:BO24" si="65">+BM23-BN23</f>
        <v>14</v>
      </c>
      <c r="BP23" s="45"/>
      <c r="BQ23" s="48">
        <f t="shared" ref="BQ23:BQ24" si="66">+BN23+BP23*$E23</f>
        <v>0</v>
      </c>
      <c r="BR23" s="43"/>
      <c r="BS23" s="47">
        <f t="shared" ref="BS23:BS24" si="67">+BQ23-BR23</f>
        <v>0</v>
      </c>
      <c r="BT23" s="45"/>
      <c r="BU23" s="48">
        <f t="shared" ref="BU23:BU24" si="68">+BR23+BT23*$E23</f>
        <v>0</v>
      </c>
      <c r="BV23" s="43"/>
      <c r="BW23" s="47">
        <f t="shared" ref="BW23:BW24" si="69">+BU23-BV23</f>
        <v>0</v>
      </c>
      <c r="BX23" s="45"/>
      <c r="BY23" s="48">
        <f t="shared" ref="BY23:BY24" si="70">+BV23+BX23*$E23</f>
        <v>0</v>
      </c>
      <c r="BZ23" s="43"/>
      <c r="CA23" s="47">
        <f t="shared" ref="CA23:CA24" si="71">+BY23-BZ23</f>
        <v>0</v>
      </c>
      <c r="CB23" s="45"/>
      <c r="CC23" s="48">
        <f t="shared" ref="CC23:CC24" si="72">+BZ23+CB23*$E23</f>
        <v>0</v>
      </c>
      <c r="CD23" s="43"/>
      <c r="CE23" s="47">
        <f t="shared" ref="CE23:CE24" si="73">+CC23-CD23</f>
        <v>0</v>
      </c>
      <c r="CF23" s="45"/>
      <c r="CG23" s="48">
        <f t="shared" ref="CG23:CG24" si="74">+CD23+CF23*$E23</f>
        <v>0</v>
      </c>
      <c r="CH23" s="43"/>
      <c r="CI23" s="47">
        <f t="shared" ref="CI23:CI24" si="75">+CG23-CH23</f>
        <v>0</v>
      </c>
      <c r="CJ23" s="45"/>
      <c r="CK23" s="48">
        <f t="shared" ref="CK23:CK24" si="76">+CH23+CJ23*$E23</f>
        <v>0</v>
      </c>
    </row>
    <row r="24" spans="1:89" s="89" customFormat="1" ht="20.100000000000001" customHeight="1" x14ac:dyDescent="0.25">
      <c r="A24" s="19" t="s">
        <v>71</v>
      </c>
      <c r="B24" s="9" t="s">
        <v>7</v>
      </c>
      <c r="C24" s="17">
        <v>27</v>
      </c>
      <c r="D24" s="9" t="s">
        <v>9</v>
      </c>
      <c r="E24" s="13">
        <v>27</v>
      </c>
      <c r="F24" s="43">
        <v>18</v>
      </c>
      <c r="G24" s="47">
        <v>36</v>
      </c>
      <c r="H24" s="45">
        <v>2</v>
      </c>
      <c r="I24" s="48">
        <f t="shared" si="40"/>
        <v>72</v>
      </c>
      <c r="J24" s="43">
        <v>7.3</v>
      </c>
      <c r="K24" s="47">
        <f t="shared" si="41"/>
        <v>64.7</v>
      </c>
      <c r="L24" s="45">
        <v>1</v>
      </c>
      <c r="M24" s="48">
        <f t="shared" si="42"/>
        <v>34.299999999999997</v>
      </c>
      <c r="N24" s="43">
        <v>27</v>
      </c>
      <c r="O24" s="47">
        <v>7.2999999999999972</v>
      </c>
      <c r="P24" s="45">
        <v>1</v>
      </c>
      <c r="Q24" s="48">
        <f t="shared" si="43"/>
        <v>54</v>
      </c>
      <c r="R24" s="43">
        <v>27</v>
      </c>
      <c r="S24" s="47">
        <f t="shared" si="44"/>
        <v>27</v>
      </c>
      <c r="T24" s="45">
        <v>1</v>
      </c>
      <c r="U24" s="48">
        <f t="shared" si="45"/>
        <v>54</v>
      </c>
      <c r="V24" s="43">
        <v>18</v>
      </c>
      <c r="W24" s="47">
        <f t="shared" si="46"/>
        <v>36</v>
      </c>
      <c r="X24" s="49">
        <v>2</v>
      </c>
      <c r="Y24" s="48">
        <f t="shared" si="47"/>
        <v>72</v>
      </c>
      <c r="Z24" s="43">
        <f>27+9</f>
        <v>36</v>
      </c>
      <c r="AA24" s="47">
        <f t="shared" si="8"/>
        <v>36</v>
      </c>
      <c r="AB24" s="49">
        <v>1</v>
      </c>
      <c r="AC24" s="48">
        <f t="shared" si="48"/>
        <v>63</v>
      </c>
      <c r="AD24" s="43">
        <v>27</v>
      </c>
      <c r="AE24" s="47">
        <f t="shared" si="49"/>
        <v>36</v>
      </c>
      <c r="AF24" s="45">
        <v>1</v>
      </c>
      <c r="AG24" s="48">
        <f t="shared" si="50"/>
        <v>54</v>
      </c>
      <c r="AH24" s="43">
        <v>18</v>
      </c>
      <c r="AI24" s="47">
        <f t="shared" si="12"/>
        <v>36</v>
      </c>
      <c r="AJ24" s="45">
        <v>1</v>
      </c>
      <c r="AK24" s="48">
        <f t="shared" si="51"/>
        <v>45</v>
      </c>
      <c r="AL24" s="43"/>
      <c r="AM24" s="47">
        <f t="shared" si="52"/>
        <v>45</v>
      </c>
      <c r="AN24" s="45">
        <v>3</v>
      </c>
      <c r="AO24" s="48">
        <f t="shared" si="53"/>
        <v>81</v>
      </c>
      <c r="AP24" s="43">
        <v>62</v>
      </c>
      <c r="AQ24" s="47">
        <f t="shared" si="16"/>
        <v>19</v>
      </c>
      <c r="AR24" s="45">
        <v>1</v>
      </c>
      <c r="AS24" s="48">
        <f t="shared" si="54"/>
        <v>89</v>
      </c>
      <c r="AT24" s="43">
        <f>27+9</f>
        <v>36</v>
      </c>
      <c r="AU24" s="47">
        <f t="shared" si="55"/>
        <v>53</v>
      </c>
      <c r="AV24" s="45">
        <v>2</v>
      </c>
      <c r="AW24" s="48">
        <f t="shared" si="56"/>
        <v>90</v>
      </c>
      <c r="AX24" s="43">
        <f>27+18</f>
        <v>45</v>
      </c>
      <c r="AY24" s="47">
        <f t="shared" si="57"/>
        <v>45</v>
      </c>
      <c r="AZ24" s="45">
        <v>1</v>
      </c>
      <c r="BA24" s="48">
        <f t="shared" si="58"/>
        <v>72</v>
      </c>
      <c r="BB24" s="43">
        <f>27+9</f>
        <v>36</v>
      </c>
      <c r="BC24" s="47">
        <f t="shared" si="59"/>
        <v>36</v>
      </c>
      <c r="BD24" s="45">
        <v>1</v>
      </c>
      <c r="BE24" s="48">
        <f t="shared" si="60"/>
        <v>63</v>
      </c>
      <c r="BF24" s="43">
        <v>36</v>
      </c>
      <c r="BG24" s="47">
        <f t="shared" si="61"/>
        <v>27</v>
      </c>
      <c r="BH24" s="45">
        <v>1</v>
      </c>
      <c r="BI24" s="48">
        <f t="shared" si="62"/>
        <v>63</v>
      </c>
      <c r="BJ24" s="43">
        <v>18</v>
      </c>
      <c r="BK24" s="47">
        <f t="shared" si="63"/>
        <v>45</v>
      </c>
      <c r="BL24" s="45">
        <v>1</v>
      </c>
      <c r="BM24" s="48">
        <f t="shared" si="64"/>
        <v>45</v>
      </c>
      <c r="BN24" s="43"/>
      <c r="BO24" s="47">
        <f t="shared" si="65"/>
        <v>45</v>
      </c>
      <c r="BP24" s="45"/>
      <c r="BQ24" s="48">
        <f t="shared" si="66"/>
        <v>0</v>
      </c>
      <c r="BR24" s="43"/>
      <c r="BS24" s="47">
        <f t="shared" si="67"/>
        <v>0</v>
      </c>
      <c r="BT24" s="45"/>
      <c r="BU24" s="48">
        <f t="shared" si="68"/>
        <v>0</v>
      </c>
      <c r="BV24" s="43"/>
      <c r="BW24" s="47">
        <f t="shared" si="69"/>
        <v>0</v>
      </c>
      <c r="BX24" s="45"/>
      <c r="BY24" s="48">
        <f t="shared" si="70"/>
        <v>0</v>
      </c>
      <c r="BZ24" s="43"/>
      <c r="CA24" s="47">
        <f t="shared" si="71"/>
        <v>0</v>
      </c>
      <c r="CB24" s="45"/>
      <c r="CC24" s="48">
        <f t="shared" si="72"/>
        <v>0</v>
      </c>
      <c r="CD24" s="43"/>
      <c r="CE24" s="47">
        <f t="shared" si="73"/>
        <v>0</v>
      </c>
      <c r="CF24" s="45"/>
      <c r="CG24" s="48">
        <f t="shared" si="74"/>
        <v>0</v>
      </c>
      <c r="CH24" s="43"/>
      <c r="CI24" s="47">
        <f t="shared" si="75"/>
        <v>0</v>
      </c>
      <c r="CJ24" s="45"/>
      <c r="CK24" s="48">
        <f t="shared" si="76"/>
        <v>0</v>
      </c>
    </row>
    <row r="25" spans="1:89" s="89" customFormat="1" ht="20.100000000000001" customHeight="1" x14ac:dyDescent="0.25">
      <c r="A25" s="19" t="s">
        <v>374</v>
      </c>
      <c r="B25" s="9" t="s">
        <v>7</v>
      </c>
      <c r="C25" s="17">
        <v>5</v>
      </c>
      <c r="D25" s="9" t="s">
        <v>358</v>
      </c>
      <c r="E25" s="13">
        <v>5</v>
      </c>
      <c r="F25" s="43"/>
      <c r="G25" s="47"/>
      <c r="H25" s="45"/>
      <c r="I25" s="48"/>
      <c r="J25" s="43"/>
      <c r="K25" s="47"/>
      <c r="L25" s="45"/>
      <c r="M25" s="48"/>
      <c r="N25" s="43"/>
      <c r="O25" s="47"/>
      <c r="P25" s="45"/>
      <c r="Q25" s="48"/>
      <c r="R25" s="43"/>
      <c r="S25" s="47"/>
      <c r="T25" s="45"/>
      <c r="U25" s="48"/>
      <c r="V25" s="43"/>
      <c r="W25" s="47"/>
      <c r="X25" s="49"/>
      <c r="Y25" s="48"/>
      <c r="Z25" s="43"/>
      <c r="AA25" s="47">
        <f t="shared" si="8"/>
        <v>0</v>
      </c>
      <c r="AB25" s="49">
        <v>4</v>
      </c>
      <c r="AC25" s="48">
        <f t="shared" si="48"/>
        <v>20</v>
      </c>
      <c r="AD25" s="43">
        <v>20</v>
      </c>
      <c r="AE25" s="47">
        <f t="shared" si="49"/>
        <v>0</v>
      </c>
      <c r="AF25" s="45"/>
      <c r="AG25" s="48">
        <f t="shared" si="50"/>
        <v>20</v>
      </c>
      <c r="AH25" s="43">
        <v>18</v>
      </c>
      <c r="AI25" s="47">
        <f t="shared" si="12"/>
        <v>2</v>
      </c>
      <c r="AJ25" s="45"/>
      <c r="AK25" s="48">
        <f>+AH25+AJ25*$E25</f>
        <v>18</v>
      </c>
      <c r="AL25" s="43">
        <v>13</v>
      </c>
      <c r="AM25" s="47">
        <f>+AK25-AL25</f>
        <v>5</v>
      </c>
      <c r="AN25" s="45"/>
      <c r="AO25" s="48">
        <f>+AL25+AN25*$E25</f>
        <v>13</v>
      </c>
      <c r="AP25" s="43">
        <v>10</v>
      </c>
      <c r="AQ25" s="47">
        <f t="shared" si="16"/>
        <v>3</v>
      </c>
      <c r="AR25" s="45"/>
      <c r="AS25" s="48">
        <f>+AP25+AR25*$E25</f>
        <v>10</v>
      </c>
      <c r="AT25" s="43">
        <v>6</v>
      </c>
      <c r="AU25" s="47">
        <f>+AS25-AT25</f>
        <v>4</v>
      </c>
      <c r="AV25" s="45"/>
      <c r="AW25" s="48">
        <f>+AT25+AV25*$E25</f>
        <v>6</v>
      </c>
      <c r="AX25" s="43">
        <v>2</v>
      </c>
      <c r="AY25" s="47">
        <f>+AW25-AX25</f>
        <v>4</v>
      </c>
      <c r="AZ25" s="45">
        <v>1</v>
      </c>
      <c r="BA25" s="48">
        <f>+AX25+AZ25*$E25</f>
        <v>7</v>
      </c>
      <c r="BB25" s="43">
        <v>0</v>
      </c>
      <c r="BC25" s="47">
        <f>+BA25-BB25</f>
        <v>7</v>
      </c>
      <c r="BD25" s="45">
        <v>1</v>
      </c>
      <c r="BE25" s="48">
        <f>+BB25+BD25*$E25</f>
        <v>5</v>
      </c>
      <c r="BF25" s="43">
        <v>1</v>
      </c>
      <c r="BG25" s="47">
        <f>+BE25-BF25</f>
        <v>4</v>
      </c>
      <c r="BH25" s="45">
        <v>2</v>
      </c>
      <c r="BI25" s="48">
        <v>6</v>
      </c>
      <c r="BJ25" s="43">
        <v>2</v>
      </c>
      <c r="BK25" s="47">
        <f>+BI25-BJ25</f>
        <v>4</v>
      </c>
      <c r="BL25" s="45">
        <v>1</v>
      </c>
      <c r="BM25" s="48">
        <f>+BJ25+BL25*$E25</f>
        <v>7</v>
      </c>
      <c r="BN25" s="43"/>
      <c r="BO25" s="47">
        <f>+BM25-BN25</f>
        <v>7</v>
      </c>
      <c r="BP25" s="45"/>
      <c r="BQ25" s="48">
        <f>+BN25+BP25*$E25</f>
        <v>0</v>
      </c>
      <c r="BR25" s="43"/>
      <c r="BS25" s="47">
        <f>+BQ25-BR25</f>
        <v>0</v>
      </c>
      <c r="BT25" s="45"/>
      <c r="BU25" s="48">
        <f>+BR25+BT25*$E25</f>
        <v>0</v>
      </c>
      <c r="BV25" s="43"/>
      <c r="BW25" s="47">
        <f>+BU25-BV25</f>
        <v>0</v>
      </c>
      <c r="BX25" s="45"/>
      <c r="BY25" s="48">
        <f>+BV25+BX25*$E25</f>
        <v>0</v>
      </c>
      <c r="BZ25" s="43"/>
      <c r="CA25" s="47">
        <f>+BY25-BZ25</f>
        <v>0</v>
      </c>
      <c r="CB25" s="45"/>
      <c r="CC25" s="48">
        <f>+BZ25+CB25*$E25</f>
        <v>0</v>
      </c>
      <c r="CD25" s="43"/>
      <c r="CE25" s="47">
        <f>+CC25-CD25</f>
        <v>0</v>
      </c>
      <c r="CF25" s="45"/>
      <c r="CG25" s="48">
        <f>+CD25+CF25*$E25</f>
        <v>0</v>
      </c>
      <c r="CH25" s="43"/>
      <c r="CI25" s="47">
        <f>+CG25-CH25</f>
        <v>0</v>
      </c>
      <c r="CJ25" s="45"/>
      <c r="CK25" s="48">
        <f>+CH25+CJ25*$E25</f>
        <v>0</v>
      </c>
    </row>
    <row r="26" spans="1:89" s="89" customFormat="1" ht="20.100000000000001" customHeight="1" x14ac:dyDescent="0.25">
      <c r="A26" s="152" t="s">
        <v>72</v>
      </c>
      <c r="B26" s="9" t="s">
        <v>7</v>
      </c>
      <c r="C26" s="17">
        <v>4</v>
      </c>
      <c r="D26" s="9" t="s">
        <v>358</v>
      </c>
      <c r="E26" s="13">
        <v>4</v>
      </c>
      <c r="F26" s="43">
        <v>5.4</v>
      </c>
      <c r="G26" s="47">
        <v>3.5999999999999996</v>
      </c>
      <c r="H26" s="45">
        <v>1</v>
      </c>
      <c r="I26" s="48">
        <f t="shared" si="40"/>
        <v>9.4</v>
      </c>
      <c r="J26" s="43">
        <v>7.3</v>
      </c>
      <c r="K26" s="47">
        <f t="shared" si="41"/>
        <v>2.1000000000000005</v>
      </c>
      <c r="L26" s="45">
        <v>1</v>
      </c>
      <c r="M26" s="48">
        <f t="shared" si="42"/>
        <v>11.3</v>
      </c>
      <c r="N26" s="43">
        <v>5.5</v>
      </c>
      <c r="O26" s="47">
        <v>5.8000000000000007</v>
      </c>
      <c r="P26" s="45">
        <v>1</v>
      </c>
      <c r="Q26" s="48">
        <f t="shared" si="43"/>
        <v>9.5</v>
      </c>
      <c r="R26" s="43">
        <v>6.15</v>
      </c>
      <c r="S26" s="47">
        <f t="shared" si="44"/>
        <v>3.3499999999999996</v>
      </c>
      <c r="T26" s="45">
        <v>1</v>
      </c>
      <c r="U26" s="48">
        <f t="shared" si="45"/>
        <v>10.15</v>
      </c>
      <c r="V26" s="43">
        <v>6.6</v>
      </c>
      <c r="W26" s="47">
        <f t="shared" si="46"/>
        <v>3.5500000000000007</v>
      </c>
      <c r="X26" s="49">
        <v>1</v>
      </c>
      <c r="Y26" s="48">
        <f t="shared" si="47"/>
        <v>10.6</v>
      </c>
      <c r="Z26" s="43">
        <v>7</v>
      </c>
      <c r="AA26" s="47">
        <f t="shared" si="8"/>
        <v>3.5999999999999996</v>
      </c>
      <c r="AB26" s="49">
        <v>1</v>
      </c>
      <c r="AC26" s="48">
        <f t="shared" si="48"/>
        <v>11</v>
      </c>
      <c r="AD26" s="43">
        <v>11</v>
      </c>
      <c r="AE26" s="47">
        <f t="shared" si="49"/>
        <v>0</v>
      </c>
      <c r="AF26" s="45"/>
      <c r="AG26" s="48">
        <f t="shared" si="50"/>
        <v>11</v>
      </c>
      <c r="AH26" s="43">
        <v>6.5</v>
      </c>
      <c r="AI26" s="47">
        <f t="shared" si="12"/>
        <v>4.5</v>
      </c>
      <c r="AJ26" s="45">
        <v>1</v>
      </c>
      <c r="AK26" s="48">
        <f t="shared" si="51"/>
        <v>10.5</v>
      </c>
      <c r="AL26" s="43">
        <v>6</v>
      </c>
      <c r="AM26" s="47">
        <f t="shared" si="52"/>
        <v>4.5</v>
      </c>
      <c r="AN26" s="45">
        <v>1</v>
      </c>
      <c r="AO26" s="48">
        <f t="shared" si="53"/>
        <v>10</v>
      </c>
      <c r="AP26" s="43">
        <v>6</v>
      </c>
      <c r="AQ26" s="47">
        <f t="shared" si="16"/>
        <v>4</v>
      </c>
      <c r="AR26" s="45">
        <v>1</v>
      </c>
      <c r="AS26" s="48">
        <f t="shared" si="54"/>
        <v>10</v>
      </c>
      <c r="AT26" s="43">
        <v>4</v>
      </c>
      <c r="AU26" s="47">
        <f t="shared" si="55"/>
        <v>6</v>
      </c>
      <c r="AV26" s="45">
        <v>2</v>
      </c>
      <c r="AW26" s="48">
        <f t="shared" si="56"/>
        <v>12</v>
      </c>
      <c r="AX26" s="43">
        <v>9.5</v>
      </c>
      <c r="AY26" s="47">
        <f t="shared" si="57"/>
        <v>2.5</v>
      </c>
      <c r="AZ26" s="45">
        <v>1</v>
      </c>
      <c r="BA26" s="48">
        <f t="shared" si="58"/>
        <v>13.5</v>
      </c>
      <c r="BB26" s="43">
        <v>8</v>
      </c>
      <c r="BC26" s="47">
        <f t="shared" ref="BC26:BC29" si="77">+BA26-BB26</f>
        <v>5.5</v>
      </c>
      <c r="BD26" s="45">
        <v>1</v>
      </c>
      <c r="BE26" s="48">
        <f t="shared" ref="BE26:BE29" si="78">+BB26+BD26*$E26</f>
        <v>12</v>
      </c>
      <c r="BF26" s="43">
        <v>7</v>
      </c>
      <c r="BG26" s="47">
        <f t="shared" ref="BG26:BG29" si="79">+BE26-BF26</f>
        <v>5</v>
      </c>
      <c r="BH26" s="45">
        <v>1</v>
      </c>
      <c r="BI26" s="48">
        <f t="shared" ref="BI26:BI29" si="80">+BF26+BH26*$E26</f>
        <v>11</v>
      </c>
      <c r="BJ26" s="43">
        <v>8</v>
      </c>
      <c r="BK26" s="47">
        <f t="shared" ref="BK26:BK29" si="81">+BI26-BJ26</f>
        <v>3</v>
      </c>
      <c r="BL26" s="45">
        <v>1</v>
      </c>
      <c r="BM26" s="48">
        <f t="shared" ref="BM26:BM29" si="82">+BJ26+BL26*$E26</f>
        <v>12</v>
      </c>
      <c r="BN26" s="43"/>
      <c r="BO26" s="47">
        <f t="shared" ref="BO26:BO29" si="83">+BM26-BN26</f>
        <v>12</v>
      </c>
      <c r="BP26" s="45"/>
      <c r="BQ26" s="48">
        <f t="shared" ref="BQ26:BQ29" si="84">+BN26+BP26*$E26</f>
        <v>0</v>
      </c>
      <c r="BR26" s="43"/>
      <c r="BS26" s="47">
        <f t="shared" ref="BS26:BS29" si="85">+BQ26-BR26</f>
        <v>0</v>
      </c>
      <c r="BT26" s="45"/>
      <c r="BU26" s="48">
        <f t="shared" ref="BU26:BU29" si="86">+BR26+BT26*$E26</f>
        <v>0</v>
      </c>
      <c r="BV26" s="43"/>
      <c r="BW26" s="47">
        <f t="shared" ref="BW26:BW29" si="87">+BU26-BV26</f>
        <v>0</v>
      </c>
      <c r="BX26" s="45"/>
      <c r="BY26" s="48">
        <f t="shared" ref="BY26:BY29" si="88">+BV26+BX26*$E26</f>
        <v>0</v>
      </c>
      <c r="BZ26" s="43"/>
      <c r="CA26" s="47">
        <f t="shared" ref="CA26:CA29" si="89">+BY26-BZ26</f>
        <v>0</v>
      </c>
      <c r="CB26" s="45"/>
      <c r="CC26" s="48">
        <f t="shared" ref="CC26:CC29" si="90">+BZ26+CB26*$E26</f>
        <v>0</v>
      </c>
      <c r="CD26" s="43"/>
      <c r="CE26" s="47">
        <f t="shared" ref="CE26:CE29" si="91">+CC26-CD26</f>
        <v>0</v>
      </c>
      <c r="CF26" s="45"/>
      <c r="CG26" s="48">
        <f t="shared" ref="CG26:CG29" si="92">+CD26+CF26*$E26</f>
        <v>0</v>
      </c>
      <c r="CH26" s="43"/>
      <c r="CI26" s="47">
        <f t="shared" ref="CI26:CI29" si="93">+CG26-CH26</f>
        <v>0</v>
      </c>
      <c r="CJ26" s="45"/>
      <c r="CK26" s="48">
        <f t="shared" ref="CK26:CK29" si="94">+CH26+CJ26*$E26</f>
        <v>0</v>
      </c>
    </row>
    <row r="27" spans="1:89" s="89" customFormat="1" ht="20.100000000000001" customHeight="1" x14ac:dyDescent="0.25">
      <c r="A27" s="152" t="s">
        <v>73</v>
      </c>
      <c r="B27" s="9" t="s">
        <v>7</v>
      </c>
      <c r="C27" s="17">
        <v>5</v>
      </c>
      <c r="D27" s="9" t="s">
        <v>361</v>
      </c>
      <c r="E27" s="13">
        <v>4</v>
      </c>
      <c r="F27" s="43">
        <v>6</v>
      </c>
      <c r="G27" s="47">
        <v>1</v>
      </c>
      <c r="H27" s="45"/>
      <c r="I27" s="48">
        <f t="shared" si="40"/>
        <v>6</v>
      </c>
      <c r="J27" s="43">
        <v>7.3</v>
      </c>
      <c r="K27" s="47">
        <f t="shared" si="41"/>
        <v>-1.2999999999999998</v>
      </c>
      <c r="L27" s="45"/>
      <c r="M27" s="48">
        <f t="shared" si="42"/>
        <v>7.3</v>
      </c>
      <c r="N27" s="43">
        <v>3</v>
      </c>
      <c r="O27" s="47">
        <v>4.3</v>
      </c>
      <c r="P27" s="45">
        <v>1</v>
      </c>
      <c r="Q27" s="48">
        <f t="shared" si="43"/>
        <v>7</v>
      </c>
      <c r="R27" s="43">
        <v>5</v>
      </c>
      <c r="S27" s="47">
        <f t="shared" si="44"/>
        <v>2</v>
      </c>
      <c r="T27" s="45"/>
      <c r="U27" s="48">
        <f t="shared" si="45"/>
        <v>5</v>
      </c>
      <c r="V27" s="43">
        <v>4</v>
      </c>
      <c r="W27" s="47">
        <f t="shared" si="46"/>
        <v>1</v>
      </c>
      <c r="X27" s="45"/>
      <c r="Y27" s="48">
        <f t="shared" si="47"/>
        <v>4</v>
      </c>
      <c r="Z27" s="43">
        <v>3</v>
      </c>
      <c r="AA27" s="47">
        <f t="shared" si="8"/>
        <v>1</v>
      </c>
      <c r="AB27" s="49">
        <v>1</v>
      </c>
      <c r="AC27" s="48">
        <f t="shared" si="48"/>
        <v>7</v>
      </c>
      <c r="AD27" s="43">
        <v>5</v>
      </c>
      <c r="AE27" s="47">
        <f t="shared" si="49"/>
        <v>2</v>
      </c>
      <c r="AF27" s="45"/>
      <c r="AG27" s="48">
        <f t="shared" si="50"/>
        <v>5</v>
      </c>
      <c r="AH27" s="43">
        <v>4</v>
      </c>
      <c r="AI27" s="47">
        <f t="shared" si="12"/>
        <v>1</v>
      </c>
      <c r="AJ27" s="45"/>
      <c r="AK27" s="48">
        <f t="shared" si="51"/>
        <v>4</v>
      </c>
      <c r="AL27" s="43">
        <v>2</v>
      </c>
      <c r="AM27" s="47">
        <f t="shared" si="52"/>
        <v>2</v>
      </c>
      <c r="AN27" s="45">
        <v>1</v>
      </c>
      <c r="AO27" s="48">
        <f t="shared" si="53"/>
        <v>6</v>
      </c>
      <c r="AP27" s="43">
        <v>4</v>
      </c>
      <c r="AQ27" s="47">
        <f t="shared" si="16"/>
        <v>2</v>
      </c>
      <c r="AR27" s="45">
        <v>1</v>
      </c>
      <c r="AS27" s="48">
        <f t="shared" si="54"/>
        <v>8</v>
      </c>
      <c r="AT27" s="43">
        <v>6</v>
      </c>
      <c r="AU27" s="47">
        <f t="shared" si="55"/>
        <v>2</v>
      </c>
      <c r="AV27" s="45"/>
      <c r="AW27" s="48">
        <f t="shared" si="56"/>
        <v>6</v>
      </c>
      <c r="AX27" s="43">
        <v>5</v>
      </c>
      <c r="AY27" s="47">
        <f t="shared" si="57"/>
        <v>1</v>
      </c>
      <c r="AZ27" s="45"/>
      <c r="BA27" s="48">
        <f t="shared" si="58"/>
        <v>5</v>
      </c>
      <c r="BB27" s="43">
        <v>3</v>
      </c>
      <c r="BC27" s="47">
        <f t="shared" si="77"/>
        <v>2</v>
      </c>
      <c r="BD27" s="45">
        <v>1</v>
      </c>
      <c r="BE27" s="48">
        <f t="shared" si="78"/>
        <v>7</v>
      </c>
      <c r="BF27" s="43">
        <v>5</v>
      </c>
      <c r="BG27" s="47">
        <f t="shared" si="79"/>
        <v>2</v>
      </c>
      <c r="BH27" s="45">
        <v>1</v>
      </c>
      <c r="BI27" s="48">
        <f t="shared" si="80"/>
        <v>9</v>
      </c>
      <c r="BJ27" s="43">
        <v>5</v>
      </c>
      <c r="BK27" s="47">
        <f t="shared" si="81"/>
        <v>4</v>
      </c>
      <c r="BL27" s="45">
        <v>1</v>
      </c>
      <c r="BM27" s="48">
        <f t="shared" si="82"/>
        <v>9</v>
      </c>
      <c r="BN27" s="43"/>
      <c r="BO27" s="47">
        <f t="shared" si="83"/>
        <v>9</v>
      </c>
      <c r="BP27" s="45"/>
      <c r="BQ27" s="48">
        <f t="shared" si="84"/>
        <v>0</v>
      </c>
      <c r="BR27" s="43"/>
      <c r="BS27" s="47">
        <f t="shared" si="85"/>
        <v>0</v>
      </c>
      <c r="BT27" s="45"/>
      <c r="BU27" s="48">
        <f t="shared" si="86"/>
        <v>0</v>
      </c>
      <c r="BV27" s="43"/>
      <c r="BW27" s="47">
        <f t="shared" si="87"/>
        <v>0</v>
      </c>
      <c r="BX27" s="45"/>
      <c r="BY27" s="48">
        <f t="shared" si="88"/>
        <v>0</v>
      </c>
      <c r="BZ27" s="43"/>
      <c r="CA27" s="47">
        <f t="shared" si="89"/>
        <v>0</v>
      </c>
      <c r="CB27" s="45"/>
      <c r="CC27" s="48">
        <f t="shared" si="90"/>
        <v>0</v>
      </c>
      <c r="CD27" s="43"/>
      <c r="CE27" s="47">
        <f t="shared" si="91"/>
        <v>0</v>
      </c>
      <c r="CF27" s="45"/>
      <c r="CG27" s="48">
        <f t="shared" si="92"/>
        <v>0</v>
      </c>
      <c r="CH27" s="43"/>
      <c r="CI27" s="47">
        <f t="shared" si="93"/>
        <v>0</v>
      </c>
      <c r="CJ27" s="45"/>
      <c r="CK27" s="48">
        <f t="shared" si="94"/>
        <v>0</v>
      </c>
    </row>
    <row r="28" spans="1:89" s="89" customFormat="1" ht="20.100000000000001" customHeight="1" x14ac:dyDescent="0.25">
      <c r="A28" s="152" t="s">
        <v>74</v>
      </c>
      <c r="B28" s="9" t="s">
        <v>7</v>
      </c>
      <c r="C28" s="17">
        <v>5</v>
      </c>
      <c r="D28" s="9" t="s">
        <v>361</v>
      </c>
      <c r="E28" s="13">
        <v>4</v>
      </c>
      <c r="F28" s="43">
        <v>4</v>
      </c>
      <c r="G28" s="47">
        <v>4</v>
      </c>
      <c r="H28" s="45">
        <v>1</v>
      </c>
      <c r="I28" s="48">
        <f t="shared" si="40"/>
        <v>8</v>
      </c>
      <c r="J28" s="43">
        <v>7.3</v>
      </c>
      <c r="K28" s="47">
        <f t="shared" si="41"/>
        <v>0.70000000000000018</v>
      </c>
      <c r="L28" s="45"/>
      <c r="M28" s="48">
        <f t="shared" si="42"/>
        <v>7.3</v>
      </c>
      <c r="N28" s="43">
        <v>3</v>
      </c>
      <c r="O28" s="47">
        <v>4.3</v>
      </c>
      <c r="P28" s="45">
        <v>1</v>
      </c>
      <c r="Q28" s="48">
        <f t="shared" si="43"/>
        <v>7</v>
      </c>
      <c r="R28" s="43">
        <v>3</v>
      </c>
      <c r="S28" s="47">
        <f t="shared" si="44"/>
        <v>4</v>
      </c>
      <c r="T28" s="45">
        <v>1</v>
      </c>
      <c r="U28" s="48">
        <f t="shared" si="45"/>
        <v>7</v>
      </c>
      <c r="V28" s="43">
        <v>5</v>
      </c>
      <c r="W28" s="47">
        <f t="shared" si="46"/>
        <v>2</v>
      </c>
      <c r="X28" s="49">
        <v>1</v>
      </c>
      <c r="Y28" s="48">
        <f t="shared" si="47"/>
        <v>9</v>
      </c>
      <c r="Z28" s="43">
        <v>7</v>
      </c>
      <c r="AA28" s="47">
        <f t="shared" si="8"/>
        <v>2</v>
      </c>
      <c r="AB28" s="45"/>
      <c r="AC28" s="48">
        <f t="shared" si="48"/>
        <v>7</v>
      </c>
      <c r="AD28" s="43">
        <v>4</v>
      </c>
      <c r="AE28" s="47">
        <f t="shared" si="49"/>
        <v>3</v>
      </c>
      <c r="AF28" s="45">
        <v>1</v>
      </c>
      <c r="AG28" s="48">
        <f t="shared" si="50"/>
        <v>8</v>
      </c>
      <c r="AH28" s="43">
        <v>6</v>
      </c>
      <c r="AI28" s="47">
        <f t="shared" si="12"/>
        <v>2</v>
      </c>
      <c r="AJ28" s="45"/>
      <c r="AK28" s="48">
        <f t="shared" si="51"/>
        <v>6</v>
      </c>
      <c r="AL28" s="43">
        <v>4</v>
      </c>
      <c r="AM28" s="47">
        <f t="shared" si="52"/>
        <v>2</v>
      </c>
      <c r="AN28" s="45">
        <v>1</v>
      </c>
      <c r="AO28" s="48">
        <f t="shared" si="53"/>
        <v>8</v>
      </c>
      <c r="AP28" s="43">
        <v>5</v>
      </c>
      <c r="AQ28" s="47">
        <f t="shared" si="16"/>
        <v>3</v>
      </c>
      <c r="AR28" s="45"/>
      <c r="AS28" s="48">
        <f t="shared" si="54"/>
        <v>5</v>
      </c>
      <c r="AT28" s="43">
        <v>3</v>
      </c>
      <c r="AU28" s="47">
        <f t="shared" si="55"/>
        <v>2</v>
      </c>
      <c r="AV28" s="45">
        <v>1</v>
      </c>
      <c r="AW28" s="48">
        <f t="shared" si="56"/>
        <v>7</v>
      </c>
      <c r="AX28" s="43">
        <v>5</v>
      </c>
      <c r="AY28" s="47">
        <f t="shared" si="57"/>
        <v>2</v>
      </c>
      <c r="AZ28" s="45"/>
      <c r="BA28" s="48">
        <f t="shared" si="58"/>
        <v>5</v>
      </c>
      <c r="BB28" s="43">
        <v>4</v>
      </c>
      <c r="BC28" s="47">
        <f t="shared" si="77"/>
        <v>1</v>
      </c>
      <c r="BD28" s="45"/>
      <c r="BE28" s="48">
        <f t="shared" si="78"/>
        <v>4</v>
      </c>
      <c r="BF28" s="43">
        <v>2</v>
      </c>
      <c r="BG28" s="47">
        <f t="shared" si="79"/>
        <v>2</v>
      </c>
      <c r="BH28" s="45">
        <v>1</v>
      </c>
      <c r="BI28" s="48">
        <f t="shared" si="80"/>
        <v>6</v>
      </c>
      <c r="BJ28" s="43">
        <v>4</v>
      </c>
      <c r="BK28" s="47">
        <f t="shared" si="81"/>
        <v>2</v>
      </c>
      <c r="BL28" s="45">
        <v>1</v>
      </c>
      <c r="BM28" s="48">
        <f t="shared" si="82"/>
        <v>8</v>
      </c>
      <c r="BN28" s="43"/>
      <c r="BO28" s="47">
        <f t="shared" si="83"/>
        <v>8</v>
      </c>
      <c r="BP28" s="45"/>
      <c r="BQ28" s="48">
        <f t="shared" si="84"/>
        <v>0</v>
      </c>
      <c r="BR28" s="43"/>
      <c r="BS28" s="47">
        <f t="shared" si="85"/>
        <v>0</v>
      </c>
      <c r="BT28" s="45"/>
      <c r="BU28" s="48">
        <f t="shared" si="86"/>
        <v>0</v>
      </c>
      <c r="BV28" s="43"/>
      <c r="BW28" s="47">
        <f t="shared" si="87"/>
        <v>0</v>
      </c>
      <c r="BX28" s="45"/>
      <c r="BY28" s="48">
        <f t="shared" si="88"/>
        <v>0</v>
      </c>
      <c r="BZ28" s="43"/>
      <c r="CA28" s="47">
        <f t="shared" si="89"/>
        <v>0</v>
      </c>
      <c r="CB28" s="45"/>
      <c r="CC28" s="48">
        <f t="shared" si="90"/>
        <v>0</v>
      </c>
      <c r="CD28" s="43"/>
      <c r="CE28" s="47">
        <f t="shared" si="91"/>
        <v>0</v>
      </c>
      <c r="CF28" s="45"/>
      <c r="CG28" s="48">
        <f t="shared" si="92"/>
        <v>0</v>
      </c>
      <c r="CH28" s="43"/>
      <c r="CI28" s="47">
        <f t="shared" si="93"/>
        <v>0</v>
      </c>
      <c r="CJ28" s="45"/>
      <c r="CK28" s="48">
        <f t="shared" si="94"/>
        <v>0</v>
      </c>
    </row>
    <row r="29" spans="1:89" s="89" customFormat="1" ht="20.100000000000001" customHeight="1" x14ac:dyDescent="0.25">
      <c r="A29" s="152" t="s">
        <v>75</v>
      </c>
      <c r="B29" s="9" t="s">
        <v>7</v>
      </c>
      <c r="C29" s="17">
        <v>5</v>
      </c>
      <c r="D29" s="9" t="s">
        <v>361</v>
      </c>
      <c r="E29" s="13">
        <v>4</v>
      </c>
      <c r="F29" s="43">
        <v>3</v>
      </c>
      <c r="G29" s="47">
        <v>3</v>
      </c>
      <c r="H29" s="45">
        <v>1</v>
      </c>
      <c r="I29" s="48">
        <f t="shared" si="40"/>
        <v>7</v>
      </c>
      <c r="J29" s="43">
        <v>7.3</v>
      </c>
      <c r="K29" s="47">
        <f t="shared" si="41"/>
        <v>-0.29999999999999982</v>
      </c>
      <c r="L29" s="45">
        <v>1</v>
      </c>
      <c r="M29" s="48">
        <f t="shared" si="42"/>
        <v>11.3</v>
      </c>
      <c r="N29" s="43">
        <v>8</v>
      </c>
      <c r="O29" s="47">
        <v>3.3000000000000007</v>
      </c>
      <c r="P29" s="45"/>
      <c r="Q29" s="48">
        <f t="shared" si="43"/>
        <v>8</v>
      </c>
      <c r="R29" s="43">
        <v>6</v>
      </c>
      <c r="S29" s="47">
        <f t="shared" si="44"/>
        <v>2</v>
      </c>
      <c r="T29" s="45"/>
      <c r="U29" s="48">
        <f t="shared" si="45"/>
        <v>6</v>
      </c>
      <c r="V29" s="43">
        <v>5</v>
      </c>
      <c r="W29" s="47">
        <f t="shared" si="46"/>
        <v>1</v>
      </c>
      <c r="X29" s="45"/>
      <c r="Y29" s="48">
        <f t="shared" si="47"/>
        <v>5</v>
      </c>
      <c r="Z29" s="43">
        <v>5</v>
      </c>
      <c r="AA29" s="47">
        <f t="shared" si="8"/>
        <v>0</v>
      </c>
      <c r="AB29" s="45"/>
      <c r="AC29" s="48">
        <f t="shared" si="48"/>
        <v>5</v>
      </c>
      <c r="AD29" s="43">
        <v>3</v>
      </c>
      <c r="AE29" s="47">
        <f t="shared" si="49"/>
        <v>2</v>
      </c>
      <c r="AF29" s="45">
        <v>1</v>
      </c>
      <c r="AG29" s="48">
        <f t="shared" si="50"/>
        <v>7</v>
      </c>
      <c r="AH29" s="43">
        <v>6</v>
      </c>
      <c r="AI29" s="47">
        <f t="shared" si="12"/>
        <v>1</v>
      </c>
      <c r="AJ29" s="45"/>
      <c r="AK29" s="48">
        <f t="shared" si="51"/>
        <v>6</v>
      </c>
      <c r="AL29" s="43">
        <v>5</v>
      </c>
      <c r="AM29" s="47">
        <f t="shared" si="52"/>
        <v>1</v>
      </c>
      <c r="AN29" s="45"/>
      <c r="AO29" s="48">
        <f t="shared" si="53"/>
        <v>5</v>
      </c>
      <c r="AP29" s="43">
        <v>4</v>
      </c>
      <c r="AQ29" s="47">
        <f t="shared" si="16"/>
        <v>1</v>
      </c>
      <c r="AR29" s="45"/>
      <c r="AS29" s="48">
        <f t="shared" si="54"/>
        <v>4</v>
      </c>
      <c r="AT29" s="43">
        <v>2</v>
      </c>
      <c r="AU29" s="47">
        <f t="shared" si="55"/>
        <v>2</v>
      </c>
      <c r="AV29" s="45">
        <v>1</v>
      </c>
      <c r="AW29" s="48">
        <f t="shared" si="56"/>
        <v>6</v>
      </c>
      <c r="AX29" s="43">
        <v>4</v>
      </c>
      <c r="AY29" s="47">
        <f t="shared" si="57"/>
        <v>2</v>
      </c>
      <c r="AZ29" s="45"/>
      <c r="BA29" s="48">
        <f t="shared" si="58"/>
        <v>4</v>
      </c>
      <c r="BB29" s="43">
        <v>4</v>
      </c>
      <c r="BC29" s="47">
        <f t="shared" si="77"/>
        <v>0</v>
      </c>
      <c r="BD29" s="45"/>
      <c r="BE29" s="48">
        <f t="shared" si="78"/>
        <v>4</v>
      </c>
      <c r="BF29" s="43">
        <v>2</v>
      </c>
      <c r="BG29" s="47">
        <f t="shared" si="79"/>
        <v>2</v>
      </c>
      <c r="BH29" s="45">
        <v>1</v>
      </c>
      <c r="BI29" s="48">
        <f t="shared" si="80"/>
        <v>6</v>
      </c>
      <c r="BJ29" s="43">
        <v>5</v>
      </c>
      <c r="BK29" s="47">
        <f t="shared" si="81"/>
        <v>1</v>
      </c>
      <c r="BL29" s="45">
        <v>1</v>
      </c>
      <c r="BM29" s="48">
        <f t="shared" si="82"/>
        <v>9</v>
      </c>
      <c r="BN29" s="43"/>
      <c r="BO29" s="47">
        <f t="shared" si="83"/>
        <v>9</v>
      </c>
      <c r="BP29" s="45"/>
      <c r="BQ29" s="48">
        <f t="shared" si="84"/>
        <v>0</v>
      </c>
      <c r="BR29" s="43"/>
      <c r="BS29" s="47">
        <f t="shared" si="85"/>
        <v>0</v>
      </c>
      <c r="BT29" s="45"/>
      <c r="BU29" s="48">
        <f t="shared" si="86"/>
        <v>0</v>
      </c>
      <c r="BV29" s="43"/>
      <c r="BW29" s="47">
        <f t="shared" si="87"/>
        <v>0</v>
      </c>
      <c r="BX29" s="45"/>
      <c r="BY29" s="48">
        <f t="shared" si="88"/>
        <v>0</v>
      </c>
      <c r="BZ29" s="43"/>
      <c r="CA29" s="47">
        <f t="shared" si="89"/>
        <v>0</v>
      </c>
      <c r="CB29" s="45"/>
      <c r="CC29" s="48">
        <f t="shared" si="90"/>
        <v>0</v>
      </c>
      <c r="CD29" s="43"/>
      <c r="CE29" s="47">
        <f t="shared" si="91"/>
        <v>0</v>
      </c>
      <c r="CF29" s="45"/>
      <c r="CG29" s="48">
        <f t="shared" si="92"/>
        <v>0</v>
      </c>
      <c r="CH29" s="43"/>
      <c r="CI29" s="47">
        <f t="shared" si="93"/>
        <v>0</v>
      </c>
      <c r="CJ29" s="45"/>
      <c r="CK29" s="48">
        <f t="shared" si="94"/>
        <v>0</v>
      </c>
    </row>
    <row r="30" spans="1:89" s="89" customFormat="1" ht="20.100000000000001" hidden="1" customHeight="1" x14ac:dyDescent="0.25">
      <c r="A30" s="152" t="s">
        <v>271</v>
      </c>
      <c r="B30" s="9" t="s">
        <v>7</v>
      </c>
      <c r="C30" s="10">
        <v>24</v>
      </c>
      <c r="D30" s="9" t="s">
        <v>9</v>
      </c>
      <c r="E30" s="13">
        <v>24</v>
      </c>
      <c r="F30" s="43">
        <v>22</v>
      </c>
      <c r="G30" s="47">
        <v>0</v>
      </c>
      <c r="H30" s="45"/>
      <c r="I30" s="48">
        <f>+F30+H30*$E30</f>
        <v>22</v>
      </c>
      <c r="J30" s="43">
        <v>7.3</v>
      </c>
      <c r="K30" s="47">
        <f>+I30-J30</f>
        <v>14.7</v>
      </c>
      <c r="L30" s="45"/>
      <c r="M30" s="48">
        <f>+J30+L30*$E30</f>
        <v>7.3</v>
      </c>
      <c r="N30" s="43">
        <v>15</v>
      </c>
      <c r="O30" s="47">
        <v>-7.7</v>
      </c>
      <c r="P30" s="45"/>
      <c r="Q30" s="48">
        <f>+N30+P30*$E30</f>
        <v>15</v>
      </c>
      <c r="R30" s="43">
        <v>15</v>
      </c>
      <c r="S30" s="47">
        <f>+Q30-R30</f>
        <v>0</v>
      </c>
      <c r="T30" s="45"/>
      <c r="U30" s="48">
        <f>+R30+T30*$E30</f>
        <v>15</v>
      </c>
      <c r="V30" s="43">
        <v>14</v>
      </c>
      <c r="W30" s="47">
        <f>+U30-V30</f>
        <v>1</v>
      </c>
      <c r="X30" s="45"/>
      <c r="Y30" s="48">
        <f>+V30+X30*$E30</f>
        <v>14</v>
      </c>
      <c r="Z30" s="43">
        <v>14</v>
      </c>
      <c r="AA30" s="47">
        <f t="shared" si="8"/>
        <v>0</v>
      </c>
      <c r="AB30" s="45"/>
      <c r="AC30" s="48">
        <f>+Z30+AB30*$E30</f>
        <v>14</v>
      </c>
      <c r="AD30" s="43">
        <v>13</v>
      </c>
      <c r="AE30" s="47">
        <f>+AC30-AD30</f>
        <v>1</v>
      </c>
      <c r="AF30" s="45"/>
      <c r="AG30" s="48">
        <f>+AD30+AF30*$E30</f>
        <v>13</v>
      </c>
      <c r="AH30" s="43">
        <v>12</v>
      </c>
      <c r="AI30" s="47">
        <f t="shared" si="12"/>
        <v>1</v>
      </c>
      <c r="AJ30" s="45"/>
      <c r="AK30" s="48">
        <f>+AH30+AJ30*$E30</f>
        <v>12</v>
      </c>
      <c r="AL30" s="43">
        <v>12</v>
      </c>
      <c r="AM30" s="47">
        <f>+AK30-AL30</f>
        <v>0</v>
      </c>
      <c r="AN30" s="45"/>
      <c r="AO30" s="48">
        <f>+AL30+AN30*$E30</f>
        <v>12</v>
      </c>
      <c r="AP30" s="43">
        <v>12</v>
      </c>
      <c r="AQ30" s="47">
        <f t="shared" si="16"/>
        <v>0</v>
      </c>
      <c r="AR30" s="45"/>
      <c r="AS30" s="48">
        <f>+AP30+AR30*$E30</f>
        <v>12</v>
      </c>
      <c r="AT30" s="43">
        <v>12</v>
      </c>
      <c r="AU30" s="47">
        <f>+AS30-AT30</f>
        <v>0</v>
      </c>
      <c r="AV30" s="45"/>
      <c r="AW30" s="48">
        <f>+AT30+AV30*$E30</f>
        <v>12</v>
      </c>
      <c r="AX30" s="43">
        <v>13</v>
      </c>
      <c r="AY30" s="47">
        <f>+AW30-AX30</f>
        <v>-1</v>
      </c>
      <c r="AZ30" s="45"/>
      <c r="BA30" s="48">
        <f>+AX30+AZ30*$E30</f>
        <v>13</v>
      </c>
      <c r="BB30" s="43">
        <v>13</v>
      </c>
      <c r="BC30" s="47">
        <f>+BA30-BB30</f>
        <v>0</v>
      </c>
      <c r="BD30" s="45"/>
      <c r="BE30" s="48">
        <f>+BB30+BD30*$E30</f>
        <v>13</v>
      </c>
      <c r="BF30" s="43">
        <v>10</v>
      </c>
      <c r="BG30" s="47">
        <f>+BE30-BF30</f>
        <v>3</v>
      </c>
      <c r="BH30" s="45">
        <v>1</v>
      </c>
      <c r="BI30" s="48">
        <f>+BF30+BH30*$E30</f>
        <v>34</v>
      </c>
      <c r="BJ30" s="43">
        <v>34</v>
      </c>
      <c r="BK30" s="47">
        <f>+BI30-BJ30</f>
        <v>0</v>
      </c>
      <c r="BL30" s="45"/>
      <c r="BM30" s="48">
        <f>+BJ30+BL30*$E30</f>
        <v>34</v>
      </c>
      <c r="BN30" s="43"/>
      <c r="BO30" s="47">
        <f>+BM30-BN30</f>
        <v>34</v>
      </c>
      <c r="BP30" s="45"/>
      <c r="BQ30" s="48">
        <f>+BN30+BP30*$E30</f>
        <v>0</v>
      </c>
      <c r="BR30" s="43"/>
      <c r="BS30" s="47">
        <f>+BQ30-BR30</f>
        <v>0</v>
      </c>
      <c r="BT30" s="45"/>
      <c r="BU30" s="48">
        <f>+BR30+BT30*$E30</f>
        <v>0</v>
      </c>
      <c r="BV30" s="43"/>
      <c r="BW30" s="47">
        <f>+BU30-BV30</f>
        <v>0</v>
      </c>
      <c r="BX30" s="45"/>
      <c r="BY30" s="48">
        <f>+BV30+BX30*$E30</f>
        <v>0</v>
      </c>
      <c r="BZ30" s="43"/>
      <c r="CA30" s="47">
        <f>+BY30-BZ30</f>
        <v>0</v>
      </c>
      <c r="CB30" s="45"/>
      <c r="CC30" s="48">
        <f>+BZ30+CB30*$E30</f>
        <v>0</v>
      </c>
      <c r="CD30" s="43"/>
      <c r="CE30" s="47">
        <f>+CC30-CD30</f>
        <v>0</v>
      </c>
      <c r="CF30" s="45"/>
      <c r="CG30" s="48">
        <f>+CD30+CF30*$E30</f>
        <v>0</v>
      </c>
      <c r="CH30" s="43"/>
      <c r="CI30" s="47">
        <f>+CG30-CH30</f>
        <v>0</v>
      </c>
      <c r="CJ30" s="45"/>
      <c r="CK30" s="48">
        <f>+CH30+CJ30*$E30</f>
        <v>0</v>
      </c>
    </row>
    <row r="31" spans="1:89" s="89" customFormat="1" ht="20.100000000000001" hidden="1" customHeight="1" x14ac:dyDescent="0.25">
      <c r="A31" s="152" t="s">
        <v>269</v>
      </c>
      <c r="B31" s="9" t="s">
        <v>7</v>
      </c>
      <c r="C31" s="10">
        <v>8</v>
      </c>
      <c r="D31" s="9" t="s">
        <v>9</v>
      </c>
      <c r="E31" s="13">
        <v>8</v>
      </c>
      <c r="F31" s="43">
        <v>10</v>
      </c>
      <c r="G31" s="47">
        <v>0</v>
      </c>
      <c r="H31" s="45"/>
      <c r="I31" s="48">
        <f>+F31+H31*$E31</f>
        <v>10</v>
      </c>
      <c r="J31" s="43">
        <v>7.3</v>
      </c>
      <c r="K31" s="47">
        <f>+I31-J31</f>
        <v>2.7</v>
      </c>
      <c r="L31" s="45"/>
      <c r="M31" s="48">
        <f>+J31+L31*$E31</f>
        <v>7.3</v>
      </c>
      <c r="N31" s="43">
        <v>7</v>
      </c>
      <c r="O31" s="47">
        <v>0.29999999999999982</v>
      </c>
      <c r="P31" s="45">
        <v>0</v>
      </c>
      <c r="Q31" s="48">
        <f>+N31+P31*$E31</f>
        <v>7</v>
      </c>
      <c r="R31" s="43">
        <v>6</v>
      </c>
      <c r="S31" s="47">
        <f>+Q31-R31</f>
        <v>1</v>
      </c>
      <c r="T31" s="45"/>
      <c r="U31" s="48">
        <f>+R31+T31*$E31</f>
        <v>6</v>
      </c>
      <c r="V31" s="43">
        <v>4</v>
      </c>
      <c r="W31" s="47">
        <f>+U31-V31</f>
        <v>2</v>
      </c>
      <c r="X31" s="49">
        <v>1</v>
      </c>
      <c r="Y31" s="48">
        <f>+V31+X31*$E31</f>
        <v>12</v>
      </c>
      <c r="Z31" s="43">
        <v>11</v>
      </c>
      <c r="AA31" s="47">
        <f t="shared" si="8"/>
        <v>1</v>
      </c>
      <c r="AB31" s="45"/>
      <c r="AC31" s="48">
        <f>+Z31+AB31*$E31</f>
        <v>11</v>
      </c>
      <c r="AD31" s="43">
        <v>9</v>
      </c>
      <c r="AE31" s="47">
        <f>+AC31-AD31</f>
        <v>2</v>
      </c>
      <c r="AF31" s="45"/>
      <c r="AG31" s="48">
        <f>+AD31+AF31*$E31</f>
        <v>9</v>
      </c>
      <c r="AH31" s="43">
        <v>7</v>
      </c>
      <c r="AI31" s="47">
        <f t="shared" si="12"/>
        <v>2</v>
      </c>
      <c r="AJ31" s="45"/>
      <c r="AK31" s="48">
        <f>+AH31+AJ31*$E31</f>
        <v>7</v>
      </c>
      <c r="AL31" s="43">
        <v>5</v>
      </c>
      <c r="AM31" s="47">
        <f>+AK31-AL31</f>
        <v>2</v>
      </c>
      <c r="AN31" s="45">
        <v>1</v>
      </c>
      <c r="AO31" s="48">
        <f>+AL31+AN31*$E31</f>
        <v>13</v>
      </c>
      <c r="AP31" s="43">
        <v>11</v>
      </c>
      <c r="AQ31" s="47">
        <f t="shared" si="16"/>
        <v>2</v>
      </c>
      <c r="AR31" s="45"/>
      <c r="AS31" s="48">
        <f>+AP31+AR31*$E31</f>
        <v>11</v>
      </c>
      <c r="AT31" s="43">
        <v>8</v>
      </c>
      <c r="AU31" s="47">
        <f>+AS31-AT31</f>
        <v>3</v>
      </c>
      <c r="AV31" s="45"/>
      <c r="AW31" s="48">
        <f>+AT31+AV31*$E31</f>
        <v>8</v>
      </c>
      <c r="AX31" s="43">
        <v>6</v>
      </c>
      <c r="AY31" s="47">
        <f>+AW31-AX31</f>
        <v>2</v>
      </c>
      <c r="AZ31" s="45"/>
      <c r="BA31" s="48">
        <f>+AX31+AZ31*$E31</f>
        <v>6</v>
      </c>
      <c r="BB31" s="43">
        <v>6</v>
      </c>
      <c r="BC31" s="47">
        <f>+BA31-BB31</f>
        <v>0</v>
      </c>
      <c r="BD31" s="45"/>
      <c r="BE31" s="48">
        <f>+BB31+BD31*$E31</f>
        <v>6</v>
      </c>
      <c r="BF31" s="43">
        <v>2</v>
      </c>
      <c r="BG31" s="47">
        <f>+BE31-BF31</f>
        <v>4</v>
      </c>
      <c r="BH31" s="45">
        <v>1</v>
      </c>
      <c r="BI31" s="48">
        <f>+BF31+BH31*$E31</f>
        <v>10</v>
      </c>
      <c r="BJ31" s="43">
        <v>8</v>
      </c>
      <c r="BK31" s="47">
        <f>+BI31-BJ31</f>
        <v>2</v>
      </c>
      <c r="BL31" s="45"/>
      <c r="BM31" s="48">
        <f>+BJ31+BL31*$E31</f>
        <v>8</v>
      </c>
      <c r="BN31" s="43"/>
      <c r="BO31" s="47">
        <f>+BM31-BN31</f>
        <v>8</v>
      </c>
      <c r="BP31" s="45"/>
      <c r="BQ31" s="48">
        <f>+BN31+BP31*$E31</f>
        <v>0</v>
      </c>
      <c r="BR31" s="43"/>
      <c r="BS31" s="47">
        <f>+BQ31-BR31</f>
        <v>0</v>
      </c>
      <c r="BT31" s="45"/>
      <c r="BU31" s="48">
        <f>+BR31+BT31*$E31</f>
        <v>0</v>
      </c>
      <c r="BV31" s="43"/>
      <c r="BW31" s="47">
        <f>+BU31-BV31</f>
        <v>0</v>
      </c>
      <c r="BX31" s="45"/>
      <c r="BY31" s="48">
        <f>+BV31+BX31*$E31</f>
        <v>0</v>
      </c>
      <c r="BZ31" s="43"/>
      <c r="CA31" s="47">
        <f>+BY31-BZ31</f>
        <v>0</v>
      </c>
      <c r="CB31" s="45"/>
      <c r="CC31" s="48">
        <f>+BZ31+CB31*$E31</f>
        <v>0</v>
      </c>
      <c r="CD31" s="43"/>
      <c r="CE31" s="47">
        <f>+CC31-CD31</f>
        <v>0</v>
      </c>
      <c r="CF31" s="45"/>
      <c r="CG31" s="48">
        <f>+CD31+CF31*$E31</f>
        <v>0</v>
      </c>
      <c r="CH31" s="43"/>
      <c r="CI31" s="47">
        <f>+CG31-CH31</f>
        <v>0</v>
      </c>
      <c r="CJ31" s="45"/>
      <c r="CK31" s="48">
        <f>+CH31+CJ31*$E31</f>
        <v>0</v>
      </c>
    </row>
    <row r="32" spans="1:89" s="89" customFormat="1" ht="20.100000000000001" hidden="1" customHeight="1" x14ac:dyDescent="0.25">
      <c r="A32" s="152" t="s">
        <v>268</v>
      </c>
      <c r="B32" s="9" t="s">
        <v>7</v>
      </c>
      <c r="C32" s="10">
        <v>8</v>
      </c>
      <c r="D32" s="9" t="s">
        <v>9</v>
      </c>
      <c r="E32" s="13">
        <v>8</v>
      </c>
      <c r="F32" s="43">
        <v>4</v>
      </c>
      <c r="G32" s="47">
        <v>0</v>
      </c>
      <c r="H32" s="45"/>
      <c r="I32" s="48">
        <f>+F32+H32*$E32</f>
        <v>4</v>
      </c>
      <c r="J32" s="43">
        <v>7.3</v>
      </c>
      <c r="K32" s="47">
        <f>+I32-J32</f>
        <v>-3.3</v>
      </c>
      <c r="L32" s="45"/>
      <c r="M32" s="48">
        <f>+J32+L32*$E32</f>
        <v>7.3</v>
      </c>
      <c r="N32" s="43">
        <v>3</v>
      </c>
      <c r="O32" s="47">
        <v>4.3</v>
      </c>
      <c r="P32" s="45"/>
      <c r="Q32" s="48">
        <f>+N32+P32*$E32</f>
        <v>3</v>
      </c>
      <c r="R32" s="43">
        <v>1</v>
      </c>
      <c r="S32" s="47">
        <f>+Q32-R32</f>
        <v>2</v>
      </c>
      <c r="T32" s="45">
        <v>1</v>
      </c>
      <c r="U32" s="48">
        <f>+R32+T32*$E32</f>
        <v>9</v>
      </c>
      <c r="V32" s="43">
        <v>7</v>
      </c>
      <c r="W32" s="47">
        <f>+U32-V32</f>
        <v>2</v>
      </c>
      <c r="X32" s="45"/>
      <c r="Y32" s="48">
        <f>+V32+X32*$E32</f>
        <v>7</v>
      </c>
      <c r="Z32" s="43">
        <v>7</v>
      </c>
      <c r="AA32" s="47">
        <f t="shared" si="8"/>
        <v>0</v>
      </c>
      <c r="AB32" s="45"/>
      <c r="AC32" s="48">
        <f>+Z32+AB32*$E32</f>
        <v>7</v>
      </c>
      <c r="AD32" s="43">
        <v>7</v>
      </c>
      <c r="AE32" s="47">
        <f>+AC32-AD32</f>
        <v>0</v>
      </c>
      <c r="AF32" s="45"/>
      <c r="AG32" s="48">
        <f>+AD32+AF32*$E32</f>
        <v>7</v>
      </c>
      <c r="AH32" s="43">
        <v>6</v>
      </c>
      <c r="AI32" s="47">
        <f t="shared" si="12"/>
        <v>1</v>
      </c>
      <c r="AJ32" s="45"/>
      <c r="AK32" s="48">
        <f>+AH32+AJ32*$E32</f>
        <v>6</v>
      </c>
      <c r="AL32" s="43">
        <v>6</v>
      </c>
      <c r="AM32" s="47">
        <f>+AK32-AL32</f>
        <v>0</v>
      </c>
      <c r="AN32" s="45"/>
      <c r="AO32" s="48">
        <f>+AL32+AN32*$E32</f>
        <v>6</v>
      </c>
      <c r="AP32" s="43">
        <v>5</v>
      </c>
      <c r="AQ32" s="47">
        <f t="shared" si="16"/>
        <v>1</v>
      </c>
      <c r="AR32" s="45"/>
      <c r="AS32" s="48">
        <f>+AP32+AR32*$E32</f>
        <v>5</v>
      </c>
      <c r="AT32" s="43">
        <v>3</v>
      </c>
      <c r="AU32" s="47">
        <f>+AS32-AT32</f>
        <v>2</v>
      </c>
      <c r="AV32" s="45">
        <v>1</v>
      </c>
      <c r="AW32" s="48">
        <f>+AT32+AV32*$E32</f>
        <v>11</v>
      </c>
      <c r="AX32" s="43">
        <v>10</v>
      </c>
      <c r="AY32" s="47">
        <f>+AW32-AX32</f>
        <v>1</v>
      </c>
      <c r="AZ32" s="45"/>
      <c r="BA32" s="48">
        <f>+AX32+AZ32*$E32</f>
        <v>10</v>
      </c>
      <c r="BB32" s="43">
        <v>10</v>
      </c>
      <c r="BC32" s="47">
        <f>+BA32-BB32</f>
        <v>0</v>
      </c>
      <c r="BD32" s="45"/>
      <c r="BE32" s="48">
        <f>+BB32+BD32*$E32</f>
        <v>10</v>
      </c>
      <c r="BF32" s="43">
        <v>10</v>
      </c>
      <c r="BG32" s="47">
        <f>+BE32-BF32</f>
        <v>0</v>
      </c>
      <c r="BH32" s="45"/>
      <c r="BI32" s="48">
        <f>+BF32+BH32*$E32</f>
        <v>10</v>
      </c>
      <c r="BJ32" s="43">
        <v>10</v>
      </c>
      <c r="BK32" s="47">
        <f>+BI32-BJ32</f>
        <v>0</v>
      </c>
      <c r="BL32" s="45"/>
      <c r="BM32" s="48">
        <f>+BJ32+BL32*$E32</f>
        <v>10</v>
      </c>
      <c r="BN32" s="43"/>
      <c r="BO32" s="47">
        <f>+BM32-BN32</f>
        <v>10</v>
      </c>
      <c r="BP32" s="45"/>
      <c r="BQ32" s="48">
        <f>+BN32+BP32*$E32</f>
        <v>0</v>
      </c>
      <c r="BR32" s="43"/>
      <c r="BS32" s="47">
        <f>+BQ32-BR32</f>
        <v>0</v>
      </c>
      <c r="BT32" s="45"/>
      <c r="BU32" s="48">
        <f>+BR32+BT32*$E32</f>
        <v>0</v>
      </c>
      <c r="BV32" s="43"/>
      <c r="BW32" s="47">
        <f>+BU32-BV32</f>
        <v>0</v>
      </c>
      <c r="BX32" s="45"/>
      <c r="BY32" s="48">
        <f>+BV32+BX32*$E32</f>
        <v>0</v>
      </c>
      <c r="BZ32" s="43"/>
      <c r="CA32" s="47">
        <f>+BY32-BZ32</f>
        <v>0</v>
      </c>
      <c r="CB32" s="45"/>
      <c r="CC32" s="48">
        <f>+BZ32+CB32*$E32</f>
        <v>0</v>
      </c>
      <c r="CD32" s="43"/>
      <c r="CE32" s="47">
        <f>+CC32-CD32</f>
        <v>0</v>
      </c>
      <c r="CF32" s="45"/>
      <c r="CG32" s="48">
        <f>+CD32+CF32*$E32</f>
        <v>0</v>
      </c>
      <c r="CH32" s="43"/>
      <c r="CI32" s="47">
        <f>+CG32-CH32</f>
        <v>0</v>
      </c>
      <c r="CJ32" s="45"/>
      <c r="CK32" s="48">
        <f>+CH32+CJ32*$E32</f>
        <v>0</v>
      </c>
    </row>
    <row r="33" spans="1:89" s="89" customFormat="1" ht="20.100000000000001" hidden="1" customHeight="1" x14ac:dyDescent="0.25">
      <c r="A33" s="152" t="s">
        <v>270</v>
      </c>
      <c r="B33" s="9" t="s">
        <v>7</v>
      </c>
      <c r="C33" s="10">
        <v>24</v>
      </c>
      <c r="D33" s="9" t="s">
        <v>9</v>
      </c>
      <c r="E33" s="13">
        <v>24</v>
      </c>
      <c r="F33" s="43">
        <v>24</v>
      </c>
      <c r="G33" s="47">
        <v>0</v>
      </c>
      <c r="H33" s="45"/>
      <c r="I33" s="48">
        <f>+F33+H33*$E33</f>
        <v>24</v>
      </c>
      <c r="J33" s="43">
        <v>7.3</v>
      </c>
      <c r="K33" s="47">
        <f>+I33-J33</f>
        <v>16.7</v>
      </c>
      <c r="L33" s="45"/>
      <c r="M33" s="48">
        <f>+J33+L33*$E33</f>
        <v>7.3</v>
      </c>
      <c r="N33" s="43">
        <v>9</v>
      </c>
      <c r="O33" s="47">
        <v>-1.7000000000000002</v>
      </c>
      <c r="P33" s="45"/>
      <c r="Q33" s="48">
        <f>+N33+P33*$E33</f>
        <v>9</v>
      </c>
      <c r="R33" s="43">
        <v>10</v>
      </c>
      <c r="S33" s="47">
        <f>+Q33-R33</f>
        <v>-1</v>
      </c>
      <c r="T33" s="45"/>
      <c r="U33" s="48">
        <f>+R33+T33*$E33</f>
        <v>10</v>
      </c>
      <c r="V33" s="43">
        <v>6</v>
      </c>
      <c r="W33" s="47">
        <f>+U33-V33</f>
        <v>4</v>
      </c>
      <c r="X33" s="45"/>
      <c r="Y33" s="48">
        <f>+V33+X33*$E33</f>
        <v>6</v>
      </c>
      <c r="Z33" s="43">
        <v>6</v>
      </c>
      <c r="AA33" s="47">
        <f t="shared" si="8"/>
        <v>0</v>
      </c>
      <c r="AB33" s="45"/>
      <c r="AC33" s="48">
        <f>+Z33+AB33*$E33</f>
        <v>6</v>
      </c>
      <c r="AD33" s="43">
        <v>5</v>
      </c>
      <c r="AE33" s="47">
        <f>+AC33-AD33</f>
        <v>1</v>
      </c>
      <c r="AF33" s="45">
        <v>1</v>
      </c>
      <c r="AG33" s="48">
        <f>+AD33+AF33*$E33</f>
        <v>29</v>
      </c>
      <c r="AH33" s="43">
        <v>21</v>
      </c>
      <c r="AI33" s="47">
        <f t="shared" si="12"/>
        <v>8</v>
      </c>
      <c r="AJ33" s="45"/>
      <c r="AK33" s="48">
        <f>+AH33+AJ33*$E33</f>
        <v>21</v>
      </c>
      <c r="AL33" s="43">
        <v>21</v>
      </c>
      <c r="AM33" s="47">
        <f>+AK33-AL33</f>
        <v>0</v>
      </c>
      <c r="AN33" s="45"/>
      <c r="AO33" s="48">
        <f>+AL33+AN33*$E33</f>
        <v>21</v>
      </c>
      <c r="AP33" s="43">
        <v>21</v>
      </c>
      <c r="AQ33" s="47">
        <f t="shared" si="16"/>
        <v>0</v>
      </c>
      <c r="AR33" s="45"/>
      <c r="AS33" s="48">
        <f>+AP33+AR33*$E33</f>
        <v>21</v>
      </c>
      <c r="AT33" s="43">
        <v>21</v>
      </c>
      <c r="AU33" s="47">
        <f>+AS33-AT33</f>
        <v>0</v>
      </c>
      <c r="AV33" s="45"/>
      <c r="AW33" s="48">
        <f>+AT33+AV33*$E33</f>
        <v>21</v>
      </c>
      <c r="AX33" s="43">
        <v>21</v>
      </c>
      <c r="AY33" s="47">
        <f>+AW33-AX33</f>
        <v>0</v>
      </c>
      <c r="AZ33" s="45"/>
      <c r="BA33" s="48">
        <f>+AX33+AZ33*$E33</f>
        <v>21</v>
      </c>
      <c r="BB33" s="43">
        <v>21</v>
      </c>
      <c r="BC33" s="47">
        <f>+BA33-BB33</f>
        <v>0</v>
      </c>
      <c r="BD33" s="45"/>
      <c r="BE33" s="48">
        <f>+BB33+BD33*$E33</f>
        <v>21</v>
      </c>
      <c r="BF33" s="43">
        <v>21</v>
      </c>
      <c r="BG33" s="47">
        <f>+BE33-BF33</f>
        <v>0</v>
      </c>
      <c r="BH33" s="45"/>
      <c r="BI33" s="48">
        <f>+BF33+BH33*$E33</f>
        <v>21</v>
      </c>
      <c r="BJ33" s="43">
        <v>20</v>
      </c>
      <c r="BK33" s="47">
        <f>+BI33-BJ33</f>
        <v>1</v>
      </c>
      <c r="BL33" s="45"/>
      <c r="BM33" s="48">
        <f>+BJ33+BL33*$E33</f>
        <v>20</v>
      </c>
      <c r="BN33" s="43"/>
      <c r="BO33" s="47">
        <f>+BM33-BN33</f>
        <v>20</v>
      </c>
      <c r="BP33" s="45"/>
      <c r="BQ33" s="48">
        <f>+BN33+BP33*$E33</f>
        <v>0</v>
      </c>
      <c r="BR33" s="43"/>
      <c r="BS33" s="47">
        <f>+BQ33-BR33</f>
        <v>0</v>
      </c>
      <c r="BT33" s="45"/>
      <c r="BU33" s="48">
        <f>+BR33+BT33*$E33</f>
        <v>0</v>
      </c>
      <c r="BV33" s="43"/>
      <c r="BW33" s="47">
        <f>+BU33-BV33</f>
        <v>0</v>
      </c>
      <c r="BX33" s="45"/>
      <c r="BY33" s="48">
        <f>+BV33+BX33*$E33</f>
        <v>0</v>
      </c>
      <c r="BZ33" s="43"/>
      <c r="CA33" s="47">
        <f>+BY33-BZ33</f>
        <v>0</v>
      </c>
      <c r="CB33" s="45"/>
      <c r="CC33" s="48">
        <f>+BZ33+CB33*$E33</f>
        <v>0</v>
      </c>
      <c r="CD33" s="43"/>
      <c r="CE33" s="47">
        <f>+CC33-CD33</f>
        <v>0</v>
      </c>
      <c r="CF33" s="45"/>
      <c r="CG33" s="48">
        <f>+CD33+CF33*$E33</f>
        <v>0</v>
      </c>
      <c r="CH33" s="43"/>
      <c r="CI33" s="47">
        <f>+CG33-CH33</f>
        <v>0</v>
      </c>
      <c r="CJ33" s="45"/>
      <c r="CK33" s="48">
        <f>+CH33+CJ33*$E33</f>
        <v>0</v>
      </c>
    </row>
    <row r="34" spans="1:89" s="89" customFormat="1" ht="20.100000000000001" hidden="1" customHeight="1" x14ac:dyDescent="0.25">
      <c r="A34" s="152" t="s">
        <v>267</v>
      </c>
      <c r="B34" s="9" t="s">
        <v>7</v>
      </c>
      <c r="C34" s="10">
        <v>8</v>
      </c>
      <c r="D34" s="9" t="s">
        <v>9</v>
      </c>
      <c r="E34" s="13">
        <v>8</v>
      </c>
      <c r="F34" s="43">
        <v>5</v>
      </c>
      <c r="G34" s="47">
        <v>0</v>
      </c>
      <c r="H34" s="45"/>
      <c r="I34" s="48">
        <f>+F34+H34*$E34</f>
        <v>5</v>
      </c>
      <c r="J34" s="43">
        <v>7.3</v>
      </c>
      <c r="K34" s="47">
        <f>+I34-J34</f>
        <v>-2.2999999999999998</v>
      </c>
      <c r="L34" s="45"/>
      <c r="M34" s="48">
        <f>+J34+L34*$E34</f>
        <v>7.3</v>
      </c>
      <c r="N34" s="43">
        <v>4</v>
      </c>
      <c r="O34" s="47">
        <v>3.3</v>
      </c>
      <c r="P34" s="45"/>
      <c r="Q34" s="48">
        <f>+N34+P34*$E34</f>
        <v>4</v>
      </c>
      <c r="R34" s="43">
        <v>3</v>
      </c>
      <c r="S34" s="47">
        <f>+Q34-R34</f>
        <v>1</v>
      </c>
      <c r="T34" s="45"/>
      <c r="U34" s="48">
        <f>+R34+T34*$E34</f>
        <v>3</v>
      </c>
      <c r="V34" s="43">
        <v>1</v>
      </c>
      <c r="W34" s="47">
        <f>+U34-V34</f>
        <v>2</v>
      </c>
      <c r="X34" s="49">
        <v>1</v>
      </c>
      <c r="Y34" s="48">
        <f>+V34+X34*$E34</f>
        <v>9</v>
      </c>
      <c r="Z34" s="43">
        <v>9</v>
      </c>
      <c r="AA34" s="47">
        <f t="shared" si="8"/>
        <v>0</v>
      </c>
      <c r="AB34" s="45"/>
      <c r="AC34" s="48">
        <f>+Z34+AB34*$E34</f>
        <v>9</v>
      </c>
      <c r="AD34" s="43">
        <v>7</v>
      </c>
      <c r="AE34" s="47">
        <f>+AC34-AD34</f>
        <v>2</v>
      </c>
      <c r="AF34" s="45"/>
      <c r="AG34" s="48">
        <f>+AD34+AF34*$E34</f>
        <v>7</v>
      </c>
      <c r="AH34" s="43">
        <v>7</v>
      </c>
      <c r="AI34" s="47">
        <f t="shared" si="12"/>
        <v>0</v>
      </c>
      <c r="AJ34" s="45"/>
      <c r="AK34" s="48">
        <f>+AH34+AJ34*$E34</f>
        <v>7</v>
      </c>
      <c r="AL34" s="43">
        <v>6</v>
      </c>
      <c r="AM34" s="47">
        <f>+AK34-AL34</f>
        <v>1</v>
      </c>
      <c r="AN34" s="45">
        <v>1</v>
      </c>
      <c r="AO34" s="48">
        <f>+AL34+AN34*$E34</f>
        <v>14</v>
      </c>
      <c r="AP34" s="43">
        <v>12</v>
      </c>
      <c r="AQ34" s="47">
        <f t="shared" si="16"/>
        <v>2</v>
      </c>
      <c r="AR34" s="45"/>
      <c r="AS34" s="48">
        <f>+AP34+AR34*$E34</f>
        <v>12</v>
      </c>
      <c r="AT34" s="43">
        <v>11</v>
      </c>
      <c r="AU34" s="47">
        <f>+AS34-AT34</f>
        <v>1</v>
      </c>
      <c r="AV34" s="45"/>
      <c r="AW34" s="48">
        <f>+AT34+AV34*$E34</f>
        <v>11</v>
      </c>
      <c r="AX34" s="43">
        <v>8</v>
      </c>
      <c r="AY34" s="47">
        <f>+AW34-AX34</f>
        <v>3</v>
      </c>
      <c r="AZ34" s="45"/>
      <c r="BA34" s="48">
        <f>+AX34+AZ34*$E34</f>
        <v>8</v>
      </c>
      <c r="BB34" s="43">
        <v>8</v>
      </c>
      <c r="BC34" s="47">
        <f>+BA34-BB34</f>
        <v>0</v>
      </c>
      <c r="BD34" s="45"/>
      <c r="BE34" s="48">
        <f>+BB34+BD34*$E34</f>
        <v>8</v>
      </c>
      <c r="BF34" s="43">
        <v>8</v>
      </c>
      <c r="BG34" s="47">
        <f>+BE34-BF34</f>
        <v>0</v>
      </c>
      <c r="BH34" s="45"/>
      <c r="BI34" s="48">
        <f>+BF34+BH34*$E34</f>
        <v>8</v>
      </c>
      <c r="BJ34" s="43">
        <v>7</v>
      </c>
      <c r="BK34" s="47">
        <f>+BI34-BJ34</f>
        <v>1</v>
      </c>
      <c r="BL34" s="45"/>
      <c r="BM34" s="48">
        <f>+BJ34+BL34*$E34</f>
        <v>7</v>
      </c>
      <c r="BN34" s="43"/>
      <c r="BO34" s="47">
        <f>+BM34-BN34</f>
        <v>7</v>
      </c>
      <c r="BP34" s="45"/>
      <c r="BQ34" s="48">
        <f>+BN34+BP34*$E34</f>
        <v>0</v>
      </c>
      <c r="BR34" s="43"/>
      <c r="BS34" s="47">
        <f>+BQ34-BR34</f>
        <v>0</v>
      </c>
      <c r="BT34" s="45"/>
      <c r="BU34" s="48">
        <f>+BR34+BT34*$E34</f>
        <v>0</v>
      </c>
      <c r="BV34" s="43"/>
      <c r="BW34" s="47">
        <f>+BU34-BV34</f>
        <v>0</v>
      </c>
      <c r="BX34" s="45"/>
      <c r="BY34" s="48">
        <f>+BV34+BX34*$E34</f>
        <v>0</v>
      </c>
      <c r="BZ34" s="43"/>
      <c r="CA34" s="47">
        <f>+BY34-BZ34</f>
        <v>0</v>
      </c>
      <c r="CB34" s="45"/>
      <c r="CC34" s="48">
        <f>+BZ34+CB34*$E34</f>
        <v>0</v>
      </c>
      <c r="CD34" s="43"/>
      <c r="CE34" s="47">
        <f>+CC34-CD34</f>
        <v>0</v>
      </c>
      <c r="CF34" s="45"/>
      <c r="CG34" s="48">
        <f>+CD34+CF34*$E34</f>
        <v>0</v>
      </c>
      <c r="CH34" s="43"/>
      <c r="CI34" s="47">
        <f>+CG34-CH34</f>
        <v>0</v>
      </c>
      <c r="CJ34" s="45"/>
      <c r="CK34" s="48">
        <f>+CH34+CJ34*$E34</f>
        <v>0</v>
      </c>
    </row>
    <row r="35" spans="1:89" s="89" customFormat="1" ht="20.100000000000001" hidden="1" customHeight="1" x14ac:dyDescent="0.25">
      <c r="A35" s="152" t="s">
        <v>76</v>
      </c>
      <c r="B35" s="9" t="s">
        <v>7</v>
      </c>
      <c r="C35" s="17">
        <v>5</v>
      </c>
      <c r="D35" s="9" t="s">
        <v>361</v>
      </c>
      <c r="E35" s="13">
        <v>4</v>
      </c>
      <c r="F35" s="43">
        <v>3</v>
      </c>
      <c r="G35" s="47">
        <v>1</v>
      </c>
      <c r="H35" s="45">
        <v>2</v>
      </c>
      <c r="I35" s="48">
        <f t="shared" si="40"/>
        <v>11</v>
      </c>
      <c r="J35" s="43">
        <v>7.3</v>
      </c>
      <c r="K35" s="47">
        <f t="shared" si="41"/>
        <v>3.7</v>
      </c>
      <c r="L35" s="45"/>
      <c r="M35" s="48">
        <f t="shared" si="42"/>
        <v>7.3</v>
      </c>
      <c r="N35" s="43">
        <v>6</v>
      </c>
      <c r="O35" s="47">
        <v>1.2999999999999998</v>
      </c>
      <c r="P35" s="45"/>
      <c r="Q35" s="48">
        <f t="shared" si="43"/>
        <v>6</v>
      </c>
      <c r="R35" s="43">
        <v>4</v>
      </c>
      <c r="S35" s="47">
        <f t="shared" si="44"/>
        <v>2</v>
      </c>
      <c r="T35" s="45"/>
      <c r="U35" s="48">
        <f t="shared" si="45"/>
        <v>4</v>
      </c>
      <c r="V35" s="43">
        <v>3</v>
      </c>
      <c r="W35" s="47">
        <f t="shared" ref="W35:W44" si="95">+U35-V35</f>
        <v>1</v>
      </c>
      <c r="X35" s="49">
        <v>1</v>
      </c>
      <c r="Y35" s="48">
        <f t="shared" ref="Y35:Y44" si="96">+V35+X35*$E35</f>
        <v>7</v>
      </c>
      <c r="Z35" s="43">
        <v>6</v>
      </c>
      <c r="AA35" s="47">
        <f t="shared" si="8"/>
        <v>1</v>
      </c>
      <c r="AB35" s="45"/>
      <c r="AC35" s="48">
        <f t="shared" ref="AC35:AC44" si="97">+Z35+AB35*$E35</f>
        <v>6</v>
      </c>
      <c r="AD35" s="43">
        <v>5</v>
      </c>
      <c r="AE35" s="47">
        <f t="shared" ref="AE35:AE44" si="98">+AC35-AD35</f>
        <v>1</v>
      </c>
      <c r="AF35" s="45"/>
      <c r="AG35" s="48">
        <f t="shared" ref="AG35:AG44" si="99">+AD35+AF35*$E35</f>
        <v>5</v>
      </c>
      <c r="AH35" s="43">
        <v>5</v>
      </c>
      <c r="AI35" s="47">
        <f t="shared" si="12"/>
        <v>0</v>
      </c>
      <c r="AJ35" s="45"/>
      <c r="AK35" s="48">
        <f t="shared" ref="AK35:AK44" si="100">+AH35+AJ35*$E35</f>
        <v>5</v>
      </c>
      <c r="AL35" s="43">
        <v>4</v>
      </c>
      <c r="AM35" s="47">
        <f t="shared" ref="AM35:AM44" si="101">+AK35-AL35</f>
        <v>1</v>
      </c>
      <c r="AN35" s="45"/>
      <c r="AO35" s="48">
        <f t="shared" ref="AO35:AO44" si="102">+AL35+AN35*$E35</f>
        <v>4</v>
      </c>
      <c r="AP35" s="43">
        <v>4</v>
      </c>
      <c r="AQ35" s="47">
        <f t="shared" si="16"/>
        <v>0</v>
      </c>
      <c r="AR35" s="45"/>
      <c r="AS35" s="48">
        <f t="shared" ref="AS35:AS44" si="103">+AP35+AR35*$E35</f>
        <v>4</v>
      </c>
      <c r="AT35" s="43">
        <v>3</v>
      </c>
      <c r="AU35" s="47">
        <f t="shared" ref="AU35:AU44" si="104">+AS35-AT35</f>
        <v>1</v>
      </c>
      <c r="AV35" s="45">
        <v>1</v>
      </c>
      <c r="AW35" s="48">
        <f t="shared" ref="AW35:AW44" si="105">+AT35+AV35*$E35</f>
        <v>7</v>
      </c>
      <c r="AX35" s="43">
        <v>6</v>
      </c>
      <c r="AY35" s="47">
        <f t="shared" ref="AY35:AY44" si="106">+AW35-AX35</f>
        <v>1</v>
      </c>
      <c r="AZ35" s="45"/>
      <c r="BA35" s="48">
        <f t="shared" ref="BA35:BA44" si="107">+AX35+AZ35*$E35</f>
        <v>6</v>
      </c>
      <c r="BB35" s="43">
        <v>6</v>
      </c>
      <c r="BC35" s="47">
        <f t="shared" ref="BC35:BC44" si="108">+BA35-BB35</f>
        <v>0</v>
      </c>
      <c r="BD35" s="45"/>
      <c r="BE35" s="48">
        <f t="shared" ref="BE35:BE44" si="109">+BB35+BD35*$E35</f>
        <v>6</v>
      </c>
      <c r="BF35" s="43">
        <v>5</v>
      </c>
      <c r="BG35" s="47">
        <f t="shared" ref="BG35:BG44" si="110">+BE35-BF35</f>
        <v>1</v>
      </c>
      <c r="BH35" s="45">
        <v>1</v>
      </c>
      <c r="BI35" s="48">
        <f t="shared" ref="BI35:BI44" si="111">+BF35+BH35*$E35</f>
        <v>9</v>
      </c>
      <c r="BJ35" s="43">
        <v>8</v>
      </c>
      <c r="BK35" s="47">
        <f t="shared" ref="BK35:BK44" si="112">+BI35-BJ35</f>
        <v>1</v>
      </c>
      <c r="BL35" s="45"/>
      <c r="BM35" s="48">
        <f t="shared" ref="BM35:BM44" si="113">+BJ35+BL35*$E35</f>
        <v>8</v>
      </c>
      <c r="BN35" s="43"/>
      <c r="BO35" s="47">
        <f t="shared" ref="BO35:BO44" si="114">+BM35-BN35</f>
        <v>8</v>
      </c>
      <c r="BP35" s="45"/>
      <c r="BQ35" s="48">
        <f t="shared" ref="BQ35:BQ44" si="115">+BN35+BP35*$E35</f>
        <v>0</v>
      </c>
      <c r="BR35" s="43"/>
      <c r="BS35" s="47">
        <f t="shared" ref="BS35:BS44" si="116">+BQ35-BR35</f>
        <v>0</v>
      </c>
      <c r="BT35" s="45"/>
      <c r="BU35" s="48">
        <f t="shared" ref="BU35:BU44" si="117">+BR35+BT35*$E35</f>
        <v>0</v>
      </c>
      <c r="BV35" s="43"/>
      <c r="BW35" s="47">
        <f t="shared" ref="BW35:BW44" si="118">+BU35-BV35</f>
        <v>0</v>
      </c>
      <c r="BX35" s="45"/>
      <c r="BY35" s="48">
        <f t="shared" ref="BY35:BY44" si="119">+BV35+BX35*$E35</f>
        <v>0</v>
      </c>
      <c r="BZ35" s="43"/>
      <c r="CA35" s="47">
        <f t="shared" ref="CA35:CA44" si="120">+BY35-BZ35</f>
        <v>0</v>
      </c>
      <c r="CB35" s="45"/>
      <c r="CC35" s="48">
        <f t="shared" ref="CC35:CC44" si="121">+BZ35+CB35*$E35</f>
        <v>0</v>
      </c>
      <c r="CD35" s="43"/>
      <c r="CE35" s="47">
        <f t="shared" ref="CE35:CE44" si="122">+CC35-CD35</f>
        <v>0</v>
      </c>
      <c r="CF35" s="45"/>
      <c r="CG35" s="48">
        <f t="shared" ref="CG35:CG44" si="123">+CD35+CF35*$E35</f>
        <v>0</v>
      </c>
      <c r="CH35" s="43"/>
      <c r="CI35" s="47">
        <f t="shared" ref="CI35:CI44" si="124">+CG35-CH35</f>
        <v>0</v>
      </c>
      <c r="CJ35" s="45"/>
      <c r="CK35" s="48">
        <f t="shared" ref="CK35:CK44" si="125">+CH35+CJ35*$E35</f>
        <v>0</v>
      </c>
    </row>
    <row r="36" spans="1:89" s="89" customFormat="1" ht="20.100000000000001" hidden="1" customHeight="1" x14ac:dyDescent="0.25">
      <c r="A36" s="152" t="s">
        <v>77</v>
      </c>
      <c r="B36" s="9" t="s">
        <v>7</v>
      </c>
      <c r="C36" s="17">
        <v>5</v>
      </c>
      <c r="D36" s="9" t="s">
        <v>361</v>
      </c>
      <c r="E36" s="13">
        <v>4</v>
      </c>
      <c r="F36" s="43">
        <v>4</v>
      </c>
      <c r="G36" s="47">
        <v>2</v>
      </c>
      <c r="H36" s="45">
        <v>2</v>
      </c>
      <c r="I36" s="48">
        <f t="shared" si="40"/>
        <v>12</v>
      </c>
      <c r="J36" s="43">
        <v>7.3</v>
      </c>
      <c r="K36" s="47">
        <f t="shared" si="41"/>
        <v>4.7</v>
      </c>
      <c r="L36" s="45"/>
      <c r="M36" s="48">
        <f t="shared" si="42"/>
        <v>7.3</v>
      </c>
      <c r="N36" s="43">
        <v>7</v>
      </c>
      <c r="O36" s="47">
        <v>0.29999999999999982</v>
      </c>
      <c r="P36" s="45"/>
      <c r="Q36" s="48">
        <f t="shared" si="43"/>
        <v>7</v>
      </c>
      <c r="R36" s="43">
        <v>4</v>
      </c>
      <c r="S36" s="47">
        <f t="shared" si="44"/>
        <v>3</v>
      </c>
      <c r="T36" s="45"/>
      <c r="U36" s="48">
        <f t="shared" si="45"/>
        <v>4</v>
      </c>
      <c r="V36" s="43">
        <v>3</v>
      </c>
      <c r="W36" s="47">
        <f t="shared" si="95"/>
        <v>1</v>
      </c>
      <c r="X36" s="49">
        <v>1</v>
      </c>
      <c r="Y36" s="48">
        <f t="shared" si="96"/>
        <v>7</v>
      </c>
      <c r="Z36" s="43">
        <v>4</v>
      </c>
      <c r="AA36" s="47">
        <f t="shared" si="8"/>
        <v>3</v>
      </c>
      <c r="AB36" s="49">
        <v>1</v>
      </c>
      <c r="AC36" s="48">
        <f t="shared" si="97"/>
        <v>8</v>
      </c>
      <c r="AD36" s="43">
        <v>5</v>
      </c>
      <c r="AE36" s="47">
        <f t="shared" si="98"/>
        <v>3</v>
      </c>
      <c r="AF36" s="45"/>
      <c r="AG36" s="48">
        <f t="shared" si="99"/>
        <v>5</v>
      </c>
      <c r="AH36" s="43">
        <v>3</v>
      </c>
      <c r="AI36" s="47">
        <f t="shared" si="12"/>
        <v>2</v>
      </c>
      <c r="AJ36" s="45">
        <v>1</v>
      </c>
      <c r="AK36" s="48">
        <f t="shared" si="100"/>
        <v>7</v>
      </c>
      <c r="AL36" s="43">
        <v>5</v>
      </c>
      <c r="AM36" s="47">
        <f t="shared" si="101"/>
        <v>2</v>
      </c>
      <c r="AN36" s="45"/>
      <c r="AO36" s="48">
        <f t="shared" si="102"/>
        <v>5</v>
      </c>
      <c r="AP36" s="43">
        <v>3</v>
      </c>
      <c r="AQ36" s="47">
        <f t="shared" si="16"/>
        <v>2</v>
      </c>
      <c r="AR36" s="45">
        <v>1</v>
      </c>
      <c r="AS36" s="48">
        <f t="shared" si="103"/>
        <v>7</v>
      </c>
      <c r="AT36" s="43">
        <v>5</v>
      </c>
      <c r="AU36" s="47">
        <f t="shared" si="104"/>
        <v>2</v>
      </c>
      <c r="AV36" s="45"/>
      <c r="AW36" s="48">
        <f t="shared" si="105"/>
        <v>5</v>
      </c>
      <c r="AX36" s="43">
        <v>3</v>
      </c>
      <c r="AY36" s="47">
        <f t="shared" si="106"/>
        <v>2</v>
      </c>
      <c r="AZ36" s="45">
        <v>1</v>
      </c>
      <c r="BA36" s="48">
        <f t="shared" si="107"/>
        <v>7</v>
      </c>
      <c r="BB36" s="43">
        <v>5</v>
      </c>
      <c r="BC36" s="47">
        <f t="shared" si="108"/>
        <v>2</v>
      </c>
      <c r="BD36" s="45"/>
      <c r="BE36" s="48">
        <f t="shared" si="109"/>
        <v>5</v>
      </c>
      <c r="BF36" s="43">
        <v>0</v>
      </c>
      <c r="BG36" s="47">
        <f t="shared" si="110"/>
        <v>5</v>
      </c>
      <c r="BH36" s="45">
        <v>2</v>
      </c>
      <c r="BI36" s="48">
        <f t="shared" si="111"/>
        <v>8</v>
      </c>
      <c r="BJ36" s="43">
        <v>7</v>
      </c>
      <c r="BK36" s="47">
        <f t="shared" si="112"/>
        <v>1</v>
      </c>
      <c r="BL36" s="45"/>
      <c r="BM36" s="48">
        <f t="shared" si="113"/>
        <v>7</v>
      </c>
      <c r="BN36" s="43"/>
      <c r="BO36" s="47">
        <f t="shared" si="114"/>
        <v>7</v>
      </c>
      <c r="BP36" s="45"/>
      <c r="BQ36" s="48">
        <f t="shared" si="115"/>
        <v>0</v>
      </c>
      <c r="BR36" s="43"/>
      <c r="BS36" s="47">
        <f t="shared" si="116"/>
        <v>0</v>
      </c>
      <c r="BT36" s="45"/>
      <c r="BU36" s="48">
        <f t="shared" si="117"/>
        <v>0</v>
      </c>
      <c r="BV36" s="43"/>
      <c r="BW36" s="47">
        <f t="shared" si="118"/>
        <v>0</v>
      </c>
      <c r="BX36" s="45"/>
      <c r="BY36" s="48">
        <f t="shared" si="119"/>
        <v>0</v>
      </c>
      <c r="BZ36" s="43"/>
      <c r="CA36" s="47">
        <f t="shared" si="120"/>
        <v>0</v>
      </c>
      <c r="CB36" s="45"/>
      <c r="CC36" s="48">
        <f t="shared" si="121"/>
        <v>0</v>
      </c>
      <c r="CD36" s="43"/>
      <c r="CE36" s="47">
        <f t="shared" si="122"/>
        <v>0</v>
      </c>
      <c r="CF36" s="45"/>
      <c r="CG36" s="48">
        <f t="shared" si="123"/>
        <v>0</v>
      </c>
      <c r="CH36" s="43"/>
      <c r="CI36" s="47">
        <f t="shared" si="124"/>
        <v>0</v>
      </c>
      <c r="CJ36" s="45"/>
      <c r="CK36" s="48">
        <f t="shared" si="125"/>
        <v>0</v>
      </c>
    </row>
    <row r="37" spans="1:89" s="89" customFormat="1" ht="20.100000000000001" customHeight="1" x14ac:dyDescent="0.25">
      <c r="A37" s="152" t="s">
        <v>78</v>
      </c>
      <c r="B37" s="9" t="s">
        <v>7</v>
      </c>
      <c r="C37" s="17">
        <v>5</v>
      </c>
      <c r="D37" s="9" t="s">
        <v>361</v>
      </c>
      <c r="E37" s="13">
        <v>2</v>
      </c>
      <c r="F37" s="43">
        <v>1</v>
      </c>
      <c r="G37" s="47">
        <v>7</v>
      </c>
      <c r="H37" s="45">
        <v>4</v>
      </c>
      <c r="I37" s="48">
        <f t="shared" si="40"/>
        <v>9</v>
      </c>
      <c r="J37" s="43">
        <v>7.3</v>
      </c>
      <c r="K37" s="47">
        <f t="shared" si="41"/>
        <v>1.7000000000000002</v>
      </c>
      <c r="L37" s="45">
        <v>2</v>
      </c>
      <c r="M37" s="48">
        <f t="shared" si="42"/>
        <v>11.3</v>
      </c>
      <c r="N37" s="43">
        <v>0</v>
      </c>
      <c r="O37" s="47">
        <v>11.3</v>
      </c>
      <c r="P37" s="45">
        <v>7</v>
      </c>
      <c r="Q37" s="48">
        <f t="shared" si="43"/>
        <v>14</v>
      </c>
      <c r="R37" s="43">
        <v>10</v>
      </c>
      <c r="S37" s="47">
        <f t="shared" si="44"/>
        <v>4</v>
      </c>
      <c r="T37" s="45">
        <v>4</v>
      </c>
      <c r="U37" s="48">
        <f t="shared" si="45"/>
        <v>18</v>
      </c>
      <c r="V37" s="43">
        <v>12</v>
      </c>
      <c r="W37" s="47">
        <f t="shared" si="95"/>
        <v>6</v>
      </c>
      <c r="X37" s="45"/>
      <c r="Y37" s="48">
        <f t="shared" si="96"/>
        <v>12</v>
      </c>
      <c r="Z37" s="43">
        <v>6</v>
      </c>
      <c r="AA37" s="47">
        <f t="shared" si="8"/>
        <v>6</v>
      </c>
      <c r="AB37" s="49">
        <v>1</v>
      </c>
      <c r="AC37" s="48">
        <f t="shared" si="97"/>
        <v>8</v>
      </c>
      <c r="AD37" s="43">
        <v>1</v>
      </c>
      <c r="AE37" s="47">
        <f t="shared" si="98"/>
        <v>7</v>
      </c>
      <c r="AF37" s="45">
        <v>4</v>
      </c>
      <c r="AG37" s="48">
        <f t="shared" si="99"/>
        <v>9</v>
      </c>
      <c r="AH37" s="43">
        <v>4</v>
      </c>
      <c r="AI37" s="47">
        <f t="shared" si="12"/>
        <v>5</v>
      </c>
      <c r="AJ37" s="45">
        <v>3</v>
      </c>
      <c r="AK37" s="48">
        <f t="shared" si="100"/>
        <v>10</v>
      </c>
      <c r="AL37" s="43">
        <v>4</v>
      </c>
      <c r="AM37" s="47">
        <f t="shared" si="101"/>
        <v>6</v>
      </c>
      <c r="AN37" s="45">
        <v>3</v>
      </c>
      <c r="AO37" s="48">
        <f t="shared" si="102"/>
        <v>10</v>
      </c>
      <c r="AP37" s="43">
        <v>3</v>
      </c>
      <c r="AQ37" s="47">
        <f t="shared" si="16"/>
        <v>7</v>
      </c>
      <c r="AR37" s="45">
        <v>4</v>
      </c>
      <c r="AS37" s="48">
        <f t="shared" si="103"/>
        <v>11</v>
      </c>
      <c r="AT37" s="43">
        <v>4</v>
      </c>
      <c r="AU37" s="47">
        <f t="shared" si="104"/>
        <v>7</v>
      </c>
      <c r="AV37" s="45">
        <v>3</v>
      </c>
      <c r="AW37" s="48">
        <f t="shared" si="105"/>
        <v>10</v>
      </c>
      <c r="AX37" s="43">
        <v>4</v>
      </c>
      <c r="AY37" s="47">
        <f t="shared" si="106"/>
        <v>6</v>
      </c>
      <c r="AZ37" s="45">
        <v>2</v>
      </c>
      <c r="BA37" s="48">
        <f t="shared" si="107"/>
        <v>8</v>
      </c>
      <c r="BB37" s="43">
        <v>3</v>
      </c>
      <c r="BC37" s="47">
        <f t="shared" si="108"/>
        <v>5</v>
      </c>
      <c r="BD37" s="45">
        <v>3</v>
      </c>
      <c r="BE37" s="48">
        <f t="shared" si="109"/>
        <v>9</v>
      </c>
      <c r="BF37" s="43">
        <v>5</v>
      </c>
      <c r="BG37" s="47">
        <f t="shared" si="110"/>
        <v>4</v>
      </c>
      <c r="BH37" s="45">
        <v>3</v>
      </c>
      <c r="BI37" s="48">
        <f t="shared" si="111"/>
        <v>11</v>
      </c>
      <c r="BJ37" s="43">
        <v>7</v>
      </c>
      <c r="BK37" s="47">
        <f t="shared" si="112"/>
        <v>4</v>
      </c>
      <c r="BL37" s="45">
        <v>1</v>
      </c>
      <c r="BM37" s="48">
        <f t="shared" si="113"/>
        <v>9</v>
      </c>
      <c r="BN37" s="43"/>
      <c r="BO37" s="47">
        <f t="shared" si="114"/>
        <v>9</v>
      </c>
      <c r="BP37" s="45"/>
      <c r="BQ37" s="48">
        <f t="shared" si="115"/>
        <v>0</v>
      </c>
      <c r="BR37" s="43"/>
      <c r="BS37" s="47">
        <f t="shared" si="116"/>
        <v>0</v>
      </c>
      <c r="BT37" s="45"/>
      <c r="BU37" s="48">
        <f t="shared" si="117"/>
        <v>0</v>
      </c>
      <c r="BV37" s="43"/>
      <c r="BW37" s="47">
        <f t="shared" si="118"/>
        <v>0</v>
      </c>
      <c r="BX37" s="45"/>
      <c r="BY37" s="48">
        <f t="shared" si="119"/>
        <v>0</v>
      </c>
      <c r="BZ37" s="43"/>
      <c r="CA37" s="47">
        <f t="shared" si="120"/>
        <v>0</v>
      </c>
      <c r="CB37" s="45"/>
      <c r="CC37" s="48">
        <f t="shared" si="121"/>
        <v>0</v>
      </c>
      <c r="CD37" s="43"/>
      <c r="CE37" s="47">
        <f t="shared" si="122"/>
        <v>0</v>
      </c>
      <c r="CF37" s="45"/>
      <c r="CG37" s="48">
        <f t="shared" si="123"/>
        <v>0</v>
      </c>
      <c r="CH37" s="43"/>
      <c r="CI37" s="47">
        <f t="shared" si="124"/>
        <v>0</v>
      </c>
      <c r="CJ37" s="45"/>
      <c r="CK37" s="48">
        <f t="shared" si="125"/>
        <v>0</v>
      </c>
    </row>
    <row r="38" spans="1:89" s="89" customFormat="1" ht="20.100000000000001" customHeight="1" x14ac:dyDescent="0.25">
      <c r="A38" s="152" t="s">
        <v>79</v>
      </c>
      <c r="B38" s="9" t="s">
        <v>7</v>
      </c>
      <c r="C38" s="10">
        <v>10</v>
      </c>
      <c r="D38" s="9" t="s">
        <v>358</v>
      </c>
      <c r="E38" s="13">
        <v>10</v>
      </c>
      <c r="F38" s="43">
        <v>10</v>
      </c>
      <c r="G38" s="47">
        <v>11.8</v>
      </c>
      <c r="H38" s="45">
        <v>1</v>
      </c>
      <c r="I38" s="48">
        <f t="shared" si="40"/>
        <v>20</v>
      </c>
      <c r="J38" s="43">
        <v>7.3</v>
      </c>
      <c r="K38" s="47">
        <f t="shared" si="41"/>
        <v>12.7</v>
      </c>
      <c r="L38" s="45">
        <v>1</v>
      </c>
      <c r="M38" s="48">
        <f t="shared" si="42"/>
        <v>17.3</v>
      </c>
      <c r="N38" s="43">
        <v>11.16</v>
      </c>
      <c r="O38" s="47">
        <v>6.1400000000000006</v>
      </c>
      <c r="P38" s="45">
        <v>1</v>
      </c>
      <c r="Q38" s="48">
        <f t="shared" si="43"/>
        <v>21.16</v>
      </c>
      <c r="R38" s="43">
        <v>15.3</v>
      </c>
      <c r="S38" s="47">
        <f t="shared" si="44"/>
        <v>5.8599999999999994</v>
      </c>
      <c r="T38" s="45"/>
      <c r="U38" s="48">
        <f t="shared" si="45"/>
        <v>15.3</v>
      </c>
      <c r="V38" s="43">
        <v>4.3</v>
      </c>
      <c r="W38" s="47">
        <f t="shared" si="95"/>
        <v>11</v>
      </c>
      <c r="X38" s="49">
        <v>2</v>
      </c>
      <c r="Y38" s="48">
        <f t="shared" si="96"/>
        <v>24.3</v>
      </c>
      <c r="Z38" s="43">
        <v>13.3</v>
      </c>
      <c r="AA38" s="47">
        <f t="shared" si="8"/>
        <v>11</v>
      </c>
      <c r="AB38" s="49">
        <v>1</v>
      </c>
      <c r="AC38" s="48">
        <f t="shared" si="97"/>
        <v>23.3</v>
      </c>
      <c r="AD38" s="43">
        <v>12</v>
      </c>
      <c r="AE38" s="47">
        <f t="shared" si="98"/>
        <v>11.3</v>
      </c>
      <c r="AF38" s="45">
        <v>1</v>
      </c>
      <c r="AG38" s="48">
        <f t="shared" si="99"/>
        <v>22</v>
      </c>
      <c r="AH38" s="43">
        <v>13</v>
      </c>
      <c r="AI38" s="47">
        <f t="shared" si="12"/>
        <v>9</v>
      </c>
      <c r="AJ38" s="45">
        <v>1</v>
      </c>
      <c r="AK38" s="48">
        <f t="shared" si="100"/>
        <v>23</v>
      </c>
      <c r="AL38" s="43">
        <v>4</v>
      </c>
      <c r="AM38" s="47">
        <f t="shared" si="101"/>
        <v>19</v>
      </c>
      <c r="AN38" s="45">
        <v>2</v>
      </c>
      <c r="AO38" s="48">
        <f t="shared" si="102"/>
        <v>24</v>
      </c>
      <c r="AP38" s="43">
        <v>12</v>
      </c>
      <c r="AQ38" s="47">
        <f t="shared" si="16"/>
        <v>12</v>
      </c>
      <c r="AR38" s="45">
        <v>1</v>
      </c>
      <c r="AS38" s="48">
        <f t="shared" si="103"/>
        <v>22</v>
      </c>
      <c r="AT38" s="43">
        <v>13</v>
      </c>
      <c r="AU38" s="47">
        <f t="shared" si="104"/>
        <v>9</v>
      </c>
      <c r="AV38" s="45">
        <v>1</v>
      </c>
      <c r="AW38" s="48">
        <f t="shared" si="105"/>
        <v>23</v>
      </c>
      <c r="AX38" s="43">
        <v>13</v>
      </c>
      <c r="AY38" s="47">
        <f t="shared" si="106"/>
        <v>10</v>
      </c>
      <c r="AZ38" s="45">
        <v>1</v>
      </c>
      <c r="BA38" s="48">
        <f t="shared" si="107"/>
        <v>23</v>
      </c>
      <c r="BB38" s="43">
        <v>11</v>
      </c>
      <c r="BC38" s="47">
        <f t="shared" si="108"/>
        <v>12</v>
      </c>
      <c r="BD38" s="45">
        <v>2</v>
      </c>
      <c r="BE38" s="48">
        <f t="shared" si="109"/>
        <v>31</v>
      </c>
      <c r="BF38" s="43">
        <v>13.5</v>
      </c>
      <c r="BG38" s="47">
        <f t="shared" si="110"/>
        <v>17.5</v>
      </c>
      <c r="BH38" s="45">
        <v>2</v>
      </c>
      <c r="BI38" s="48">
        <f t="shared" si="111"/>
        <v>33.5</v>
      </c>
      <c r="BJ38" s="43">
        <v>14</v>
      </c>
      <c r="BK38" s="47">
        <f t="shared" si="112"/>
        <v>19.5</v>
      </c>
      <c r="BL38" s="45">
        <v>2</v>
      </c>
      <c r="BM38" s="48">
        <f t="shared" si="113"/>
        <v>34</v>
      </c>
      <c r="BN38" s="43"/>
      <c r="BO38" s="47">
        <f t="shared" si="114"/>
        <v>34</v>
      </c>
      <c r="BP38" s="45"/>
      <c r="BQ38" s="48">
        <f t="shared" si="115"/>
        <v>0</v>
      </c>
      <c r="BR38" s="43"/>
      <c r="BS38" s="47">
        <f t="shared" si="116"/>
        <v>0</v>
      </c>
      <c r="BT38" s="45"/>
      <c r="BU38" s="48">
        <f t="shared" si="117"/>
        <v>0</v>
      </c>
      <c r="BV38" s="43"/>
      <c r="BW38" s="47">
        <f t="shared" si="118"/>
        <v>0</v>
      </c>
      <c r="BX38" s="45"/>
      <c r="BY38" s="48">
        <f t="shared" si="119"/>
        <v>0</v>
      </c>
      <c r="BZ38" s="43"/>
      <c r="CA38" s="47">
        <f t="shared" si="120"/>
        <v>0</v>
      </c>
      <c r="CB38" s="45"/>
      <c r="CC38" s="48">
        <f t="shared" si="121"/>
        <v>0</v>
      </c>
      <c r="CD38" s="43"/>
      <c r="CE38" s="47">
        <f t="shared" si="122"/>
        <v>0</v>
      </c>
      <c r="CF38" s="45"/>
      <c r="CG38" s="48">
        <f t="shared" si="123"/>
        <v>0</v>
      </c>
      <c r="CH38" s="43"/>
      <c r="CI38" s="47">
        <f t="shared" si="124"/>
        <v>0</v>
      </c>
      <c r="CJ38" s="45"/>
      <c r="CK38" s="48">
        <f t="shared" si="125"/>
        <v>0</v>
      </c>
    </row>
    <row r="39" spans="1:89" s="89" customFormat="1" ht="20.100000000000001" customHeight="1" x14ac:dyDescent="0.25">
      <c r="A39" s="152" t="s">
        <v>243</v>
      </c>
      <c r="B39" s="9" t="s">
        <v>7</v>
      </c>
      <c r="C39" s="10">
        <v>3</v>
      </c>
      <c r="D39" s="9" t="s">
        <v>8</v>
      </c>
      <c r="E39" s="13">
        <v>3</v>
      </c>
      <c r="F39" s="43">
        <v>2.1</v>
      </c>
      <c r="G39" s="47">
        <v>4.3000000000000007</v>
      </c>
      <c r="H39" s="45">
        <v>5</v>
      </c>
      <c r="I39" s="48">
        <f t="shared" si="40"/>
        <v>17.100000000000001</v>
      </c>
      <c r="J39" s="43">
        <v>7.3</v>
      </c>
      <c r="K39" s="47">
        <f t="shared" si="41"/>
        <v>9.8000000000000007</v>
      </c>
      <c r="L39" s="45"/>
      <c r="M39" s="48">
        <f t="shared" si="42"/>
        <v>7.3</v>
      </c>
      <c r="N39" s="43">
        <v>3</v>
      </c>
      <c r="O39" s="47">
        <v>4.3</v>
      </c>
      <c r="P39" s="45">
        <v>2</v>
      </c>
      <c r="Q39" s="48">
        <f t="shared" si="43"/>
        <v>9</v>
      </c>
      <c r="R39" s="43">
        <v>6</v>
      </c>
      <c r="S39" s="47">
        <f t="shared" si="44"/>
        <v>3</v>
      </c>
      <c r="T39" s="45">
        <v>2</v>
      </c>
      <c r="U39" s="48">
        <f t="shared" si="45"/>
        <v>12</v>
      </c>
      <c r="V39" s="43">
        <v>3.2</v>
      </c>
      <c r="W39" s="47">
        <f t="shared" si="95"/>
        <v>8.8000000000000007</v>
      </c>
      <c r="X39" s="49">
        <v>2</v>
      </c>
      <c r="Y39" s="48">
        <f t="shared" si="96"/>
        <v>9.1999999999999993</v>
      </c>
      <c r="Z39" s="43">
        <v>3</v>
      </c>
      <c r="AA39" s="47">
        <f t="shared" si="8"/>
        <v>6.1999999999999993</v>
      </c>
      <c r="AB39" s="49">
        <v>3</v>
      </c>
      <c r="AC39" s="48">
        <f t="shared" si="97"/>
        <v>12</v>
      </c>
      <c r="AD39" s="43">
        <v>9</v>
      </c>
      <c r="AE39" s="47">
        <f t="shared" si="98"/>
        <v>3</v>
      </c>
      <c r="AF39" s="45">
        <v>1</v>
      </c>
      <c r="AG39" s="48">
        <f t="shared" si="99"/>
        <v>12</v>
      </c>
      <c r="AH39" s="43">
        <v>9</v>
      </c>
      <c r="AI39" s="47">
        <f t="shared" si="12"/>
        <v>3</v>
      </c>
      <c r="AJ39" s="45"/>
      <c r="AK39" s="48">
        <f t="shared" si="100"/>
        <v>9</v>
      </c>
      <c r="AL39" s="43">
        <v>5</v>
      </c>
      <c r="AM39" s="47">
        <f t="shared" si="101"/>
        <v>4</v>
      </c>
      <c r="AN39" s="45">
        <v>2</v>
      </c>
      <c r="AO39" s="48">
        <f t="shared" si="102"/>
        <v>11</v>
      </c>
      <c r="AP39" s="43">
        <v>4.5</v>
      </c>
      <c r="AQ39" s="47">
        <f t="shared" si="16"/>
        <v>6.5</v>
      </c>
      <c r="AR39" s="45">
        <v>2</v>
      </c>
      <c r="AS39" s="48">
        <f t="shared" si="103"/>
        <v>10.5</v>
      </c>
      <c r="AT39" s="43">
        <v>6</v>
      </c>
      <c r="AU39" s="47">
        <f t="shared" si="104"/>
        <v>4.5</v>
      </c>
      <c r="AV39" s="45">
        <v>1</v>
      </c>
      <c r="AW39" s="48">
        <f t="shared" si="105"/>
        <v>9</v>
      </c>
      <c r="AX39" s="43">
        <v>5.6</v>
      </c>
      <c r="AY39" s="47">
        <f t="shared" si="106"/>
        <v>3.4000000000000004</v>
      </c>
      <c r="AZ39" s="45">
        <v>1</v>
      </c>
      <c r="BA39" s="48">
        <f t="shared" si="107"/>
        <v>8.6</v>
      </c>
      <c r="BB39" s="43">
        <v>3</v>
      </c>
      <c r="BC39" s="47">
        <f t="shared" si="108"/>
        <v>5.6</v>
      </c>
      <c r="BD39" s="45">
        <v>3</v>
      </c>
      <c r="BE39" s="48">
        <f t="shared" si="109"/>
        <v>12</v>
      </c>
      <c r="BF39" s="43">
        <v>6</v>
      </c>
      <c r="BG39" s="47">
        <f t="shared" si="110"/>
        <v>6</v>
      </c>
      <c r="BH39" s="45">
        <v>2</v>
      </c>
      <c r="BI39" s="48">
        <f t="shared" si="111"/>
        <v>12</v>
      </c>
      <c r="BJ39" s="43">
        <v>6</v>
      </c>
      <c r="BK39" s="47">
        <f t="shared" si="112"/>
        <v>6</v>
      </c>
      <c r="BL39" s="45">
        <v>2</v>
      </c>
      <c r="BM39" s="48">
        <f t="shared" si="113"/>
        <v>12</v>
      </c>
      <c r="BN39" s="43"/>
      <c r="BO39" s="47">
        <f t="shared" si="114"/>
        <v>12</v>
      </c>
      <c r="BP39" s="45"/>
      <c r="BQ39" s="48">
        <f t="shared" si="115"/>
        <v>0</v>
      </c>
      <c r="BR39" s="43"/>
      <c r="BS39" s="47">
        <f t="shared" si="116"/>
        <v>0</v>
      </c>
      <c r="BT39" s="45"/>
      <c r="BU39" s="48">
        <f t="shared" si="117"/>
        <v>0</v>
      </c>
      <c r="BV39" s="43"/>
      <c r="BW39" s="47">
        <f t="shared" si="118"/>
        <v>0</v>
      </c>
      <c r="BX39" s="45"/>
      <c r="BY39" s="48">
        <f t="shared" si="119"/>
        <v>0</v>
      </c>
      <c r="BZ39" s="43"/>
      <c r="CA39" s="47">
        <f t="shared" si="120"/>
        <v>0</v>
      </c>
      <c r="CB39" s="45"/>
      <c r="CC39" s="48">
        <f t="shared" si="121"/>
        <v>0</v>
      </c>
      <c r="CD39" s="43"/>
      <c r="CE39" s="47">
        <f t="shared" si="122"/>
        <v>0</v>
      </c>
      <c r="CF39" s="45"/>
      <c r="CG39" s="48">
        <f t="shared" si="123"/>
        <v>0</v>
      </c>
      <c r="CH39" s="43"/>
      <c r="CI39" s="47">
        <f t="shared" si="124"/>
        <v>0</v>
      </c>
      <c r="CJ39" s="45"/>
      <c r="CK39" s="48">
        <f t="shared" si="125"/>
        <v>0</v>
      </c>
    </row>
    <row r="40" spans="1:89" s="89" customFormat="1" ht="20.100000000000001" customHeight="1" x14ac:dyDescent="0.25">
      <c r="A40" s="152" t="s">
        <v>80</v>
      </c>
      <c r="B40" s="9" t="s">
        <v>7</v>
      </c>
      <c r="C40" s="10">
        <v>2</v>
      </c>
      <c r="D40" s="9" t="s">
        <v>356</v>
      </c>
      <c r="E40" s="13">
        <v>4</v>
      </c>
      <c r="F40" s="43">
        <v>15</v>
      </c>
      <c r="G40" s="47">
        <v>3</v>
      </c>
      <c r="H40" s="45"/>
      <c r="I40" s="48">
        <f t="shared" si="40"/>
        <v>15</v>
      </c>
      <c r="J40" s="43">
        <v>7.3</v>
      </c>
      <c r="K40" s="47">
        <f t="shared" si="41"/>
        <v>7.7</v>
      </c>
      <c r="L40" s="45">
        <v>1</v>
      </c>
      <c r="M40" s="48">
        <f t="shared" si="42"/>
        <v>11.3</v>
      </c>
      <c r="N40" s="43">
        <v>5</v>
      </c>
      <c r="O40" s="47">
        <v>6.3000000000000007</v>
      </c>
      <c r="P40" s="45">
        <v>2</v>
      </c>
      <c r="Q40" s="48">
        <f t="shared" si="43"/>
        <v>13</v>
      </c>
      <c r="R40" s="43">
        <v>7</v>
      </c>
      <c r="S40" s="47">
        <f t="shared" si="44"/>
        <v>6</v>
      </c>
      <c r="T40" s="45">
        <v>1</v>
      </c>
      <c r="U40" s="48">
        <f t="shared" si="45"/>
        <v>11</v>
      </c>
      <c r="V40" s="43">
        <v>2</v>
      </c>
      <c r="W40" s="47">
        <f t="shared" si="95"/>
        <v>9</v>
      </c>
      <c r="X40" s="49">
        <v>3</v>
      </c>
      <c r="Y40" s="48">
        <f t="shared" si="96"/>
        <v>14</v>
      </c>
      <c r="Z40" s="43">
        <v>7</v>
      </c>
      <c r="AA40" s="47">
        <f t="shared" si="8"/>
        <v>7</v>
      </c>
      <c r="AB40" s="45">
        <v>1</v>
      </c>
      <c r="AC40" s="48">
        <f t="shared" si="97"/>
        <v>11</v>
      </c>
      <c r="AD40" s="43">
        <v>1</v>
      </c>
      <c r="AE40" s="47">
        <f t="shared" si="98"/>
        <v>10</v>
      </c>
      <c r="AF40" s="45">
        <v>4</v>
      </c>
      <c r="AG40" s="48">
        <f t="shared" si="99"/>
        <v>17</v>
      </c>
      <c r="AH40" s="43">
        <v>10</v>
      </c>
      <c r="AI40" s="47">
        <f t="shared" si="12"/>
        <v>7</v>
      </c>
      <c r="AJ40" s="45">
        <v>2</v>
      </c>
      <c r="AK40" s="48">
        <f t="shared" si="100"/>
        <v>18</v>
      </c>
      <c r="AL40" s="43">
        <v>10</v>
      </c>
      <c r="AM40" s="47">
        <f t="shared" si="101"/>
        <v>8</v>
      </c>
      <c r="AN40" s="45">
        <v>1</v>
      </c>
      <c r="AO40" s="48">
        <f t="shared" si="102"/>
        <v>14</v>
      </c>
      <c r="AP40" s="43">
        <v>5</v>
      </c>
      <c r="AQ40" s="47">
        <f t="shared" si="16"/>
        <v>9</v>
      </c>
      <c r="AR40" s="45">
        <v>1</v>
      </c>
      <c r="AS40" s="48">
        <f t="shared" si="103"/>
        <v>9</v>
      </c>
      <c r="AT40" s="43">
        <v>0</v>
      </c>
      <c r="AU40" s="47">
        <f t="shared" si="104"/>
        <v>9</v>
      </c>
      <c r="AV40" s="45">
        <v>3</v>
      </c>
      <c r="AW40" s="48">
        <f t="shared" si="105"/>
        <v>12</v>
      </c>
      <c r="AX40" s="43">
        <v>5</v>
      </c>
      <c r="AY40" s="47">
        <f t="shared" si="106"/>
        <v>7</v>
      </c>
      <c r="AZ40" s="45">
        <v>2</v>
      </c>
      <c r="BA40" s="48">
        <f t="shared" si="107"/>
        <v>13</v>
      </c>
      <c r="BB40" s="43">
        <v>7</v>
      </c>
      <c r="BC40" s="47">
        <f t="shared" si="108"/>
        <v>6</v>
      </c>
      <c r="BD40" s="45">
        <v>2</v>
      </c>
      <c r="BE40" s="48">
        <f t="shared" si="109"/>
        <v>15</v>
      </c>
      <c r="BF40" s="43">
        <v>8</v>
      </c>
      <c r="BG40" s="47">
        <f t="shared" si="110"/>
        <v>7</v>
      </c>
      <c r="BH40" s="45">
        <v>2</v>
      </c>
      <c r="BI40" s="48">
        <f t="shared" si="111"/>
        <v>16</v>
      </c>
      <c r="BJ40" s="43">
        <v>12</v>
      </c>
      <c r="BK40" s="47">
        <f t="shared" si="112"/>
        <v>4</v>
      </c>
      <c r="BL40" s="45">
        <v>2</v>
      </c>
      <c r="BM40" s="48">
        <f t="shared" si="113"/>
        <v>20</v>
      </c>
      <c r="BN40" s="43"/>
      <c r="BO40" s="47">
        <f t="shared" si="114"/>
        <v>20</v>
      </c>
      <c r="BP40" s="45"/>
      <c r="BQ40" s="48">
        <f t="shared" si="115"/>
        <v>0</v>
      </c>
      <c r="BR40" s="43"/>
      <c r="BS40" s="47">
        <f t="shared" si="116"/>
        <v>0</v>
      </c>
      <c r="BT40" s="45"/>
      <c r="BU40" s="48">
        <f t="shared" si="117"/>
        <v>0</v>
      </c>
      <c r="BV40" s="43"/>
      <c r="BW40" s="47">
        <f t="shared" si="118"/>
        <v>0</v>
      </c>
      <c r="BX40" s="45"/>
      <c r="BY40" s="48">
        <f t="shared" si="119"/>
        <v>0</v>
      </c>
      <c r="BZ40" s="43"/>
      <c r="CA40" s="47">
        <f t="shared" si="120"/>
        <v>0</v>
      </c>
      <c r="CB40" s="45"/>
      <c r="CC40" s="48">
        <f t="shared" si="121"/>
        <v>0</v>
      </c>
      <c r="CD40" s="43"/>
      <c r="CE40" s="47">
        <f t="shared" si="122"/>
        <v>0</v>
      </c>
      <c r="CF40" s="45"/>
      <c r="CG40" s="48">
        <f t="shared" si="123"/>
        <v>0</v>
      </c>
      <c r="CH40" s="43"/>
      <c r="CI40" s="47">
        <f t="shared" si="124"/>
        <v>0</v>
      </c>
      <c r="CJ40" s="45"/>
      <c r="CK40" s="48">
        <f t="shared" si="125"/>
        <v>0</v>
      </c>
    </row>
    <row r="41" spans="1:89" s="89" customFormat="1" ht="20.100000000000001" customHeight="1" x14ac:dyDescent="0.25">
      <c r="A41" s="152" t="s">
        <v>81</v>
      </c>
      <c r="B41" s="9" t="s">
        <v>7</v>
      </c>
      <c r="C41" s="10">
        <v>3</v>
      </c>
      <c r="D41" s="9" t="s">
        <v>358</v>
      </c>
      <c r="E41" s="13">
        <v>6</v>
      </c>
      <c r="F41" s="43">
        <v>18</v>
      </c>
      <c r="G41" s="47">
        <v>2</v>
      </c>
      <c r="H41" s="45"/>
      <c r="I41" s="48">
        <f t="shared" si="40"/>
        <v>18</v>
      </c>
      <c r="J41" s="43">
        <v>7.3</v>
      </c>
      <c r="K41" s="47">
        <f t="shared" si="41"/>
        <v>10.7</v>
      </c>
      <c r="L41" s="45"/>
      <c r="M41" s="48">
        <f t="shared" si="42"/>
        <v>7.3</v>
      </c>
      <c r="N41" s="43">
        <v>12</v>
      </c>
      <c r="O41" s="47">
        <v>-4.7</v>
      </c>
      <c r="P41" s="45"/>
      <c r="Q41" s="48">
        <f t="shared" si="43"/>
        <v>12</v>
      </c>
      <c r="R41" s="43">
        <v>10</v>
      </c>
      <c r="S41" s="47">
        <f t="shared" si="44"/>
        <v>2</v>
      </c>
      <c r="T41" s="45"/>
      <c r="U41" s="48">
        <f t="shared" si="45"/>
        <v>10</v>
      </c>
      <c r="V41" s="43">
        <v>4</v>
      </c>
      <c r="W41" s="47">
        <f t="shared" si="95"/>
        <v>6</v>
      </c>
      <c r="X41" s="49">
        <v>1</v>
      </c>
      <c r="Y41" s="48">
        <f t="shared" si="96"/>
        <v>10</v>
      </c>
      <c r="Z41" s="43">
        <v>9</v>
      </c>
      <c r="AA41" s="47">
        <f t="shared" si="8"/>
        <v>1</v>
      </c>
      <c r="AB41" s="45"/>
      <c r="AC41" s="48">
        <f t="shared" si="97"/>
        <v>9</v>
      </c>
      <c r="AD41" s="43"/>
      <c r="AE41" s="47">
        <f t="shared" si="98"/>
        <v>9</v>
      </c>
      <c r="AF41" s="45">
        <v>2</v>
      </c>
      <c r="AG41" s="48">
        <f t="shared" si="99"/>
        <v>12</v>
      </c>
      <c r="AH41" s="43">
        <v>3</v>
      </c>
      <c r="AI41" s="47">
        <f t="shared" si="12"/>
        <v>9</v>
      </c>
      <c r="AJ41" s="45">
        <v>3</v>
      </c>
      <c r="AK41" s="48">
        <f t="shared" si="100"/>
        <v>21</v>
      </c>
      <c r="AL41" s="43">
        <v>20</v>
      </c>
      <c r="AM41" s="47">
        <f t="shared" si="101"/>
        <v>1</v>
      </c>
      <c r="AN41" s="45"/>
      <c r="AO41" s="48">
        <f t="shared" si="102"/>
        <v>20</v>
      </c>
      <c r="AP41" s="43">
        <v>16</v>
      </c>
      <c r="AQ41" s="47">
        <f t="shared" si="16"/>
        <v>4</v>
      </c>
      <c r="AR41" s="45"/>
      <c r="AS41" s="48">
        <f t="shared" si="103"/>
        <v>16</v>
      </c>
      <c r="AT41" s="43">
        <v>12</v>
      </c>
      <c r="AU41" s="47">
        <f t="shared" si="104"/>
        <v>4</v>
      </c>
      <c r="AV41" s="45"/>
      <c r="AW41" s="48">
        <f t="shared" si="105"/>
        <v>12</v>
      </c>
      <c r="AX41" s="43">
        <v>10</v>
      </c>
      <c r="AY41" s="47">
        <f t="shared" si="106"/>
        <v>2</v>
      </c>
      <c r="AZ41" s="45"/>
      <c r="BA41" s="48">
        <f t="shared" si="107"/>
        <v>10</v>
      </c>
      <c r="BB41" s="43">
        <v>7</v>
      </c>
      <c r="BC41" s="47">
        <f t="shared" si="108"/>
        <v>3</v>
      </c>
      <c r="BD41" s="45">
        <v>1</v>
      </c>
      <c r="BE41" s="48">
        <f t="shared" si="109"/>
        <v>13</v>
      </c>
      <c r="BF41" s="43">
        <v>8</v>
      </c>
      <c r="BG41" s="47">
        <f t="shared" si="110"/>
        <v>5</v>
      </c>
      <c r="BH41" s="45">
        <v>1</v>
      </c>
      <c r="BI41" s="48">
        <f t="shared" si="111"/>
        <v>14</v>
      </c>
      <c r="BJ41" s="43">
        <v>12</v>
      </c>
      <c r="BK41" s="47">
        <f t="shared" si="112"/>
        <v>2</v>
      </c>
      <c r="BL41" s="45">
        <v>1</v>
      </c>
      <c r="BM41" s="48">
        <f t="shared" si="113"/>
        <v>18</v>
      </c>
      <c r="BN41" s="43"/>
      <c r="BO41" s="47">
        <f t="shared" si="114"/>
        <v>18</v>
      </c>
      <c r="BP41" s="45"/>
      <c r="BQ41" s="48">
        <f t="shared" si="115"/>
        <v>0</v>
      </c>
      <c r="BR41" s="43"/>
      <c r="BS41" s="47">
        <f t="shared" si="116"/>
        <v>0</v>
      </c>
      <c r="BT41" s="45"/>
      <c r="BU41" s="48">
        <f t="shared" si="117"/>
        <v>0</v>
      </c>
      <c r="BV41" s="43"/>
      <c r="BW41" s="47">
        <f t="shared" si="118"/>
        <v>0</v>
      </c>
      <c r="BX41" s="45"/>
      <c r="BY41" s="48">
        <f t="shared" si="119"/>
        <v>0</v>
      </c>
      <c r="BZ41" s="43"/>
      <c r="CA41" s="47">
        <f t="shared" si="120"/>
        <v>0</v>
      </c>
      <c r="CB41" s="45"/>
      <c r="CC41" s="48">
        <f t="shared" si="121"/>
        <v>0</v>
      </c>
      <c r="CD41" s="43"/>
      <c r="CE41" s="47">
        <f t="shared" si="122"/>
        <v>0</v>
      </c>
      <c r="CF41" s="45"/>
      <c r="CG41" s="48">
        <f t="shared" si="123"/>
        <v>0</v>
      </c>
      <c r="CH41" s="43"/>
      <c r="CI41" s="47">
        <f t="shared" si="124"/>
        <v>0</v>
      </c>
      <c r="CJ41" s="45"/>
      <c r="CK41" s="48">
        <f t="shared" si="125"/>
        <v>0</v>
      </c>
    </row>
    <row r="42" spans="1:89" s="159" customFormat="1" ht="20.100000000000001" hidden="1" customHeight="1" x14ac:dyDescent="0.25">
      <c r="A42" s="158" t="s">
        <v>82</v>
      </c>
      <c r="B42" s="84" t="s">
        <v>7</v>
      </c>
      <c r="C42" s="85">
        <v>3.6</v>
      </c>
      <c r="D42" s="84" t="s">
        <v>358</v>
      </c>
      <c r="E42" s="86">
        <v>12</v>
      </c>
      <c r="F42" s="79"/>
      <c r="G42" s="80">
        <v>0</v>
      </c>
      <c r="H42" s="82"/>
      <c r="I42" s="81">
        <f t="shared" si="40"/>
        <v>0</v>
      </c>
      <c r="J42" s="79"/>
      <c r="K42" s="80">
        <f t="shared" si="41"/>
        <v>0</v>
      </c>
      <c r="L42" s="82"/>
      <c r="M42" s="81">
        <f t="shared" si="42"/>
        <v>0</v>
      </c>
      <c r="N42" s="79"/>
      <c r="O42" s="80">
        <v>0</v>
      </c>
      <c r="P42" s="82"/>
      <c r="Q42" s="81">
        <f t="shared" si="43"/>
        <v>0</v>
      </c>
      <c r="R42" s="79"/>
      <c r="S42" s="80">
        <f t="shared" si="44"/>
        <v>0</v>
      </c>
      <c r="T42" s="82"/>
      <c r="U42" s="81">
        <f t="shared" si="45"/>
        <v>0</v>
      </c>
      <c r="V42" s="79"/>
      <c r="W42" s="80">
        <f t="shared" si="95"/>
        <v>0</v>
      </c>
      <c r="X42" s="82"/>
      <c r="Y42" s="81">
        <f t="shared" si="96"/>
        <v>0</v>
      </c>
      <c r="Z42" s="79"/>
      <c r="AA42" s="47">
        <f t="shared" si="8"/>
        <v>0</v>
      </c>
      <c r="AB42" s="82"/>
      <c r="AC42" s="81">
        <f t="shared" si="97"/>
        <v>0</v>
      </c>
      <c r="AD42" s="79"/>
      <c r="AE42" s="80">
        <f t="shared" si="98"/>
        <v>0</v>
      </c>
      <c r="AF42" s="82"/>
      <c r="AG42" s="81">
        <f t="shared" si="99"/>
        <v>0</v>
      </c>
      <c r="AH42" s="79"/>
      <c r="AI42" s="82">
        <f t="shared" si="12"/>
        <v>0</v>
      </c>
      <c r="AJ42" s="82"/>
      <c r="AK42" s="81">
        <f t="shared" si="100"/>
        <v>0</v>
      </c>
      <c r="AL42" s="79"/>
      <c r="AM42" s="80">
        <f t="shared" si="101"/>
        <v>0</v>
      </c>
      <c r="AN42" s="82"/>
      <c r="AO42" s="81">
        <f t="shared" si="102"/>
        <v>0</v>
      </c>
      <c r="AP42" s="79"/>
      <c r="AQ42" s="47">
        <f t="shared" si="16"/>
        <v>0</v>
      </c>
      <c r="AR42" s="82"/>
      <c r="AS42" s="81">
        <f t="shared" si="103"/>
        <v>0</v>
      </c>
      <c r="AT42" s="79"/>
      <c r="AU42" s="80">
        <f t="shared" si="104"/>
        <v>0</v>
      </c>
      <c r="AV42" s="82"/>
      <c r="AW42" s="81">
        <f t="shared" si="105"/>
        <v>0</v>
      </c>
      <c r="AX42" s="79"/>
      <c r="AY42" s="80">
        <f t="shared" si="106"/>
        <v>0</v>
      </c>
      <c r="AZ42" s="82"/>
      <c r="BA42" s="81">
        <f t="shared" si="107"/>
        <v>0</v>
      </c>
      <c r="BB42" s="79"/>
      <c r="BC42" s="80">
        <f t="shared" si="108"/>
        <v>0</v>
      </c>
      <c r="BD42" s="82"/>
      <c r="BE42" s="81">
        <f t="shared" si="109"/>
        <v>0</v>
      </c>
      <c r="BF42" s="79"/>
      <c r="BG42" s="80">
        <f t="shared" si="110"/>
        <v>0</v>
      </c>
      <c r="BH42" s="82"/>
      <c r="BI42" s="81">
        <f t="shared" si="111"/>
        <v>0</v>
      </c>
      <c r="BJ42" s="79"/>
      <c r="BK42" s="80">
        <f t="shared" si="112"/>
        <v>0</v>
      </c>
      <c r="BL42" s="82"/>
      <c r="BM42" s="81">
        <f t="shared" si="113"/>
        <v>0</v>
      </c>
      <c r="BN42" s="79"/>
      <c r="BO42" s="80">
        <f t="shared" si="114"/>
        <v>0</v>
      </c>
      <c r="BP42" s="82"/>
      <c r="BQ42" s="81">
        <f t="shared" si="115"/>
        <v>0</v>
      </c>
      <c r="BR42" s="79"/>
      <c r="BS42" s="80">
        <f t="shared" si="116"/>
        <v>0</v>
      </c>
      <c r="BT42" s="82"/>
      <c r="BU42" s="81">
        <f t="shared" si="117"/>
        <v>0</v>
      </c>
      <c r="BV42" s="79"/>
      <c r="BW42" s="80">
        <f t="shared" si="118"/>
        <v>0</v>
      </c>
      <c r="BX42" s="82"/>
      <c r="BY42" s="81">
        <f t="shared" si="119"/>
        <v>0</v>
      </c>
      <c r="BZ42" s="79"/>
      <c r="CA42" s="80">
        <f t="shared" si="120"/>
        <v>0</v>
      </c>
      <c r="CB42" s="82"/>
      <c r="CC42" s="81">
        <f t="shared" si="121"/>
        <v>0</v>
      </c>
      <c r="CD42" s="79"/>
      <c r="CE42" s="80">
        <f t="shared" si="122"/>
        <v>0</v>
      </c>
      <c r="CF42" s="82"/>
      <c r="CG42" s="81">
        <f t="shared" si="123"/>
        <v>0</v>
      </c>
      <c r="CH42" s="79"/>
      <c r="CI42" s="80">
        <f t="shared" si="124"/>
        <v>0</v>
      </c>
      <c r="CJ42" s="82"/>
      <c r="CK42" s="81">
        <f t="shared" si="125"/>
        <v>0</v>
      </c>
    </row>
    <row r="43" spans="1:89" s="89" customFormat="1" ht="20.100000000000001" customHeight="1" x14ac:dyDescent="0.25">
      <c r="A43" s="152" t="s">
        <v>83</v>
      </c>
      <c r="B43" s="9" t="s">
        <v>7</v>
      </c>
      <c r="C43" s="17">
        <v>4.8</v>
      </c>
      <c r="D43" s="9" t="s">
        <v>358</v>
      </c>
      <c r="E43" s="13">
        <v>24</v>
      </c>
      <c r="F43" s="43">
        <v>44</v>
      </c>
      <c r="G43" s="47">
        <v>2</v>
      </c>
      <c r="H43" s="45"/>
      <c r="I43" s="48">
        <f t="shared" si="40"/>
        <v>44</v>
      </c>
      <c r="J43" s="43">
        <v>24</v>
      </c>
      <c r="K43" s="47">
        <f t="shared" si="41"/>
        <v>20</v>
      </c>
      <c r="L43" s="45">
        <v>1</v>
      </c>
      <c r="M43" s="48">
        <f t="shared" si="42"/>
        <v>48</v>
      </c>
      <c r="N43" s="43">
        <v>34</v>
      </c>
      <c r="O43" s="47">
        <v>14</v>
      </c>
      <c r="P43" s="45"/>
      <c r="Q43" s="48">
        <f t="shared" si="43"/>
        <v>34</v>
      </c>
      <c r="R43" s="43">
        <v>19</v>
      </c>
      <c r="S43" s="47">
        <f t="shared" si="44"/>
        <v>15</v>
      </c>
      <c r="T43" s="45">
        <v>1</v>
      </c>
      <c r="U43" s="48">
        <f t="shared" si="45"/>
        <v>43</v>
      </c>
      <c r="V43" s="43">
        <v>13</v>
      </c>
      <c r="W43" s="47">
        <f t="shared" si="95"/>
        <v>30</v>
      </c>
      <c r="X43" s="49">
        <v>2</v>
      </c>
      <c r="Y43" s="48">
        <f t="shared" si="96"/>
        <v>61</v>
      </c>
      <c r="Z43" s="43">
        <v>50</v>
      </c>
      <c r="AA43" s="47">
        <f t="shared" si="8"/>
        <v>11</v>
      </c>
      <c r="AB43" s="45"/>
      <c r="AC43" s="48">
        <f t="shared" si="97"/>
        <v>50</v>
      </c>
      <c r="AD43" s="43">
        <v>36</v>
      </c>
      <c r="AE43" s="47">
        <f t="shared" si="98"/>
        <v>14</v>
      </c>
      <c r="AF43" s="45"/>
      <c r="AG43" s="48">
        <f t="shared" si="99"/>
        <v>36</v>
      </c>
      <c r="AH43" s="43">
        <v>21</v>
      </c>
      <c r="AI43" s="47">
        <f t="shared" si="12"/>
        <v>15</v>
      </c>
      <c r="AJ43" s="45">
        <v>1</v>
      </c>
      <c r="AK43" s="48">
        <f t="shared" si="100"/>
        <v>45</v>
      </c>
      <c r="AL43" s="43">
        <v>30</v>
      </c>
      <c r="AM43" s="47">
        <f t="shared" si="101"/>
        <v>15</v>
      </c>
      <c r="AN43" s="45"/>
      <c r="AO43" s="48">
        <f t="shared" si="102"/>
        <v>30</v>
      </c>
      <c r="AP43" s="43">
        <v>25</v>
      </c>
      <c r="AQ43" s="47">
        <f t="shared" si="16"/>
        <v>5</v>
      </c>
      <c r="AR43" s="45">
        <v>1</v>
      </c>
      <c r="AS43" s="48">
        <f t="shared" si="103"/>
        <v>49</v>
      </c>
      <c r="AT43" s="43">
        <v>28</v>
      </c>
      <c r="AU43" s="47">
        <f t="shared" si="104"/>
        <v>21</v>
      </c>
      <c r="AV43" s="45">
        <v>1</v>
      </c>
      <c r="AW43" s="48">
        <f t="shared" si="105"/>
        <v>52</v>
      </c>
      <c r="AX43" s="43">
        <v>35</v>
      </c>
      <c r="AY43" s="47">
        <f t="shared" si="106"/>
        <v>17</v>
      </c>
      <c r="AZ43" s="45"/>
      <c r="BA43" s="48">
        <f t="shared" si="107"/>
        <v>35</v>
      </c>
      <c r="BB43" s="43">
        <v>24</v>
      </c>
      <c r="BC43" s="47">
        <f t="shared" si="108"/>
        <v>11</v>
      </c>
      <c r="BD43" s="45"/>
      <c r="BE43" s="48">
        <f t="shared" si="109"/>
        <v>24</v>
      </c>
      <c r="BF43" s="43">
        <v>10</v>
      </c>
      <c r="BG43" s="47">
        <f t="shared" si="110"/>
        <v>14</v>
      </c>
      <c r="BH43" s="45">
        <v>1</v>
      </c>
      <c r="BI43" s="48">
        <f t="shared" si="111"/>
        <v>34</v>
      </c>
      <c r="BJ43" s="43">
        <v>21</v>
      </c>
      <c r="BK43" s="47">
        <f t="shared" si="112"/>
        <v>13</v>
      </c>
      <c r="BL43" s="45">
        <v>1</v>
      </c>
      <c r="BM43" s="48">
        <f t="shared" si="113"/>
        <v>45</v>
      </c>
      <c r="BN43" s="43"/>
      <c r="BO43" s="47">
        <f t="shared" si="114"/>
        <v>45</v>
      </c>
      <c r="BP43" s="45"/>
      <c r="BQ43" s="48">
        <f t="shared" si="115"/>
        <v>0</v>
      </c>
      <c r="BR43" s="43"/>
      <c r="BS43" s="47">
        <f t="shared" si="116"/>
        <v>0</v>
      </c>
      <c r="BT43" s="45"/>
      <c r="BU43" s="48">
        <f t="shared" si="117"/>
        <v>0</v>
      </c>
      <c r="BV43" s="43"/>
      <c r="BW43" s="47">
        <f t="shared" si="118"/>
        <v>0</v>
      </c>
      <c r="BX43" s="45"/>
      <c r="BY43" s="48">
        <f t="shared" si="119"/>
        <v>0</v>
      </c>
      <c r="BZ43" s="43"/>
      <c r="CA43" s="47">
        <f t="shared" si="120"/>
        <v>0</v>
      </c>
      <c r="CB43" s="45"/>
      <c r="CC43" s="48">
        <f t="shared" si="121"/>
        <v>0</v>
      </c>
      <c r="CD43" s="43"/>
      <c r="CE43" s="47">
        <f t="shared" si="122"/>
        <v>0</v>
      </c>
      <c r="CF43" s="45"/>
      <c r="CG43" s="48">
        <f t="shared" si="123"/>
        <v>0</v>
      </c>
      <c r="CH43" s="43"/>
      <c r="CI43" s="47">
        <f t="shared" si="124"/>
        <v>0</v>
      </c>
      <c r="CJ43" s="45"/>
      <c r="CK43" s="48">
        <f t="shared" si="125"/>
        <v>0</v>
      </c>
    </row>
    <row r="44" spans="1:89" s="89" customFormat="1" ht="20.100000000000001" hidden="1" customHeight="1" x14ac:dyDescent="0.25">
      <c r="A44" s="152" t="s">
        <v>84</v>
      </c>
      <c r="B44" s="9" t="s">
        <v>7</v>
      </c>
      <c r="C44" s="17">
        <v>10</v>
      </c>
      <c r="D44" s="9" t="s">
        <v>358</v>
      </c>
      <c r="E44" s="13">
        <v>10</v>
      </c>
      <c r="F44" s="43">
        <v>13</v>
      </c>
      <c r="G44" s="47">
        <v>2.5999999999999996</v>
      </c>
      <c r="H44" s="45"/>
      <c r="I44" s="48">
        <f t="shared" si="40"/>
        <v>13</v>
      </c>
      <c r="J44" s="43">
        <v>8</v>
      </c>
      <c r="K44" s="47">
        <f t="shared" si="41"/>
        <v>5</v>
      </c>
      <c r="L44" s="45">
        <v>1</v>
      </c>
      <c r="M44" s="48">
        <f t="shared" si="42"/>
        <v>18</v>
      </c>
      <c r="N44" s="43">
        <v>16</v>
      </c>
      <c r="O44" s="47">
        <v>2</v>
      </c>
      <c r="P44" s="45"/>
      <c r="Q44" s="48">
        <f t="shared" si="43"/>
        <v>16</v>
      </c>
      <c r="R44" s="43">
        <v>15</v>
      </c>
      <c r="S44" s="47">
        <f t="shared" si="44"/>
        <v>1</v>
      </c>
      <c r="T44" s="45"/>
      <c r="U44" s="48">
        <f t="shared" si="45"/>
        <v>15</v>
      </c>
      <c r="V44" s="43">
        <v>13</v>
      </c>
      <c r="W44" s="47">
        <f t="shared" si="95"/>
        <v>2</v>
      </c>
      <c r="X44" s="45"/>
      <c r="Y44" s="48">
        <f t="shared" si="96"/>
        <v>13</v>
      </c>
      <c r="Z44" s="43">
        <v>9</v>
      </c>
      <c r="AA44" s="47">
        <f t="shared" si="8"/>
        <v>4</v>
      </c>
      <c r="AB44" s="45"/>
      <c r="AC44" s="48">
        <f t="shared" si="97"/>
        <v>9</v>
      </c>
      <c r="AD44" s="43">
        <v>5</v>
      </c>
      <c r="AE44" s="47">
        <f t="shared" si="98"/>
        <v>4</v>
      </c>
      <c r="AF44" s="45">
        <v>1</v>
      </c>
      <c r="AG44" s="48">
        <f t="shared" si="99"/>
        <v>15</v>
      </c>
      <c r="AH44" s="43">
        <v>12</v>
      </c>
      <c r="AI44" s="47">
        <f t="shared" si="12"/>
        <v>3</v>
      </c>
      <c r="AJ44" s="45"/>
      <c r="AK44" s="48">
        <f t="shared" si="100"/>
        <v>12</v>
      </c>
      <c r="AL44" s="43">
        <v>8</v>
      </c>
      <c r="AM44" s="47">
        <f t="shared" si="101"/>
        <v>4</v>
      </c>
      <c r="AN44" s="45"/>
      <c r="AO44" s="48">
        <f t="shared" si="102"/>
        <v>8</v>
      </c>
      <c r="AP44" s="43">
        <v>6</v>
      </c>
      <c r="AQ44" s="47">
        <f t="shared" si="16"/>
        <v>2</v>
      </c>
      <c r="AR44" s="45">
        <v>1</v>
      </c>
      <c r="AS44" s="48">
        <f t="shared" si="103"/>
        <v>16</v>
      </c>
      <c r="AT44" s="43">
        <v>12</v>
      </c>
      <c r="AU44" s="47">
        <f t="shared" si="104"/>
        <v>4</v>
      </c>
      <c r="AV44" s="45"/>
      <c r="AW44" s="48">
        <f t="shared" si="105"/>
        <v>12</v>
      </c>
      <c r="AX44" s="43">
        <v>10</v>
      </c>
      <c r="AY44" s="47">
        <f t="shared" si="106"/>
        <v>2</v>
      </c>
      <c r="AZ44" s="45"/>
      <c r="BA44" s="48">
        <f t="shared" si="107"/>
        <v>10</v>
      </c>
      <c r="BB44" s="43">
        <v>6</v>
      </c>
      <c r="BC44" s="47">
        <f t="shared" si="108"/>
        <v>4</v>
      </c>
      <c r="BD44" s="45">
        <v>1</v>
      </c>
      <c r="BE44" s="48">
        <f t="shared" si="109"/>
        <v>16</v>
      </c>
      <c r="BF44" s="43">
        <v>13</v>
      </c>
      <c r="BG44" s="47">
        <f t="shared" si="110"/>
        <v>3</v>
      </c>
      <c r="BH44" s="45">
        <v>1</v>
      </c>
      <c r="BI44" s="48">
        <f t="shared" si="111"/>
        <v>23</v>
      </c>
      <c r="BJ44" s="43">
        <v>20</v>
      </c>
      <c r="BK44" s="47">
        <f t="shared" si="112"/>
        <v>3</v>
      </c>
      <c r="BL44" s="45"/>
      <c r="BM44" s="48">
        <f t="shared" si="113"/>
        <v>20</v>
      </c>
      <c r="BN44" s="43"/>
      <c r="BO44" s="47">
        <f t="shared" si="114"/>
        <v>20</v>
      </c>
      <c r="BP44" s="45"/>
      <c r="BQ44" s="48">
        <f t="shared" si="115"/>
        <v>0</v>
      </c>
      <c r="BR44" s="43"/>
      <c r="BS44" s="47">
        <f t="shared" si="116"/>
        <v>0</v>
      </c>
      <c r="BT44" s="45"/>
      <c r="BU44" s="48">
        <f t="shared" si="117"/>
        <v>0</v>
      </c>
      <c r="BV44" s="43"/>
      <c r="BW44" s="47">
        <f t="shared" si="118"/>
        <v>0</v>
      </c>
      <c r="BX44" s="45"/>
      <c r="BY44" s="48">
        <f t="shared" si="119"/>
        <v>0</v>
      </c>
      <c r="BZ44" s="43"/>
      <c r="CA44" s="47">
        <f t="shared" si="120"/>
        <v>0</v>
      </c>
      <c r="CB44" s="45"/>
      <c r="CC44" s="48">
        <f t="shared" si="121"/>
        <v>0</v>
      </c>
      <c r="CD44" s="43"/>
      <c r="CE44" s="47">
        <f t="shared" si="122"/>
        <v>0</v>
      </c>
      <c r="CF44" s="45"/>
      <c r="CG44" s="48">
        <f t="shared" si="123"/>
        <v>0</v>
      </c>
      <c r="CH44" s="43"/>
      <c r="CI44" s="47">
        <f t="shared" si="124"/>
        <v>0</v>
      </c>
      <c r="CJ44" s="45"/>
      <c r="CK44" s="48">
        <f t="shared" si="125"/>
        <v>0</v>
      </c>
    </row>
    <row r="45" spans="1:89" s="89" customFormat="1" ht="20.100000000000001" customHeight="1" x14ac:dyDescent="0.25">
      <c r="A45" s="152" t="s">
        <v>240</v>
      </c>
      <c r="B45" s="9" t="s">
        <v>7</v>
      </c>
      <c r="C45" s="10">
        <v>1</v>
      </c>
      <c r="D45" s="9" t="s">
        <v>9</v>
      </c>
      <c r="E45" s="13">
        <v>24</v>
      </c>
      <c r="F45" s="43">
        <f>24+7</f>
        <v>31</v>
      </c>
      <c r="G45" s="47">
        <v>21</v>
      </c>
      <c r="H45" s="45">
        <v>1</v>
      </c>
      <c r="I45" s="48">
        <f>+F45+H45*$E45</f>
        <v>55</v>
      </c>
      <c r="J45" s="43">
        <f>24+16</f>
        <v>40</v>
      </c>
      <c r="K45" s="47">
        <f>+I45-J45</f>
        <v>15</v>
      </c>
      <c r="L45" s="45"/>
      <c r="M45" s="48">
        <f>+J45+L45*$E45</f>
        <v>40</v>
      </c>
      <c r="N45" s="43">
        <v>11</v>
      </c>
      <c r="O45" s="47">
        <v>29</v>
      </c>
      <c r="P45" s="45">
        <v>1</v>
      </c>
      <c r="Q45" s="48">
        <f>+N45+P45*$E45</f>
        <v>35</v>
      </c>
      <c r="R45" s="43">
        <v>16</v>
      </c>
      <c r="S45" s="47">
        <f>+Q45-R45</f>
        <v>19</v>
      </c>
      <c r="T45" s="45">
        <v>1</v>
      </c>
      <c r="U45" s="48">
        <f>+R45+T45*$E45</f>
        <v>40</v>
      </c>
      <c r="V45" s="43">
        <v>18</v>
      </c>
      <c r="W45" s="47">
        <f>+U45-V45</f>
        <v>22</v>
      </c>
      <c r="X45" s="49">
        <v>1</v>
      </c>
      <c r="Y45" s="48">
        <f>+V45+X45*$E45</f>
        <v>42</v>
      </c>
      <c r="Z45" s="43">
        <v>26</v>
      </c>
      <c r="AA45" s="47">
        <f t="shared" si="8"/>
        <v>16</v>
      </c>
      <c r="AB45" s="49">
        <v>1</v>
      </c>
      <c r="AC45" s="48">
        <f>+Z45+AB45*$E45</f>
        <v>50</v>
      </c>
      <c r="AD45" s="43">
        <v>36</v>
      </c>
      <c r="AE45" s="47">
        <f>+AC45-AD45</f>
        <v>14</v>
      </c>
      <c r="AF45" s="45"/>
      <c r="AG45" s="48">
        <f>+AD45+AF45*$E45</f>
        <v>36</v>
      </c>
      <c r="AH45" s="43">
        <v>22</v>
      </c>
      <c r="AI45" s="47">
        <f t="shared" si="12"/>
        <v>14</v>
      </c>
      <c r="AJ45" s="45">
        <v>1</v>
      </c>
      <c r="AK45" s="48">
        <f>+AH45+AJ45*$E45</f>
        <v>46</v>
      </c>
      <c r="AL45" s="43">
        <v>19</v>
      </c>
      <c r="AM45" s="47">
        <f>+AK45-AL45</f>
        <v>27</v>
      </c>
      <c r="AN45" s="45">
        <v>1</v>
      </c>
      <c r="AO45" s="48">
        <f>+AL45+AN45*$E45</f>
        <v>43</v>
      </c>
      <c r="AP45" s="43">
        <v>25</v>
      </c>
      <c r="AQ45" s="47">
        <f t="shared" si="16"/>
        <v>18</v>
      </c>
      <c r="AR45" s="45">
        <v>1</v>
      </c>
      <c r="AS45" s="48">
        <f>+AP45+AR45*$E45</f>
        <v>49</v>
      </c>
      <c r="AT45" s="43">
        <v>28</v>
      </c>
      <c r="AU45" s="47">
        <f>+AS45-AT45</f>
        <v>21</v>
      </c>
      <c r="AV45" s="45">
        <v>1</v>
      </c>
      <c r="AW45" s="48">
        <f>+AT45+AV45*$E45</f>
        <v>52</v>
      </c>
      <c r="AX45" s="43">
        <v>36</v>
      </c>
      <c r="AY45" s="47">
        <f>+AW45-AX45</f>
        <v>16</v>
      </c>
      <c r="AZ45" s="45">
        <v>1</v>
      </c>
      <c r="BA45" s="48">
        <f>+AX45+AZ45*$E45</f>
        <v>60</v>
      </c>
      <c r="BB45" s="43">
        <f>24+19</f>
        <v>43</v>
      </c>
      <c r="BC45" s="47">
        <f>+BA45-BB45</f>
        <v>17</v>
      </c>
      <c r="BD45" s="45"/>
      <c r="BE45" s="48">
        <f>+BB45+BD45*$E45</f>
        <v>43</v>
      </c>
      <c r="BF45" s="43">
        <v>36</v>
      </c>
      <c r="BG45" s="47">
        <f>+BE45-BF45</f>
        <v>7</v>
      </c>
      <c r="BH45" s="45"/>
      <c r="BI45" s="48">
        <f>+BF45+BH45*$E45</f>
        <v>36</v>
      </c>
      <c r="BJ45" s="43">
        <v>8</v>
      </c>
      <c r="BK45" s="47">
        <f>+BI45-BJ45</f>
        <v>28</v>
      </c>
      <c r="BL45" s="45">
        <v>2</v>
      </c>
      <c r="BM45" s="48">
        <f>+BJ45+BL45*$E45</f>
        <v>56</v>
      </c>
      <c r="BN45" s="43"/>
      <c r="BO45" s="47">
        <f>+BM45-BN45</f>
        <v>56</v>
      </c>
      <c r="BP45" s="45"/>
      <c r="BQ45" s="48">
        <f>+BN45+BP45*$E45</f>
        <v>0</v>
      </c>
      <c r="BR45" s="43"/>
      <c r="BS45" s="47">
        <f>+BQ45-BR45</f>
        <v>0</v>
      </c>
      <c r="BT45" s="45"/>
      <c r="BU45" s="48">
        <f>+BR45+BT45*$E45</f>
        <v>0</v>
      </c>
      <c r="BV45" s="43"/>
      <c r="BW45" s="47">
        <f>+BU45-BV45</f>
        <v>0</v>
      </c>
      <c r="BX45" s="45"/>
      <c r="BY45" s="48">
        <f>+BV45+BX45*$E45</f>
        <v>0</v>
      </c>
      <c r="BZ45" s="43"/>
      <c r="CA45" s="47">
        <f>+BY45-BZ45</f>
        <v>0</v>
      </c>
      <c r="CB45" s="45"/>
      <c r="CC45" s="48">
        <f>+BZ45+CB45*$E45</f>
        <v>0</v>
      </c>
      <c r="CD45" s="43"/>
      <c r="CE45" s="47">
        <f>+CC45-CD45</f>
        <v>0</v>
      </c>
      <c r="CF45" s="45"/>
      <c r="CG45" s="48">
        <f>+CD45+CF45*$E45</f>
        <v>0</v>
      </c>
      <c r="CH45" s="43"/>
      <c r="CI45" s="47">
        <f>+CG45-CH45</f>
        <v>0</v>
      </c>
      <c r="CJ45" s="45"/>
      <c r="CK45" s="48">
        <f>+CH45+CJ45*$E45</f>
        <v>0</v>
      </c>
    </row>
    <row r="46" spans="1:89" s="89" customFormat="1" ht="20.100000000000001" hidden="1" customHeight="1" x14ac:dyDescent="0.25">
      <c r="A46" s="152" t="s">
        <v>85</v>
      </c>
      <c r="B46" s="9" t="s">
        <v>7</v>
      </c>
      <c r="C46" s="10">
        <v>175</v>
      </c>
      <c r="D46" s="9" t="s">
        <v>9</v>
      </c>
      <c r="E46" s="13">
        <v>175</v>
      </c>
      <c r="F46" s="43">
        <f>175+35+35</f>
        <v>245</v>
      </c>
      <c r="G46" s="47">
        <v>19</v>
      </c>
      <c r="H46" s="45"/>
      <c r="I46" s="48">
        <f>+F46+H46*$E46</f>
        <v>245</v>
      </c>
      <c r="J46" s="43">
        <v>205</v>
      </c>
      <c r="K46" s="47">
        <f>+I46-J46</f>
        <v>40</v>
      </c>
      <c r="L46" s="45"/>
      <c r="M46" s="48">
        <f>+J46+L46*$E46</f>
        <v>205</v>
      </c>
      <c r="N46" s="43">
        <v>175</v>
      </c>
      <c r="O46" s="47">
        <v>30</v>
      </c>
      <c r="P46" s="45"/>
      <c r="Q46" s="48">
        <f>+N46+P46*$E46</f>
        <v>175</v>
      </c>
      <c r="R46" s="43">
        <v>126</v>
      </c>
      <c r="S46" s="47">
        <f>+Q46-R46</f>
        <v>49</v>
      </c>
      <c r="T46" s="45"/>
      <c r="U46" s="48">
        <f>+R46+T46*$E46</f>
        <v>126</v>
      </c>
      <c r="V46" s="43">
        <v>94</v>
      </c>
      <c r="W46" s="47">
        <f>+U46-V46</f>
        <v>32</v>
      </c>
      <c r="X46" s="49">
        <v>1</v>
      </c>
      <c r="Y46" s="48">
        <f>+V46+X46*$E46</f>
        <v>269</v>
      </c>
      <c r="Z46" s="43">
        <f>175+35+35</f>
        <v>245</v>
      </c>
      <c r="AA46" s="47">
        <f t="shared" si="8"/>
        <v>24</v>
      </c>
      <c r="AB46" s="45"/>
      <c r="AC46" s="48">
        <f>+Z46+AB46*$E46</f>
        <v>245</v>
      </c>
      <c r="AD46" s="43">
        <v>179</v>
      </c>
      <c r="AE46" s="47">
        <f>+AC46-AD46</f>
        <v>66</v>
      </c>
      <c r="AF46" s="45"/>
      <c r="AG46" s="48">
        <f>+AD46+AF46*$E46</f>
        <v>179</v>
      </c>
      <c r="AH46" s="43">
        <v>135</v>
      </c>
      <c r="AI46" s="47">
        <f t="shared" si="12"/>
        <v>44</v>
      </c>
      <c r="AJ46" s="45"/>
      <c r="AK46" s="48">
        <f>+AH46+AJ46*$E46</f>
        <v>135</v>
      </c>
      <c r="AL46" s="43">
        <f>35*3+2</f>
        <v>107</v>
      </c>
      <c r="AM46" s="47">
        <f>+AK46-AL46</f>
        <v>28</v>
      </c>
      <c r="AN46" s="45"/>
      <c r="AO46" s="48">
        <f>+AL46+AN46*$E46</f>
        <v>107</v>
      </c>
      <c r="AP46" s="43">
        <v>98</v>
      </c>
      <c r="AQ46" s="47">
        <f t="shared" si="16"/>
        <v>9</v>
      </c>
      <c r="AR46" s="45"/>
      <c r="AS46" s="48">
        <f>+AP46+AR46*$E46</f>
        <v>98</v>
      </c>
      <c r="AT46" s="43">
        <v>32</v>
      </c>
      <c r="AU46" s="47">
        <f>+AS46-AT46</f>
        <v>66</v>
      </c>
      <c r="AV46" s="45">
        <v>1</v>
      </c>
      <c r="AW46" s="48">
        <f>+AT46+AV46*$E46</f>
        <v>207</v>
      </c>
      <c r="AX46" s="43">
        <f>4*30+26</f>
        <v>146</v>
      </c>
      <c r="AY46" s="47">
        <f>+AW46-AX46</f>
        <v>61</v>
      </c>
      <c r="AZ46" s="45">
        <v>1</v>
      </c>
      <c r="BA46" s="48">
        <f>+AX46+AZ46*$E46</f>
        <v>321</v>
      </c>
      <c r="BB46" s="43">
        <f>175+116</f>
        <v>291</v>
      </c>
      <c r="BC46" s="47">
        <f>+BA46-BB46</f>
        <v>30</v>
      </c>
      <c r="BD46" s="45">
        <v>1</v>
      </c>
      <c r="BE46" s="48">
        <f>+BB46+BD46*$E46</f>
        <v>466</v>
      </c>
      <c r="BF46" s="43">
        <v>221</v>
      </c>
      <c r="BG46" s="47">
        <f>+BE46-BF46</f>
        <v>245</v>
      </c>
      <c r="BH46" s="45">
        <v>1</v>
      </c>
      <c r="BI46" s="48">
        <f>+BF46+BH46*$E46</f>
        <v>396</v>
      </c>
      <c r="BJ46" s="43">
        <v>342</v>
      </c>
      <c r="BK46" s="47">
        <f>+BI46-BJ46</f>
        <v>54</v>
      </c>
      <c r="BL46" s="45"/>
      <c r="BM46" s="48">
        <f>+BJ46+BL46*$E46</f>
        <v>342</v>
      </c>
      <c r="BN46" s="43"/>
      <c r="BO46" s="47">
        <f>+BM46-BN46</f>
        <v>342</v>
      </c>
      <c r="BP46" s="45"/>
      <c r="BQ46" s="48">
        <f>+BN46+BP46*$E46</f>
        <v>0</v>
      </c>
      <c r="BR46" s="43"/>
      <c r="BS46" s="47">
        <f>+BQ46-BR46</f>
        <v>0</v>
      </c>
      <c r="BT46" s="45"/>
      <c r="BU46" s="48">
        <f>+BR46+BT46*$E46</f>
        <v>0</v>
      </c>
      <c r="BV46" s="43"/>
      <c r="BW46" s="47">
        <f>+BU46-BV46</f>
        <v>0</v>
      </c>
      <c r="BX46" s="45"/>
      <c r="BY46" s="48">
        <f>+BV46+BX46*$E46</f>
        <v>0</v>
      </c>
      <c r="BZ46" s="43"/>
      <c r="CA46" s="47">
        <f>+BY46-BZ46</f>
        <v>0</v>
      </c>
      <c r="CB46" s="45"/>
      <c r="CC46" s="48">
        <f>+BZ46+CB46*$E46</f>
        <v>0</v>
      </c>
      <c r="CD46" s="43"/>
      <c r="CE46" s="47">
        <f>+CC46-CD46</f>
        <v>0</v>
      </c>
      <c r="CF46" s="45"/>
      <c r="CG46" s="48">
        <f>+CD46+CF46*$E46</f>
        <v>0</v>
      </c>
      <c r="CH46" s="43"/>
      <c r="CI46" s="47">
        <f>+CG46-CH46</f>
        <v>0</v>
      </c>
      <c r="CJ46" s="45"/>
      <c r="CK46" s="48">
        <f>+CH46+CJ46*$E46</f>
        <v>0</v>
      </c>
    </row>
    <row r="47" spans="1:89" s="89" customFormat="1" ht="20.100000000000001" customHeight="1" x14ac:dyDescent="0.25">
      <c r="A47" s="152" t="s">
        <v>86</v>
      </c>
      <c r="B47" s="9" t="s">
        <v>7</v>
      </c>
      <c r="C47" s="10">
        <v>80</v>
      </c>
      <c r="D47" s="9" t="s">
        <v>9</v>
      </c>
      <c r="E47" s="13">
        <v>80</v>
      </c>
      <c r="F47" s="43">
        <f>80+29</f>
        <v>109</v>
      </c>
      <c r="G47" s="47">
        <v>42</v>
      </c>
      <c r="H47" s="45"/>
      <c r="I47" s="48">
        <f>+F47+H47*$E47</f>
        <v>109</v>
      </c>
      <c r="J47" s="43">
        <v>100</v>
      </c>
      <c r="K47" s="47">
        <f>+I47-J47</f>
        <v>9</v>
      </c>
      <c r="L47" s="45"/>
      <c r="M47" s="48">
        <f>+J47+L47*$E47</f>
        <v>100</v>
      </c>
      <c r="N47" s="43">
        <v>86</v>
      </c>
      <c r="O47" s="47">
        <v>14</v>
      </c>
      <c r="P47" s="45"/>
      <c r="Q47" s="48">
        <f>+N47+P47*$E47</f>
        <v>86</v>
      </c>
      <c r="R47" s="43">
        <v>41</v>
      </c>
      <c r="S47" s="47">
        <f>+Q47-R47</f>
        <v>45</v>
      </c>
      <c r="T47" s="45">
        <v>1</v>
      </c>
      <c r="U47" s="48">
        <f>+R47+T47*$E47</f>
        <v>121</v>
      </c>
      <c r="V47" s="43">
        <v>80</v>
      </c>
      <c r="W47" s="47">
        <f>+U47-V47</f>
        <v>41</v>
      </c>
      <c r="X47" s="45"/>
      <c r="Y47" s="48">
        <f>+V47+X47*$E47</f>
        <v>80</v>
      </c>
      <c r="Z47" s="43">
        <v>12</v>
      </c>
      <c r="AA47" s="47">
        <f t="shared" si="8"/>
        <v>68</v>
      </c>
      <c r="AB47" s="49">
        <v>1</v>
      </c>
      <c r="AC47" s="48">
        <f>+Z47+AB47*$E47</f>
        <v>92</v>
      </c>
      <c r="AD47" s="43">
        <v>80</v>
      </c>
      <c r="AE47" s="47">
        <f>+AC47-AD47</f>
        <v>12</v>
      </c>
      <c r="AF47" s="45"/>
      <c r="AG47" s="48">
        <f>+AD47+AF47*$E47</f>
        <v>80</v>
      </c>
      <c r="AH47" s="43">
        <v>68</v>
      </c>
      <c r="AI47" s="47">
        <f t="shared" si="12"/>
        <v>12</v>
      </c>
      <c r="AJ47" s="45"/>
      <c r="AK47" s="48">
        <f>+AH47+AJ47*$E47</f>
        <v>68</v>
      </c>
      <c r="AL47" s="43"/>
      <c r="AM47" s="47">
        <f>+AK47-AL47</f>
        <v>68</v>
      </c>
      <c r="AN47" s="45">
        <v>2</v>
      </c>
      <c r="AO47" s="48">
        <f>+AL47+AN47*$E47</f>
        <v>160</v>
      </c>
      <c r="AP47" s="43">
        <v>113</v>
      </c>
      <c r="AQ47" s="47">
        <f t="shared" si="16"/>
        <v>47</v>
      </c>
      <c r="AR47" s="45"/>
      <c r="AS47" s="48">
        <f>+AP47+AR47*$E47</f>
        <v>113</v>
      </c>
      <c r="AT47" s="43">
        <v>80</v>
      </c>
      <c r="AU47" s="47">
        <f>+AS47-AT47</f>
        <v>33</v>
      </c>
      <c r="AV47" s="45">
        <v>1</v>
      </c>
      <c r="AW47" s="48">
        <f>+AT47+AV47*$E47</f>
        <v>160</v>
      </c>
      <c r="AX47" s="43">
        <v>82</v>
      </c>
      <c r="AY47" s="47">
        <f>+AW47-AX47</f>
        <v>78</v>
      </c>
      <c r="AZ47" s="45">
        <v>1</v>
      </c>
      <c r="BA47" s="48">
        <f>+AX47+AZ47*$E47</f>
        <v>162</v>
      </c>
      <c r="BB47" s="43">
        <f>80+33</f>
        <v>113</v>
      </c>
      <c r="BC47" s="47">
        <f>+BA47-BB47</f>
        <v>49</v>
      </c>
      <c r="BD47" s="45"/>
      <c r="BE47" s="48">
        <f>+BB47+BD47*$E47</f>
        <v>113</v>
      </c>
      <c r="BF47" s="43">
        <v>55</v>
      </c>
      <c r="BG47" s="47">
        <f>+BE47-BF47</f>
        <v>58</v>
      </c>
      <c r="BH47" s="45">
        <v>1</v>
      </c>
      <c r="BI47" s="48">
        <f>+BF47+BH47*$E47</f>
        <v>135</v>
      </c>
      <c r="BJ47" s="43">
        <v>86</v>
      </c>
      <c r="BK47" s="47">
        <f>+BI47-BJ47</f>
        <v>49</v>
      </c>
      <c r="BL47" s="45">
        <v>1</v>
      </c>
      <c r="BM47" s="48">
        <f>+BJ47+BL47*$E47</f>
        <v>166</v>
      </c>
      <c r="BN47" s="43"/>
      <c r="BO47" s="47">
        <f>+BM47-BN47</f>
        <v>166</v>
      </c>
      <c r="BP47" s="45"/>
      <c r="BQ47" s="48">
        <f>+BN47+BP47*$E47</f>
        <v>0</v>
      </c>
      <c r="BR47" s="43"/>
      <c r="BS47" s="47">
        <f>+BQ47-BR47</f>
        <v>0</v>
      </c>
      <c r="BT47" s="45"/>
      <c r="BU47" s="48">
        <f>+BR47+BT47*$E47</f>
        <v>0</v>
      </c>
      <c r="BV47" s="43"/>
      <c r="BW47" s="47">
        <f>+BU47-BV47</f>
        <v>0</v>
      </c>
      <c r="BX47" s="45"/>
      <c r="BY47" s="48">
        <f>+BV47+BX47*$E47</f>
        <v>0</v>
      </c>
      <c r="BZ47" s="43"/>
      <c r="CA47" s="47">
        <f>+BY47-BZ47</f>
        <v>0</v>
      </c>
      <c r="CB47" s="45"/>
      <c r="CC47" s="48">
        <f>+BZ47+CB47*$E47</f>
        <v>0</v>
      </c>
      <c r="CD47" s="43"/>
      <c r="CE47" s="47">
        <f>+CC47-CD47</f>
        <v>0</v>
      </c>
      <c r="CF47" s="45"/>
      <c r="CG47" s="48">
        <f>+CD47+CF47*$E47</f>
        <v>0</v>
      </c>
      <c r="CH47" s="43"/>
      <c r="CI47" s="47">
        <f>+CG47-CH47</f>
        <v>0</v>
      </c>
      <c r="CJ47" s="45"/>
      <c r="CK47" s="48">
        <f>+CH47+CJ47*$E47</f>
        <v>0</v>
      </c>
    </row>
    <row r="48" spans="1:89" s="89" customFormat="1" ht="20.100000000000001" hidden="1" customHeight="1" x14ac:dyDescent="0.25">
      <c r="A48" s="152" t="s">
        <v>87</v>
      </c>
      <c r="B48" s="9" t="s">
        <v>7</v>
      </c>
      <c r="C48" s="10">
        <v>5</v>
      </c>
      <c r="D48" s="9" t="s">
        <v>358</v>
      </c>
      <c r="E48" s="13">
        <v>5</v>
      </c>
      <c r="F48" s="43">
        <v>4</v>
      </c>
      <c r="G48" s="47">
        <v>4.8000000000000007</v>
      </c>
      <c r="H48" s="45">
        <v>1</v>
      </c>
      <c r="I48" s="48">
        <f>+F48+H48*$E48</f>
        <v>9</v>
      </c>
      <c r="J48" s="43">
        <v>7</v>
      </c>
      <c r="K48" s="47">
        <f>+I48-J48</f>
        <v>2</v>
      </c>
      <c r="L48" s="45"/>
      <c r="M48" s="48">
        <f>+J48+L48*$E48</f>
        <v>7</v>
      </c>
      <c r="N48" s="43">
        <v>5.7</v>
      </c>
      <c r="O48" s="47">
        <v>1.2999999999999998</v>
      </c>
      <c r="P48" s="45"/>
      <c r="Q48" s="48">
        <f>+N48+P48*$E48</f>
        <v>5.7</v>
      </c>
      <c r="R48" s="43">
        <v>1</v>
      </c>
      <c r="S48" s="47">
        <f>+Q48-R48</f>
        <v>4.7</v>
      </c>
      <c r="T48" s="45">
        <v>1</v>
      </c>
      <c r="U48" s="48">
        <f>+R48+T48*$E48</f>
        <v>6</v>
      </c>
      <c r="V48" s="43">
        <v>4.5</v>
      </c>
      <c r="W48" s="47">
        <f>+U48-V48</f>
        <v>1.5</v>
      </c>
      <c r="X48" s="49">
        <v>1</v>
      </c>
      <c r="Y48" s="48">
        <f>+V48+X48*$E48</f>
        <v>9.5</v>
      </c>
      <c r="Z48" s="43">
        <v>7</v>
      </c>
      <c r="AA48" s="47">
        <f t="shared" si="8"/>
        <v>2.5</v>
      </c>
      <c r="AB48" s="45"/>
      <c r="AC48" s="48">
        <f>+Z48+AB48*$E48</f>
        <v>7</v>
      </c>
      <c r="AD48" s="43">
        <v>4</v>
      </c>
      <c r="AE48" s="47">
        <f>+AC48-AD48</f>
        <v>3</v>
      </c>
      <c r="AF48" s="45">
        <v>1</v>
      </c>
      <c r="AG48" s="48">
        <f>+AD48+AF48*$E48</f>
        <v>9</v>
      </c>
      <c r="AH48" s="43">
        <v>7</v>
      </c>
      <c r="AI48" s="47">
        <f t="shared" si="12"/>
        <v>2</v>
      </c>
      <c r="AJ48" s="45"/>
      <c r="AK48" s="48">
        <f>+AH48+AJ48*$E48</f>
        <v>7</v>
      </c>
      <c r="AL48" s="43">
        <v>5</v>
      </c>
      <c r="AM48" s="47">
        <f>+AK48-AL48</f>
        <v>2</v>
      </c>
      <c r="AN48" s="45">
        <v>1</v>
      </c>
      <c r="AO48" s="48">
        <f>+AL48+AN48*$E48</f>
        <v>10</v>
      </c>
      <c r="AP48" s="43">
        <v>7</v>
      </c>
      <c r="AQ48" s="47">
        <f t="shared" si="16"/>
        <v>3</v>
      </c>
      <c r="AR48" s="45">
        <v>1</v>
      </c>
      <c r="AS48" s="48">
        <f>+AP48+AR48*$E48</f>
        <v>12</v>
      </c>
      <c r="AT48" s="43">
        <v>6</v>
      </c>
      <c r="AU48" s="47">
        <f>+AS48-AT48</f>
        <v>6</v>
      </c>
      <c r="AV48" s="45">
        <v>1</v>
      </c>
      <c r="AW48" s="48">
        <f>+AT48+AV48*$E48</f>
        <v>11</v>
      </c>
      <c r="AX48" s="43">
        <v>9</v>
      </c>
      <c r="AY48" s="47">
        <f>+AW48-AX48</f>
        <v>2</v>
      </c>
      <c r="AZ48" s="45">
        <v>1</v>
      </c>
      <c r="BA48" s="48">
        <f>+AX48+AZ48*$E48</f>
        <v>14</v>
      </c>
      <c r="BB48" s="43">
        <v>11.2</v>
      </c>
      <c r="BC48" s="47">
        <f>+BA48-BB48</f>
        <v>2.8000000000000007</v>
      </c>
      <c r="BD48" s="45"/>
      <c r="BE48" s="48">
        <f>+BB48+BD48*$E48</f>
        <v>11.2</v>
      </c>
      <c r="BF48" s="43">
        <v>10</v>
      </c>
      <c r="BG48" s="47">
        <f>+BE48-BF48</f>
        <v>1.1999999999999993</v>
      </c>
      <c r="BH48" s="45"/>
      <c r="BI48" s="48">
        <f>+BF48+BH48*$E48</f>
        <v>10</v>
      </c>
      <c r="BJ48" s="43">
        <v>8</v>
      </c>
      <c r="BK48" s="47">
        <f>+BI48-BJ48</f>
        <v>2</v>
      </c>
      <c r="BL48" s="45"/>
      <c r="BM48" s="48">
        <f>+BJ48+BL48*$E48</f>
        <v>8</v>
      </c>
      <c r="BN48" s="43"/>
      <c r="BO48" s="47">
        <f>+BM48-BN48</f>
        <v>8</v>
      </c>
      <c r="BP48" s="45"/>
      <c r="BQ48" s="48">
        <f>+BN48+BP48*$E48</f>
        <v>0</v>
      </c>
      <c r="BR48" s="43"/>
      <c r="BS48" s="47">
        <f>+BQ48-BR48</f>
        <v>0</v>
      </c>
      <c r="BT48" s="45"/>
      <c r="BU48" s="48">
        <f>+BR48+BT48*$E48</f>
        <v>0</v>
      </c>
      <c r="BV48" s="43"/>
      <c r="BW48" s="47">
        <f>+BU48-BV48</f>
        <v>0</v>
      </c>
      <c r="BX48" s="45"/>
      <c r="BY48" s="48">
        <f>+BV48+BX48*$E48</f>
        <v>0</v>
      </c>
      <c r="BZ48" s="43"/>
      <c r="CA48" s="47">
        <f>+BY48-BZ48</f>
        <v>0</v>
      </c>
      <c r="CB48" s="45"/>
      <c r="CC48" s="48">
        <f>+BZ48+CB48*$E48</f>
        <v>0</v>
      </c>
      <c r="CD48" s="43"/>
      <c r="CE48" s="47">
        <f>+CC48-CD48</f>
        <v>0</v>
      </c>
      <c r="CF48" s="45"/>
      <c r="CG48" s="48">
        <f>+CD48+CF48*$E48</f>
        <v>0</v>
      </c>
      <c r="CH48" s="43"/>
      <c r="CI48" s="47">
        <f>+CG48-CH48</f>
        <v>0</v>
      </c>
      <c r="CJ48" s="45"/>
      <c r="CK48" s="48">
        <f>+CH48+CJ48*$E48</f>
        <v>0</v>
      </c>
    </row>
    <row r="49" spans="1:89" s="89" customFormat="1" ht="20.100000000000001" hidden="1" customHeight="1" x14ac:dyDescent="0.25">
      <c r="A49" s="152" t="s">
        <v>229</v>
      </c>
      <c r="B49" s="9" t="s">
        <v>7</v>
      </c>
      <c r="C49" s="17">
        <v>6.4</v>
      </c>
      <c r="D49" s="9" t="s">
        <v>359</v>
      </c>
      <c r="E49" s="13">
        <v>8</v>
      </c>
      <c r="F49" s="43">
        <v>13</v>
      </c>
      <c r="G49" s="47">
        <v>3</v>
      </c>
      <c r="H49" s="45"/>
      <c r="I49" s="48">
        <f>+F49+H49*$E49</f>
        <v>13</v>
      </c>
      <c r="J49" s="43">
        <v>9</v>
      </c>
      <c r="K49" s="47">
        <f>+I49-J49</f>
        <v>4</v>
      </c>
      <c r="L49" s="45"/>
      <c r="M49" s="48">
        <f>+J49+L49*$E49</f>
        <v>9</v>
      </c>
      <c r="N49" s="43">
        <v>6</v>
      </c>
      <c r="O49" s="47">
        <v>3</v>
      </c>
      <c r="P49" s="45"/>
      <c r="Q49" s="48">
        <f>+N49+P49*$E49</f>
        <v>6</v>
      </c>
      <c r="R49" s="43">
        <v>2</v>
      </c>
      <c r="S49" s="47">
        <f>+Q49-R49</f>
        <v>4</v>
      </c>
      <c r="T49" s="45">
        <v>1</v>
      </c>
      <c r="U49" s="48">
        <f>+R49+T49*$E49</f>
        <v>10</v>
      </c>
      <c r="V49" s="43">
        <v>7</v>
      </c>
      <c r="W49" s="47">
        <f>+U49-V49</f>
        <v>3</v>
      </c>
      <c r="X49" s="45"/>
      <c r="Y49" s="48">
        <f>+V49+X49*$E49</f>
        <v>7</v>
      </c>
      <c r="Z49" s="43">
        <v>5</v>
      </c>
      <c r="AA49" s="47">
        <f t="shared" si="8"/>
        <v>2</v>
      </c>
      <c r="AB49" s="49">
        <v>1</v>
      </c>
      <c r="AC49" s="48">
        <f>+Z49+AB49*$E49</f>
        <v>13</v>
      </c>
      <c r="AD49" s="43">
        <v>10</v>
      </c>
      <c r="AE49" s="47">
        <f>+AC49-AD49</f>
        <v>3</v>
      </c>
      <c r="AF49" s="45"/>
      <c r="AG49" s="48">
        <f>+AD49+AF49*$E49</f>
        <v>10</v>
      </c>
      <c r="AH49" s="43">
        <v>7</v>
      </c>
      <c r="AI49" s="47">
        <f t="shared" si="12"/>
        <v>3</v>
      </c>
      <c r="AJ49" s="45"/>
      <c r="AK49" s="48">
        <f>+AH49+AJ49*$E49</f>
        <v>7</v>
      </c>
      <c r="AL49" s="43">
        <v>5</v>
      </c>
      <c r="AM49" s="47">
        <f>+AK49-AL49</f>
        <v>2</v>
      </c>
      <c r="AN49" s="45">
        <v>1</v>
      </c>
      <c r="AO49" s="48">
        <f>+AL49+AN49*$E49</f>
        <v>13</v>
      </c>
      <c r="AP49" s="43">
        <v>10</v>
      </c>
      <c r="AQ49" s="47">
        <f t="shared" si="16"/>
        <v>3</v>
      </c>
      <c r="AR49" s="45">
        <v>1</v>
      </c>
      <c r="AS49" s="48">
        <f>+AP49+AR49*$E49</f>
        <v>18</v>
      </c>
      <c r="AT49" s="43">
        <v>14</v>
      </c>
      <c r="AU49" s="47">
        <f>+AS49-AT49</f>
        <v>4</v>
      </c>
      <c r="AV49" s="45"/>
      <c r="AW49" s="48">
        <f>+AT49+AV49*$E49</f>
        <v>14</v>
      </c>
      <c r="AX49" s="43">
        <v>12</v>
      </c>
      <c r="AY49" s="47">
        <f>+AW49-AX49</f>
        <v>2</v>
      </c>
      <c r="AZ49" s="45"/>
      <c r="BA49" s="48">
        <f>+AX49+AZ49*$E49</f>
        <v>12</v>
      </c>
      <c r="BB49" s="43">
        <v>9</v>
      </c>
      <c r="BC49" s="47">
        <f>+BA49-BB49</f>
        <v>3</v>
      </c>
      <c r="BD49" s="45">
        <v>1</v>
      </c>
      <c r="BE49" s="48">
        <f>+BB49+BD49*$E49</f>
        <v>17</v>
      </c>
      <c r="BF49" s="43">
        <v>14</v>
      </c>
      <c r="BG49" s="47">
        <f>+BE49-BF49</f>
        <v>3</v>
      </c>
      <c r="BH49" s="45"/>
      <c r="BI49" s="48">
        <f>+BF49+BH49*$E49</f>
        <v>14</v>
      </c>
      <c r="BJ49" s="43">
        <v>10</v>
      </c>
      <c r="BK49" s="47">
        <f>+BI49-BJ49</f>
        <v>4</v>
      </c>
      <c r="BL49" s="45"/>
      <c r="BM49" s="48">
        <f>+BJ49+BL49*$E49</f>
        <v>10</v>
      </c>
      <c r="BN49" s="43"/>
      <c r="BO49" s="47">
        <f>+BM49-BN49</f>
        <v>10</v>
      </c>
      <c r="BP49" s="45"/>
      <c r="BQ49" s="48">
        <f>+BN49+BP49*$E49</f>
        <v>0</v>
      </c>
      <c r="BR49" s="43"/>
      <c r="BS49" s="47">
        <f>+BQ49-BR49</f>
        <v>0</v>
      </c>
      <c r="BT49" s="45"/>
      <c r="BU49" s="48">
        <f>+BR49+BT49*$E49</f>
        <v>0</v>
      </c>
      <c r="BV49" s="43"/>
      <c r="BW49" s="47">
        <f>+BU49-BV49</f>
        <v>0</v>
      </c>
      <c r="BX49" s="45"/>
      <c r="BY49" s="48">
        <f>+BV49+BX49*$E49</f>
        <v>0</v>
      </c>
      <c r="BZ49" s="43"/>
      <c r="CA49" s="47">
        <f>+BY49-BZ49</f>
        <v>0</v>
      </c>
      <c r="CB49" s="45"/>
      <c r="CC49" s="48">
        <f>+BZ49+CB49*$E49</f>
        <v>0</v>
      </c>
      <c r="CD49" s="43"/>
      <c r="CE49" s="47">
        <f>+CC49-CD49</f>
        <v>0</v>
      </c>
      <c r="CF49" s="45"/>
      <c r="CG49" s="48">
        <f>+CD49+CF49*$E49</f>
        <v>0</v>
      </c>
      <c r="CH49" s="43"/>
      <c r="CI49" s="47">
        <f>+CG49-CH49</f>
        <v>0</v>
      </c>
      <c r="CJ49" s="45"/>
      <c r="CK49" s="48">
        <f>+CH49+CJ49*$E49</f>
        <v>0</v>
      </c>
    </row>
    <row r="50" spans="1:89" s="89" customFormat="1" ht="20.100000000000001" hidden="1" customHeight="1" x14ac:dyDescent="0.25">
      <c r="A50" s="152" t="s">
        <v>88</v>
      </c>
      <c r="B50" s="9" t="s">
        <v>7</v>
      </c>
      <c r="C50" s="17">
        <v>6.4</v>
      </c>
      <c r="D50" s="9" t="s">
        <v>359</v>
      </c>
      <c r="E50" s="13">
        <v>8</v>
      </c>
      <c r="F50" s="43">
        <v>10</v>
      </c>
      <c r="G50" s="47">
        <v>10</v>
      </c>
      <c r="H50" s="45">
        <v>1</v>
      </c>
      <c r="I50" s="48">
        <f t="shared" ref="I50:I70" si="126">+F50+H50*$E50</f>
        <v>18</v>
      </c>
      <c r="J50" s="43">
        <v>11</v>
      </c>
      <c r="K50" s="47">
        <f t="shared" ref="K50:K70" si="127">+I50-J50</f>
        <v>7</v>
      </c>
      <c r="L50" s="45">
        <v>1</v>
      </c>
      <c r="M50" s="48">
        <f t="shared" ref="M50:M70" si="128">+J50+L50*$E50</f>
        <v>19</v>
      </c>
      <c r="N50" s="43">
        <v>10</v>
      </c>
      <c r="O50" s="47">
        <v>9</v>
      </c>
      <c r="P50" s="45">
        <v>1</v>
      </c>
      <c r="Q50" s="48">
        <f t="shared" ref="Q50:Q70" si="129">+N50+P50*$E50</f>
        <v>18</v>
      </c>
      <c r="R50" s="43">
        <v>10</v>
      </c>
      <c r="S50" s="47">
        <f t="shared" ref="S50:S70" si="130">+Q50-R50</f>
        <v>8</v>
      </c>
      <c r="T50" s="45">
        <v>1</v>
      </c>
      <c r="U50" s="48">
        <f t="shared" ref="U50:U70" si="131">+R50+T50*$E50</f>
        <v>18</v>
      </c>
      <c r="V50" s="43">
        <v>12</v>
      </c>
      <c r="W50" s="47">
        <f t="shared" ref="W50:W70" si="132">+U50-V50</f>
        <v>6</v>
      </c>
      <c r="X50" s="45"/>
      <c r="Y50" s="48">
        <f t="shared" ref="Y50:Y70" si="133">+V50+X50*$E50</f>
        <v>12</v>
      </c>
      <c r="Z50" s="43">
        <v>4</v>
      </c>
      <c r="AA50" s="47">
        <f t="shared" si="8"/>
        <v>8</v>
      </c>
      <c r="AB50" s="49">
        <v>1</v>
      </c>
      <c r="AC50" s="48">
        <f t="shared" ref="AC50:AC70" si="134">+Z50+AB50*$E50</f>
        <v>12</v>
      </c>
      <c r="AD50" s="43">
        <v>4</v>
      </c>
      <c r="AE50" s="47">
        <f t="shared" ref="AE50:AE70" si="135">+AC50-AD50</f>
        <v>8</v>
      </c>
      <c r="AF50" s="45">
        <v>1</v>
      </c>
      <c r="AG50" s="48">
        <f t="shared" ref="AG50:AG70" si="136">+AD50+AF50*$E50</f>
        <v>12</v>
      </c>
      <c r="AH50" s="43">
        <v>4</v>
      </c>
      <c r="AI50" s="47">
        <f t="shared" si="12"/>
        <v>8</v>
      </c>
      <c r="AJ50" s="45">
        <v>1</v>
      </c>
      <c r="AK50" s="48">
        <f t="shared" ref="AK50:AK70" si="137">+AH50+AJ50*$E50</f>
        <v>12</v>
      </c>
      <c r="AL50" s="43">
        <v>2</v>
      </c>
      <c r="AM50" s="47">
        <f t="shared" ref="AM50:AM70" si="138">+AK50-AL50</f>
        <v>10</v>
      </c>
      <c r="AN50" s="45">
        <v>2</v>
      </c>
      <c r="AO50" s="48">
        <f t="shared" ref="AO50:AO70" si="139">+AL50+AN50*$E50</f>
        <v>18</v>
      </c>
      <c r="AP50" s="43">
        <v>8</v>
      </c>
      <c r="AQ50" s="47">
        <f t="shared" si="16"/>
        <v>10</v>
      </c>
      <c r="AR50" s="45">
        <v>2</v>
      </c>
      <c r="AS50" s="48">
        <f t="shared" ref="AS50:AS70" si="140">+AP50+AR50*$E50</f>
        <v>24</v>
      </c>
      <c r="AT50" s="43">
        <v>17</v>
      </c>
      <c r="AU50" s="47">
        <f t="shared" ref="AU50:AU70" si="141">+AS50-AT50</f>
        <v>7</v>
      </c>
      <c r="AV50" s="45"/>
      <c r="AW50" s="48">
        <f t="shared" ref="AW50:AW70" si="142">+AT50+AV50*$E50</f>
        <v>17</v>
      </c>
      <c r="AX50" s="43">
        <v>8</v>
      </c>
      <c r="AY50" s="47">
        <f t="shared" ref="AY50:AY70" si="143">+AW50-AX50</f>
        <v>9</v>
      </c>
      <c r="AZ50" s="45">
        <v>1</v>
      </c>
      <c r="BA50" s="48">
        <f t="shared" ref="BA50:BA70" si="144">+AX50+AZ50*$E50</f>
        <v>16</v>
      </c>
      <c r="BB50" s="43">
        <v>6</v>
      </c>
      <c r="BC50" s="47">
        <f t="shared" ref="BC50:BC62" si="145">+BA50-BB50</f>
        <v>10</v>
      </c>
      <c r="BD50" s="45">
        <v>2</v>
      </c>
      <c r="BE50" s="48">
        <f t="shared" ref="BE50:BE64" si="146">+BB50+BD50*$E50</f>
        <v>22</v>
      </c>
      <c r="BF50" s="43">
        <v>6</v>
      </c>
      <c r="BG50" s="47">
        <f t="shared" ref="BG50:BG64" si="147">+BE50-BF50</f>
        <v>16</v>
      </c>
      <c r="BH50" s="45">
        <v>2</v>
      </c>
      <c r="BI50" s="48">
        <f t="shared" ref="BI50:BI64" si="148">+BF50+BH50*$E50</f>
        <v>22</v>
      </c>
      <c r="BJ50" s="43">
        <v>18</v>
      </c>
      <c r="BK50" s="47">
        <f t="shared" ref="BK50:BK62" si="149">+BI50-BJ50</f>
        <v>4</v>
      </c>
      <c r="BL50" s="45"/>
      <c r="BM50" s="48">
        <f t="shared" ref="BM50:BM62" si="150">+BJ50+BL50*$E50</f>
        <v>18</v>
      </c>
      <c r="BN50" s="43"/>
      <c r="BO50" s="47">
        <f t="shared" ref="BO50:BO63" si="151">+BM50-BN50</f>
        <v>18</v>
      </c>
      <c r="BP50" s="45"/>
      <c r="BQ50" s="48">
        <f t="shared" ref="BQ50:BQ63" si="152">+BN50+BP50*$E50</f>
        <v>0</v>
      </c>
      <c r="BR50" s="43"/>
      <c r="BS50" s="47">
        <f t="shared" ref="BS50:BS63" si="153">+BQ50-BR50</f>
        <v>0</v>
      </c>
      <c r="BT50" s="45"/>
      <c r="BU50" s="48">
        <f t="shared" ref="BU50:BU63" si="154">+BR50+BT50*$E50</f>
        <v>0</v>
      </c>
      <c r="BV50" s="43"/>
      <c r="BW50" s="47">
        <f t="shared" ref="BW50:BW63" si="155">+BU50-BV50</f>
        <v>0</v>
      </c>
      <c r="BX50" s="45"/>
      <c r="BY50" s="48">
        <f t="shared" ref="BY50:BY63" si="156">+BV50+BX50*$E50</f>
        <v>0</v>
      </c>
      <c r="BZ50" s="43"/>
      <c r="CA50" s="47">
        <f t="shared" ref="CA50:CA63" si="157">+BY50-BZ50</f>
        <v>0</v>
      </c>
      <c r="CB50" s="45"/>
      <c r="CC50" s="48">
        <f t="shared" ref="CC50:CC63" si="158">+BZ50+CB50*$E50</f>
        <v>0</v>
      </c>
      <c r="CD50" s="43"/>
      <c r="CE50" s="47">
        <f t="shared" ref="CE50:CE63" si="159">+CC50-CD50</f>
        <v>0</v>
      </c>
      <c r="CF50" s="45"/>
      <c r="CG50" s="48">
        <f t="shared" ref="CG50:CG63" si="160">+CD50+CF50*$E50</f>
        <v>0</v>
      </c>
      <c r="CH50" s="43"/>
      <c r="CI50" s="47">
        <f t="shared" ref="CI50:CI63" si="161">+CG50-CH50</f>
        <v>0</v>
      </c>
      <c r="CJ50" s="45"/>
      <c r="CK50" s="48">
        <f t="shared" ref="CK50:CK63" si="162">+CH50+CJ50*$E50</f>
        <v>0</v>
      </c>
    </row>
    <row r="51" spans="1:89" s="89" customFormat="1" ht="20.100000000000001" hidden="1" customHeight="1" x14ac:dyDescent="0.25">
      <c r="A51" s="152" t="s">
        <v>89</v>
      </c>
      <c r="B51" s="9" t="s">
        <v>7</v>
      </c>
      <c r="C51" s="17">
        <v>6</v>
      </c>
      <c r="D51" s="9" t="s">
        <v>9</v>
      </c>
      <c r="E51" s="13">
        <v>6</v>
      </c>
      <c r="F51" s="43">
        <v>14</v>
      </c>
      <c r="G51" s="47">
        <v>12</v>
      </c>
      <c r="H51" s="45">
        <v>1</v>
      </c>
      <c r="I51" s="48">
        <f t="shared" si="126"/>
        <v>20</v>
      </c>
      <c r="J51" s="43">
        <v>8</v>
      </c>
      <c r="K51" s="47">
        <f t="shared" si="127"/>
        <v>12</v>
      </c>
      <c r="L51" s="45">
        <v>2</v>
      </c>
      <c r="M51" s="48">
        <f t="shared" si="128"/>
        <v>20</v>
      </c>
      <c r="N51" s="43">
        <v>5</v>
      </c>
      <c r="O51" s="47">
        <v>15</v>
      </c>
      <c r="P51" s="45">
        <v>4</v>
      </c>
      <c r="Q51" s="48">
        <f t="shared" si="129"/>
        <v>29</v>
      </c>
      <c r="R51" s="43">
        <v>15</v>
      </c>
      <c r="S51" s="47">
        <f t="shared" si="130"/>
        <v>14</v>
      </c>
      <c r="T51" s="45">
        <v>1</v>
      </c>
      <c r="U51" s="48">
        <f t="shared" si="131"/>
        <v>21</v>
      </c>
      <c r="V51" s="43">
        <v>8</v>
      </c>
      <c r="W51" s="47">
        <f t="shared" si="132"/>
        <v>13</v>
      </c>
      <c r="X51" s="49">
        <v>2</v>
      </c>
      <c r="Y51" s="48">
        <f t="shared" si="133"/>
        <v>20</v>
      </c>
      <c r="Z51" s="43">
        <v>9</v>
      </c>
      <c r="AA51" s="47">
        <f t="shared" si="8"/>
        <v>11</v>
      </c>
      <c r="AB51" s="49">
        <v>2</v>
      </c>
      <c r="AC51" s="48">
        <f t="shared" si="134"/>
        <v>21</v>
      </c>
      <c r="AD51" s="43">
        <v>15</v>
      </c>
      <c r="AE51" s="47">
        <f t="shared" si="135"/>
        <v>6</v>
      </c>
      <c r="AF51" s="45"/>
      <c r="AG51" s="48">
        <f t="shared" si="136"/>
        <v>15</v>
      </c>
      <c r="AH51" s="43">
        <v>5</v>
      </c>
      <c r="AI51" s="47">
        <f t="shared" si="12"/>
        <v>10</v>
      </c>
      <c r="AJ51" s="45">
        <v>3</v>
      </c>
      <c r="AK51" s="48">
        <f t="shared" si="137"/>
        <v>23</v>
      </c>
      <c r="AL51" s="43">
        <v>4</v>
      </c>
      <c r="AM51" s="47">
        <f t="shared" si="138"/>
        <v>19</v>
      </c>
      <c r="AN51" s="45">
        <v>4</v>
      </c>
      <c r="AO51" s="48">
        <f t="shared" si="139"/>
        <v>28</v>
      </c>
      <c r="AP51" s="43">
        <v>16</v>
      </c>
      <c r="AQ51" s="47">
        <f t="shared" si="16"/>
        <v>12</v>
      </c>
      <c r="AR51" s="45">
        <v>2</v>
      </c>
      <c r="AS51" s="48">
        <f t="shared" si="140"/>
        <v>28</v>
      </c>
      <c r="AT51" s="43">
        <v>24</v>
      </c>
      <c r="AU51" s="47">
        <f t="shared" si="141"/>
        <v>4</v>
      </c>
      <c r="AV51" s="45"/>
      <c r="AW51" s="48">
        <f t="shared" si="142"/>
        <v>24</v>
      </c>
      <c r="AX51" s="43">
        <v>9</v>
      </c>
      <c r="AY51" s="47">
        <f t="shared" si="143"/>
        <v>15</v>
      </c>
      <c r="AZ51" s="45">
        <v>2</v>
      </c>
      <c r="BA51" s="48">
        <f t="shared" si="144"/>
        <v>21</v>
      </c>
      <c r="BB51" s="43">
        <v>10</v>
      </c>
      <c r="BC51" s="47">
        <f t="shared" si="145"/>
        <v>11</v>
      </c>
      <c r="BD51" s="45">
        <v>2</v>
      </c>
      <c r="BE51" s="48">
        <f t="shared" si="146"/>
        <v>22</v>
      </c>
      <c r="BF51" s="43">
        <v>3</v>
      </c>
      <c r="BG51" s="47">
        <f t="shared" si="147"/>
        <v>19</v>
      </c>
      <c r="BH51" s="45">
        <v>4</v>
      </c>
      <c r="BI51" s="48">
        <f t="shared" si="148"/>
        <v>27</v>
      </c>
      <c r="BJ51" s="43">
        <v>23</v>
      </c>
      <c r="BK51" s="47">
        <f t="shared" si="149"/>
        <v>4</v>
      </c>
      <c r="BL51" s="45"/>
      <c r="BM51" s="48">
        <f t="shared" si="150"/>
        <v>23</v>
      </c>
      <c r="BN51" s="43"/>
      <c r="BO51" s="47">
        <f t="shared" si="151"/>
        <v>23</v>
      </c>
      <c r="BP51" s="45"/>
      <c r="BQ51" s="48">
        <f t="shared" si="152"/>
        <v>0</v>
      </c>
      <c r="BR51" s="43"/>
      <c r="BS51" s="47">
        <f t="shared" si="153"/>
        <v>0</v>
      </c>
      <c r="BT51" s="45"/>
      <c r="BU51" s="48">
        <f t="shared" si="154"/>
        <v>0</v>
      </c>
      <c r="BV51" s="43"/>
      <c r="BW51" s="47">
        <f t="shared" si="155"/>
        <v>0</v>
      </c>
      <c r="BX51" s="45"/>
      <c r="BY51" s="48">
        <f t="shared" si="156"/>
        <v>0</v>
      </c>
      <c r="BZ51" s="43"/>
      <c r="CA51" s="47">
        <f t="shared" si="157"/>
        <v>0</v>
      </c>
      <c r="CB51" s="45"/>
      <c r="CC51" s="48">
        <f t="shared" si="158"/>
        <v>0</v>
      </c>
      <c r="CD51" s="43"/>
      <c r="CE51" s="47">
        <f t="shared" si="159"/>
        <v>0</v>
      </c>
      <c r="CF51" s="45"/>
      <c r="CG51" s="48">
        <f t="shared" si="160"/>
        <v>0</v>
      </c>
      <c r="CH51" s="43"/>
      <c r="CI51" s="47">
        <f t="shared" si="161"/>
        <v>0</v>
      </c>
      <c r="CJ51" s="45"/>
      <c r="CK51" s="48">
        <f t="shared" si="162"/>
        <v>0</v>
      </c>
    </row>
    <row r="52" spans="1:89" s="89" customFormat="1" ht="20.100000000000001" customHeight="1" x14ac:dyDescent="0.25">
      <c r="A52" s="152" t="s">
        <v>90</v>
      </c>
      <c r="B52" s="9" t="s">
        <v>7</v>
      </c>
      <c r="C52" s="17">
        <v>4</v>
      </c>
      <c r="D52" s="9" t="s">
        <v>358</v>
      </c>
      <c r="E52" s="13">
        <v>4</v>
      </c>
      <c r="F52" s="43">
        <f>8+4.2+2.8</f>
        <v>15</v>
      </c>
      <c r="G52" s="47">
        <v>1.3999999999999986</v>
      </c>
      <c r="H52" s="45"/>
      <c r="I52" s="48">
        <f t="shared" si="126"/>
        <v>15</v>
      </c>
      <c r="J52" s="43">
        <v>11</v>
      </c>
      <c r="K52" s="47">
        <f t="shared" si="127"/>
        <v>4</v>
      </c>
      <c r="L52" s="45"/>
      <c r="M52" s="48">
        <f t="shared" si="128"/>
        <v>11</v>
      </c>
      <c r="N52" s="43">
        <v>6.5</v>
      </c>
      <c r="O52" s="47">
        <v>4.5</v>
      </c>
      <c r="P52" s="45">
        <v>1</v>
      </c>
      <c r="Q52" s="48">
        <f t="shared" si="129"/>
        <v>10.5</v>
      </c>
      <c r="R52" s="43">
        <v>8</v>
      </c>
      <c r="S52" s="47">
        <f t="shared" si="130"/>
        <v>2.5</v>
      </c>
      <c r="T52" s="45"/>
      <c r="U52" s="48">
        <f t="shared" si="131"/>
        <v>8</v>
      </c>
      <c r="V52" s="43">
        <v>3</v>
      </c>
      <c r="W52" s="47">
        <f t="shared" si="132"/>
        <v>5</v>
      </c>
      <c r="X52" s="49">
        <v>2</v>
      </c>
      <c r="Y52" s="48">
        <f t="shared" si="133"/>
        <v>11</v>
      </c>
      <c r="Z52" s="43">
        <v>6</v>
      </c>
      <c r="AA52" s="47">
        <f t="shared" si="8"/>
        <v>5</v>
      </c>
      <c r="AB52" s="49">
        <v>1</v>
      </c>
      <c r="AC52" s="48">
        <f t="shared" si="134"/>
        <v>10</v>
      </c>
      <c r="AD52" s="43">
        <v>5</v>
      </c>
      <c r="AE52" s="47">
        <f t="shared" si="135"/>
        <v>5</v>
      </c>
      <c r="AF52" s="45">
        <v>1</v>
      </c>
      <c r="AG52" s="48">
        <f t="shared" si="136"/>
        <v>9</v>
      </c>
      <c r="AH52" s="43">
        <v>4</v>
      </c>
      <c r="AI52" s="47">
        <f t="shared" si="12"/>
        <v>5</v>
      </c>
      <c r="AJ52" s="45">
        <v>1</v>
      </c>
      <c r="AK52" s="48">
        <f t="shared" si="137"/>
        <v>8</v>
      </c>
      <c r="AL52" s="43">
        <v>4</v>
      </c>
      <c r="AM52" s="47">
        <f t="shared" si="138"/>
        <v>4</v>
      </c>
      <c r="AN52" s="45">
        <v>2</v>
      </c>
      <c r="AO52" s="48">
        <f t="shared" si="139"/>
        <v>12</v>
      </c>
      <c r="AP52" s="43">
        <v>10</v>
      </c>
      <c r="AQ52" s="47">
        <f t="shared" si="16"/>
        <v>2</v>
      </c>
      <c r="AR52" s="45"/>
      <c r="AS52" s="48">
        <f t="shared" si="140"/>
        <v>10</v>
      </c>
      <c r="AT52" s="43">
        <v>8</v>
      </c>
      <c r="AU52" s="47">
        <f t="shared" si="141"/>
        <v>2</v>
      </c>
      <c r="AV52" s="45">
        <v>1</v>
      </c>
      <c r="AW52" s="48">
        <f t="shared" si="142"/>
        <v>12</v>
      </c>
      <c r="AX52" s="43">
        <v>8</v>
      </c>
      <c r="AY52" s="47">
        <f t="shared" si="143"/>
        <v>4</v>
      </c>
      <c r="AZ52" s="45">
        <v>1</v>
      </c>
      <c r="BA52" s="48">
        <f t="shared" si="144"/>
        <v>12</v>
      </c>
      <c r="BB52" s="43">
        <v>6</v>
      </c>
      <c r="BC52" s="47">
        <f t="shared" si="145"/>
        <v>6</v>
      </c>
      <c r="BD52" s="45">
        <v>2</v>
      </c>
      <c r="BE52" s="48">
        <f t="shared" si="146"/>
        <v>14</v>
      </c>
      <c r="BF52" s="43">
        <v>11</v>
      </c>
      <c r="BG52" s="47">
        <f t="shared" si="147"/>
        <v>3</v>
      </c>
      <c r="BH52" s="45"/>
      <c r="BI52" s="48">
        <f t="shared" si="148"/>
        <v>11</v>
      </c>
      <c r="BJ52" s="43">
        <v>7</v>
      </c>
      <c r="BK52" s="47">
        <f t="shared" si="149"/>
        <v>4</v>
      </c>
      <c r="BL52" s="45">
        <v>1</v>
      </c>
      <c r="BM52" s="48">
        <f t="shared" si="150"/>
        <v>11</v>
      </c>
      <c r="BN52" s="43"/>
      <c r="BO52" s="47">
        <f t="shared" si="151"/>
        <v>11</v>
      </c>
      <c r="BP52" s="45"/>
      <c r="BQ52" s="48">
        <f t="shared" si="152"/>
        <v>0</v>
      </c>
      <c r="BR52" s="43"/>
      <c r="BS52" s="47">
        <f t="shared" si="153"/>
        <v>0</v>
      </c>
      <c r="BT52" s="45"/>
      <c r="BU52" s="48">
        <f t="shared" si="154"/>
        <v>0</v>
      </c>
      <c r="BV52" s="43"/>
      <c r="BW52" s="47">
        <f t="shared" si="155"/>
        <v>0</v>
      </c>
      <c r="BX52" s="45"/>
      <c r="BY52" s="48">
        <f t="shared" si="156"/>
        <v>0</v>
      </c>
      <c r="BZ52" s="43"/>
      <c r="CA52" s="47">
        <f t="shared" si="157"/>
        <v>0</v>
      </c>
      <c r="CB52" s="45"/>
      <c r="CC52" s="48">
        <f t="shared" si="158"/>
        <v>0</v>
      </c>
      <c r="CD52" s="43"/>
      <c r="CE52" s="47">
        <f t="shared" si="159"/>
        <v>0</v>
      </c>
      <c r="CF52" s="45"/>
      <c r="CG52" s="48">
        <f t="shared" si="160"/>
        <v>0</v>
      </c>
      <c r="CH52" s="43"/>
      <c r="CI52" s="47">
        <f t="shared" si="161"/>
        <v>0</v>
      </c>
      <c r="CJ52" s="45"/>
      <c r="CK52" s="48">
        <f t="shared" si="162"/>
        <v>0</v>
      </c>
    </row>
    <row r="53" spans="1:89" s="89" customFormat="1" ht="17.25" hidden="1" customHeight="1" x14ac:dyDescent="0.25">
      <c r="A53" s="152" t="s">
        <v>91</v>
      </c>
      <c r="B53" s="9" t="s">
        <v>7</v>
      </c>
      <c r="C53" s="17">
        <v>10</v>
      </c>
      <c r="D53" s="9" t="s">
        <v>358</v>
      </c>
      <c r="E53" s="13">
        <v>10</v>
      </c>
      <c r="F53" s="43">
        <v>11</v>
      </c>
      <c r="G53" s="47">
        <v>1.8000000000000007</v>
      </c>
      <c r="H53" s="45"/>
      <c r="I53" s="48">
        <f t="shared" si="126"/>
        <v>11</v>
      </c>
      <c r="J53" s="43">
        <v>4.5</v>
      </c>
      <c r="K53" s="47">
        <f t="shared" si="127"/>
        <v>6.5</v>
      </c>
      <c r="L53" s="45">
        <v>2</v>
      </c>
      <c r="M53" s="48">
        <f t="shared" si="128"/>
        <v>24.5</v>
      </c>
      <c r="N53" s="43">
        <v>8</v>
      </c>
      <c r="O53" s="47">
        <v>4.5</v>
      </c>
      <c r="P53" s="45"/>
      <c r="Q53" s="48">
        <f t="shared" si="129"/>
        <v>8</v>
      </c>
      <c r="R53" s="43">
        <v>20</v>
      </c>
      <c r="S53" s="47">
        <f t="shared" si="130"/>
        <v>-12</v>
      </c>
      <c r="T53" s="45"/>
      <c r="U53" s="48">
        <f t="shared" si="131"/>
        <v>20</v>
      </c>
      <c r="V53" s="43">
        <v>16.2</v>
      </c>
      <c r="W53" s="47">
        <f t="shared" si="132"/>
        <v>3.8000000000000007</v>
      </c>
      <c r="X53" s="45"/>
      <c r="Y53" s="48">
        <f t="shared" si="133"/>
        <v>16.2</v>
      </c>
      <c r="Z53" s="43">
        <v>13.7</v>
      </c>
      <c r="AA53" s="47">
        <f t="shared" si="8"/>
        <v>2.5</v>
      </c>
      <c r="AB53" s="45"/>
      <c r="AC53" s="48">
        <f t="shared" si="134"/>
        <v>13.7</v>
      </c>
      <c r="AD53" s="43">
        <v>11</v>
      </c>
      <c r="AE53" s="47">
        <f t="shared" si="135"/>
        <v>2.6999999999999993</v>
      </c>
      <c r="AF53" s="45"/>
      <c r="AG53" s="48">
        <f t="shared" si="136"/>
        <v>11</v>
      </c>
      <c r="AH53" s="43">
        <v>10</v>
      </c>
      <c r="AI53" s="47">
        <f t="shared" si="12"/>
        <v>1</v>
      </c>
      <c r="AJ53" s="45"/>
      <c r="AK53" s="48">
        <f t="shared" si="137"/>
        <v>10</v>
      </c>
      <c r="AL53" s="43">
        <v>6.5</v>
      </c>
      <c r="AM53" s="47">
        <f t="shared" si="138"/>
        <v>3.5</v>
      </c>
      <c r="AN53" s="45"/>
      <c r="AO53" s="48">
        <f t="shared" si="139"/>
        <v>6.5</v>
      </c>
      <c r="AP53" s="43">
        <v>5</v>
      </c>
      <c r="AQ53" s="47">
        <f t="shared" si="16"/>
        <v>1.5</v>
      </c>
      <c r="AR53" s="45"/>
      <c r="AS53" s="48">
        <f t="shared" si="140"/>
        <v>5</v>
      </c>
      <c r="AT53" s="43">
        <v>2.5</v>
      </c>
      <c r="AU53" s="47">
        <f t="shared" si="141"/>
        <v>2.5</v>
      </c>
      <c r="AV53" s="45">
        <v>1</v>
      </c>
      <c r="AW53" s="48">
        <f t="shared" si="142"/>
        <v>12.5</v>
      </c>
      <c r="AX53" s="43">
        <v>11</v>
      </c>
      <c r="AY53" s="47">
        <f t="shared" si="143"/>
        <v>1.5</v>
      </c>
      <c r="AZ53" s="45"/>
      <c r="BA53" s="48">
        <f t="shared" si="144"/>
        <v>11</v>
      </c>
      <c r="BB53" s="43">
        <v>5</v>
      </c>
      <c r="BC53" s="47">
        <f t="shared" si="145"/>
        <v>6</v>
      </c>
      <c r="BD53" s="45">
        <v>1</v>
      </c>
      <c r="BE53" s="48">
        <f t="shared" si="146"/>
        <v>15</v>
      </c>
      <c r="BF53" s="43">
        <v>10</v>
      </c>
      <c r="BG53" s="47">
        <f t="shared" si="147"/>
        <v>5</v>
      </c>
      <c r="BH53" s="45"/>
      <c r="BI53" s="48">
        <f t="shared" si="148"/>
        <v>10</v>
      </c>
      <c r="BJ53" s="43">
        <v>2.5</v>
      </c>
      <c r="BK53" s="47">
        <f t="shared" si="149"/>
        <v>7.5</v>
      </c>
      <c r="BL53" s="45"/>
      <c r="BM53" s="48">
        <f t="shared" si="150"/>
        <v>2.5</v>
      </c>
      <c r="BN53" s="43"/>
      <c r="BO53" s="47">
        <f t="shared" si="151"/>
        <v>2.5</v>
      </c>
      <c r="BP53" s="45"/>
      <c r="BQ53" s="48">
        <f t="shared" si="152"/>
        <v>0</v>
      </c>
      <c r="BR53" s="43"/>
      <c r="BS53" s="47">
        <f t="shared" si="153"/>
        <v>0</v>
      </c>
      <c r="BT53" s="45"/>
      <c r="BU53" s="48">
        <f t="shared" si="154"/>
        <v>0</v>
      </c>
      <c r="BV53" s="43"/>
      <c r="BW53" s="47">
        <f t="shared" si="155"/>
        <v>0</v>
      </c>
      <c r="BX53" s="45"/>
      <c r="BY53" s="48">
        <f t="shared" si="156"/>
        <v>0</v>
      </c>
      <c r="BZ53" s="43"/>
      <c r="CA53" s="47">
        <f t="shared" si="157"/>
        <v>0</v>
      </c>
      <c r="CB53" s="45"/>
      <c r="CC53" s="48">
        <f t="shared" si="158"/>
        <v>0</v>
      </c>
      <c r="CD53" s="43"/>
      <c r="CE53" s="47">
        <f t="shared" si="159"/>
        <v>0</v>
      </c>
      <c r="CF53" s="45"/>
      <c r="CG53" s="48">
        <f t="shared" si="160"/>
        <v>0</v>
      </c>
      <c r="CH53" s="43"/>
      <c r="CI53" s="47">
        <f t="shared" si="161"/>
        <v>0</v>
      </c>
      <c r="CJ53" s="45"/>
      <c r="CK53" s="48">
        <f t="shared" si="162"/>
        <v>0</v>
      </c>
    </row>
    <row r="54" spans="1:89" s="89" customFormat="1" ht="20.100000000000001" customHeight="1" x14ac:dyDescent="0.25">
      <c r="A54" s="152" t="s">
        <v>92</v>
      </c>
      <c r="B54" s="9" t="s">
        <v>7</v>
      </c>
      <c r="C54" s="17">
        <v>55</v>
      </c>
      <c r="D54" s="9" t="s">
        <v>9</v>
      </c>
      <c r="E54" s="13">
        <v>55</v>
      </c>
      <c r="F54" s="43">
        <f>8*55</f>
        <v>440</v>
      </c>
      <c r="G54" s="47">
        <v>1382</v>
      </c>
      <c r="H54" s="45">
        <v>24</v>
      </c>
      <c r="I54" s="48">
        <f t="shared" si="126"/>
        <v>1760</v>
      </c>
      <c r="J54" s="43">
        <f>12*55</f>
        <v>660</v>
      </c>
      <c r="K54" s="47">
        <f t="shared" si="127"/>
        <v>1100</v>
      </c>
      <c r="L54" s="45">
        <v>22</v>
      </c>
      <c r="M54" s="48">
        <f t="shared" si="128"/>
        <v>1870</v>
      </c>
      <c r="N54" s="43">
        <v>440</v>
      </c>
      <c r="O54" s="47">
        <v>1430</v>
      </c>
      <c r="P54" s="45">
        <v>21</v>
      </c>
      <c r="Q54" s="48">
        <f t="shared" si="129"/>
        <v>1595</v>
      </c>
      <c r="R54" s="43">
        <v>550</v>
      </c>
      <c r="S54" s="47">
        <f t="shared" si="130"/>
        <v>1045</v>
      </c>
      <c r="T54" s="45">
        <v>20</v>
      </c>
      <c r="U54" s="48">
        <f t="shared" si="131"/>
        <v>1650</v>
      </c>
      <c r="V54" s="43">
        <f>16*55</f>
        <v>880</v>
      </c>
      <c r="W54" s="47">
        <f t="shared" si="132"/>
        <v>770</v>
      </c>
      <c r="X54" s="49">
        <v>15</v>
      </c>
      <c r="Y54" s="48">
        <f t="shared" si="133"/>
        <v>1705</v>
      </c>
      <c r="Z54" s="43">
        <f>13*55</f>
        <v>715</v>
      </c>
      <c r="AA54" s="47">
        <f t="shared" si="8"/>
        <v>990</v>
      </c>
      <c r="AB54" s="49">
        <v>17</v>
      </c>
      <c r="AC54" s="48">
        <f t="shared" si="134"/>
        <v>1650</v>
      </c>
      <c r="AD54" s="43">
        <f>6*55</f>
        <v>330</v>
      </c>
      <c r="AE54" s="47">
        <f t="shared" si="135"/>
        <v>1320</v>
      </c>
      <c r="AF54" s="45">
        <v>21</v>
      </c>
      <c r="AG54" s="48">
        <f t="shared" si="136"/>
        <v>1485</v>
      </c>
      <c r="AH54" s="43">
        <v>440</v>
      </c>
      <c r="AI54" s="47">
        <f t="shared" si="12"/>
        <v>1045</v>
      </c>
      <c r="AJ54" s="45">
        <v>20</v>
      </c>
      <c r="AK54" s="48">
        <f t="shared" si="137"/>
        <v>1540</v>
      </c>
      <c r="AL54" s="43">
        <f>8*55</f>
        <v>440</v>
      </c>
      <c r="AM54" s="47">
        <f t="shared" si="138"/>
        <v>1100</v>
      </c>
      <c r="AN54" s="45">
        <v>20</v>
      </c>
      <c r="AO54" s="48">
        <f t="shared" si="139"/>
        <v>1540</v>
      </c>
      <c r="AP54" s="43">
        <v>660</v>
      </c>
      <c r="AQ54" s="47">
        <f t="shared" si="16"/>
        <v>880</v>
      </c>
      <c r="AR54" s="45">
        <v>20</v>
      </c>
      <c r="AS54" s="48">
        <f t="shared" si="140"/>
        <v>1760</v>
      </c>
      <c r="AT54" s="43">
        <f>55*7</f>
        <v>385</v>
      </c>
      <c r="AU54" s="47">
        <f t="shared" si="141"/>
        <v>1375</v>
      </c>
      <c r="AV54" s="45">
        <v>23</v>
      </c>
      <c r="AW54" s="48">
        <f t="shared" si="142"/>
        <v>1650</v>
      </c>
      <c r="AX54" s="43">
        <f>12*55</f>
        <v>660</v>
      </c>
      <c r="AY54" s="47">
        <f t="shared" si="143"/>
        <v>990</v>
      </c>
      <c r="AZ54" s="45">
        <v>18</v>
      </c>
      <c r="BA54" s="48">
        <f t="shared" si="144"/>
        <v>1650</v>
      </c>
      <c r="BB54" s="43">
        <f>55*6</f>
        <v>330</v>
      </c>
      <c r="BC54" s="47">
        <f t="shared" si="145"/>
        <v>1320</v>
      </c>
      <c r="BD54" s="45">
        <v>24</v>
      </c>
      <c r="BE54" s="48">
        <f t="shared" si="146"/>
        <v>1650</v>
      </c>
      <c r="BF54" s="43">
        <v>660</v>
      </c>
      <c r="BG54" s="47">
        <f t="shared" si="147"/>
        <v>990</v>
      </c>
      <c r="BH54" s="45">
        <v>24</v>
      </c>
      <c r="BI54" s="48">
        <f t="shared" si="148"/>
        <v>1980</v>
      </c>
      <c r="BJ54" s="43">
        <v>715</v>
      </c>
      <c r="BK54" s="47">
        <f t="shared" si="149"/>
        <v>1265</v>
      </c>
      <c r="BL54" s="45">
        <v>24</v>
      </c>
      <c r="BM54" s="48">
        <f t="shared" si="150"/>
        <v>2035</v>
      </c>
      <c r="BN54" s="43"/>
      <c r="BO54" s="47">
        <f t="shared" si="151"/>
        <v>2035</v>
      </c>
      <c r="BP54" s="45"/>
      <c r="BQ54" s="48">
        <f t="shared" si="152"/>
        <v>0</v>
      </c>
      <c r="BR54" s="43"/>
      <c r="BS54" s="47">
        <f t="shared" si="153"/>
        <v>0</v>
      </c>
      <c r="BT54" s="45"/>
      <c r="BU54" s="48">
        <f t="shared" si="154"/>
        <v>0</v>
      </c>
      <c r="BV54" s="43"/>
      <c r="BW54" s="47">
        <f t="shared" si="155"/>
        <v>0</v>
      </c>
      <c r="BX54" s="45"/>
      <c r="BY54" s="48">
        <f t="shared" si="156"/>
        <v>0</v>
      </c>
      <c r="BZ54" s="43"/>
      <c r="CA54" s="47">
        <f t="shared" si="157"/>
        <v>0</v>
      </c>
      <c r="CB54" s="45"/>
      <c r="CC54" s="48">
        <f t="shared" si="158"/>
        <v>0</v>
      </c>
      <c r="CD54" s="43"/>
      <c r="CE54" s="47">
        <f t="shared" si="159"/>
        <v>0</v>
      </c>
      <c r="CF54" s="45"/>
      <c r="CG54" s="48">
        <f t="shared" si="160"/>
        <v>0</v>
      </c>
      <c r="CH54" s="43"/>
      <c r="CI54" s="47">
        <f t="shared" si="161"/>
        <v>0</v>
      </c>
      <c r="CJ54" s="45"/>
      <c r="CK54" s="48">
        <f t="shared" si="162"/>
        <v>0</v>
      </c>
    </row>
    <row r="55" spans="1:89" s="89" customFormat="1" ht="20.100000000000001" hidden="1" customHeight="1" x14ac:dyDescent="0.25">
      <c r="A55" s="152" t="s">
        <v>93</v>
      </c>
      <c r="B55" s="9" t="s">
        <v>7</v>
      </c>
      <c r="C55" s="17">
        <v>40</v>
      </c>
      <c r="D55" s="9" t="s">
        <v>9</v>
      </c>
      <c r="E55" s="13">
        <v>40</v>
      </c>
      <c r="F55" s="43">
        <v>41</v>
      </c>
      <c r="G55" s="47">
        <v>23</v>
      </c>
      <c r="H55" s="45">
        <v>1</v>
      </c>
      <c r="I55" s="48">
        <f t="shared" si="126"/>
        <v>81</v>
      </c>
      <c r="J55" s="43">
        <v>50</v>
      </c>
      <c r="K55" s="47">
        <f t="shared" si="127"/>
        <v>31</v>
      </c>
      <c r="L55" s="45">
        <v>1</v>
      </c>
      <c r="M55" s="48">
        <f t="shared" si="128"/>
        <v>90</v>
      </c>
      <c r="N55" s="43">
        <v>47</v>
      </c>
      <c r="O55" s="47">
        <v>43</v>
      </c>
      <c r="P55" s="45">
        <v>1</v>
      </c>
      <c r="Q55" s="48">
        <f t="shared" si="129"/>
        <v>87</v>
      </c>
      <c r="R55" s="43">
        <v>64</v>
      </c>
      <c r="S55" s="47">
        <f t="shared" si="130"/>
        <v>23</v>
      </c>
      <c r="T55" s="45"/>
      <c r="U55" s="48">
        <f t="shared" si="131"/>
        <v>64</v>
      </c>
      <c r="V55" s="43">
        <v>35</v>
      </c>
      <c r="W55" s="47">
        <f t="shared" si="132"/>
        <v>29</v>
      </c>
      <c r="X55" s="49">
        <v>1</v>
      </c>
      <c r="Y55" s="48">
        <f t="shared" si="133"/>
        <v>75</v>
      </c>
      <c r="Z55" s="43">
        <v>35</v>
      </c>
      <c r="AA55" s="47">
        <f t="shared" si="8"/>
        <v>40</v>
      </c>
      <c r="AB55" s="49">
        <v>1</v>
      </c>
      <c r="AC55" s="48">
        <f t="shared" si="134"/>
        <v>75</v>
      </c>
      <c r="AD55" s="43">
        <v>48</v>
      </c>
      <c r="AE55" s="47">
        <f t="shared" si="135"/>
        <v>27</v>
      </c>
      <c r="AF55" s="45"/>
      <c r="AG55" s="48">
        <f t="shared" si="136"/>
        <v>48</v>
      </c>
      <c r="AH55" s="43">
        <v>42</v>
      </c>
      <c r="AI55" s="47">
        <f t="shared" si="12"/>
        <v>6</v>
      </c>
      <c r="AJ55" s="45">
        <v>1</v>
      </c>
      <c r="AK55" s="48">
        <f t="shared" si="137"/>
        <v>82</v>
      </c>
      <c r="AL55" s="43">
        <v>30</v>
      </c>
      <c r="AM55" s="47">
        <f t="shared" si="138"/>
        <v>52</v>
      </c>
      <c r="AN55" s="45">
        <v>1</v>
      </c>
      <c r="AO55" s="48">
        <f t="shared" si="139"/>
        <v>70</v>
      </c>
      <c r="AP55" s="43">
        <v>50</v>
      </c>
      <c r="AQ55" s="47">
        <f t="shared" si="16"/>
        <v>20</v>
      </c>
      <c r="AR55" s="45">
        <v>1</v>
      </c>
      <c r="AS55" s="48">
        <f t="shared" si="140"/>
        <v>90</v>
      </c>
      <c r="AT55" s="43">
        <v>48</v>
      </c>
      <c r="AU55" s="47">
        <f t="shared" si="141"/>
        <v>42</v>
      </c>
      <c r="AV55" s="45">
        <v>1</v>
      </c>
      <c r="AW55" s="48">
        <f t="shared" si="142"/>
        <v>88</v>
      </c>
      <c r="AX55" s="43">
        <v>64</v>
      </c>
      <c r="AY55" s="47">
        <f t="shared" si="143"/>
        <v>24</v>
      </c>
      <c r="AZ55" s="45"/>
      <c r="BA55" s="48">
        <f t="shared" si="144"/>
        <v>64</v>
      </c>
      <c r="BB55" s="43">
        <v>47</v>
      </c>
      <c r="BC55" s="47">
        <f t="shared" si="145"/>
        <v>17</v>
      </c>
      <c r="BD55" s="45">
        <v>1</v>
      </c>
      <c r="BE55" s="48">
        <f t="shared" si="146"/>
        <v>87</v>
      </c>
      <c r="BF55" s="43">
        <v>68</v>
      </c>
      <c r="BG55" s="47">
        <f t="shared" si="147"/>
        <v>19</v>
      </c>
      <c r="BH55" s="45"/>
      <c r="BI55" s="48">
        <f t="shared" si="148"/>
        <v>68</v>
      </c>
      <c r="BJ55" s="43">
        <v>56</v>
      </c>
      <c r="BK55" s="47">
        <f t="shared" si="149"/>
        <v>12</v>
      </c>
      <c r="BL55" s="45"/>
      <c r="BM55" s="48">
        <f t="shared" si="150"/>
        <v>56</v>
      </c>
      <c r="BN55" s="43"/>
      <c r="BO55" s="47">
        <f t="shared" si="151"/>
        <v>56</v>
      </c>
      <c r="BP55" s="45"/>
      <c r="BQ55" s="48">
        <f t="shared" si="152"/>
        <v>0</v>
      </c>
      <c r="BR55" s="43"/>
      <c r="BS55" s="47">
        <f t="shared" si="153"/>
        <v>0</v>
      </c>
      <c r="BT55" s="45"/>
      <c r="BU55" s="48">
        <f t="shared" si="154"/>
        <v>0</v>
      </c>
      <c r="BV55" s="43"/>
      <c r="BW55" s="47">
        <f t="shared" si="155"/>
        <v>0</v>
      </c>
      <c r="BX55" s="45"/>
      <c r="BY55" s="48">
        <f t="shared" si="156"/>
        <v>0</v>
      </c>
      <c r="BZ55" s="43"/>
      <c r="CA55" s="47">
        <f t="shared" si="157"/>
        <v>0</v>
      </c>
      <c r="CB55" s="45"/>
      <c r="CC55" s="48">
        <f t="shared" si="158"/>
        <v>0</v>
      </c>
      <c r="CD55" s="43"/>
      <c r="CE55" s="47">
        <f t="shared" si="159"/>
        <v>0</v>
      </c>
      <c r="CF55" s="45"/>
      <c r="CG55" s="48">
        <f t="shared" si="160"/>
        <v>0</v>
      </c>
      <c r="CH55" s="43"/>
      <c r="CI55" s="47">
        <f t="shared" si="161"/>
        <v>0</v>
      </c>
      <c r="CJ55" s="45"/>
      <c r="CK55" s="48">
        <f t="shared" si="162"/>
        <v>0</v>
      </c>
    </row>
    <row r="56" spans="1:89" s="89" customFormat="1" ht="20.100000000000001" customHeight="1" x14ac:dyDescent="0.25">
      <c r="A56" s="152" t="s">
        <v>94</v>
      </c>
      <c r="B56" s="9" t="s">
        <v>7</v>
      </c>
      <c r="C56" s="17">
        <v>2</v>
      </c>
      <c r="D56" s="9" t="s">
        <v>358</v>
      </c>
      <c r="E56" s="13">
        <v>4</v>
      </c>
      <c r="F56" s="43">
        <v>4</v>
      </c>
      <c r="G56" s="47">
        <v>16</v>
      </c>
      <c r="H56" s="45">
        <v>5</v>
      </c>
      <c r="I56" s="48">
        <f t="shared" si="126"/>
        <v>24</v>
      </c>
      <c r="J56" s="43">
        <v>10</v>
      </c>
      <c r="K56" s="47">
        <f t="shared" si="127"/>
        <v>14</v>
      </c>
      <c r="L56" s="45">
        <v>2</v>
      </c>
      <c r="M56" s="48">
        <f t="shared" si="128"/>
        <v>18</v>
      </c>
      <c r="N56" s="43">
        <v>0</v>
      </c>
      <c r="O56" s="47">
        <v>18</v>
      </c>
      <c r="P56" s="45">
        <v>4</v>
      </c>
      <c r="Q56" s="48">
        <f t="shared" si="129"/>
        <v>16</v>
      </c>
      <c r="R56" s="43">
        <v>2</v>
      </c>
      <c r="S56" s="47">
        <f t="shared" si="130"/>
        <v>14</v>
      </c>
      <c r="T56" s="45">
        <v>6</v>
      </c>
      <c r="U56" s="48">
        <f t="shared" si="131"/>
        <v>26</v>
      </c>
      <c r="V56" s="43">
        <v>12</v>
      </c>
      <c r="W56" s="47">
        <f t="shared" si="132"/>
        <v>14</v>
      </c>
      <c r="X56" s="49">
        <v>3</v>
      </c>
      <c r="Y56" s="48">
        <f t="shared" si="133"/>
        <v>24</v>
      </c>
      <c r="Z56" s="43">
        <v>4</v>
      </c>
      <c r="AA56" s="47">
        <f t="shared" si="8"/>
        <v>20</v>
      </c>
      <c r="AB56" s="49">
        <v>6</v>
      </c>
      <c r="AC56" s="48">
        <f t="shared" si="134"/>
        <v>28</v>
      </c>
      <c r="AD56" s="43">
        <v>13</v>
      </c>
      <c r="AE56" s="47">
        <f t="shared" si="135"/>
        <v>15</v>
      </c>
      <c r="AF56" s="45">
        <v>2</v>
      </c>
      <c r="AG56" s="48">
        <f t="shared" si="136"/>
        <v>21</v>
      </c>
      <c r="AH56" s="43">
        <v>3</v>
      </c>
      <c r="AI56" s="47">
        <f t="shared" si="12"/>
        <v>18</v>
      </c>
      <c r="AJ56" s="45">
        <v>6</v>
      </c>
      <c r="AK56" s="48">
        <f t="shared" si="137"/>
        <v>27</v>
      </c>
      <c r="AL56" s="43">
        <v>8</v>
      </c>
      <c r="AM56" s="47">
        <f t="shared" si="138"/>
        <v>19</v>
      </c>
      <c r="AN56" s="45">
        <v>5</v>
      </c>
      <c r="AO56" s="48">
        <f t="shared" si="139"/>
        <v>28</v>
      </c>
      <c r="AP56" s="43">
        <v>7</v>
      </c>
      <c r="AQ56" s="47">
        <f t="shared" si="16"/>
        <v>21</v>
      </c>
      <c r="AR56" s="45">
        <v>6</v>
      </c>
      <c r="AS56" s="48">
        <f t="shared" si="140"/>
        <v>31</v>
      </c>
      <c r="AT56" s="43">
        <v>10</v>
      </c>
      <c r="AU56" s="47">
        <f t="shared" si="141"/>
        <v>21</v>
      </c>
      <c r="AV56" s="45">
        <v>5</v>
      </c>
      <c r="AW56" s="48">
        <f t="shared" si="142"/>
        <v>30</v>
      </c>
      <c r="AX56" s="43">
        <v>0</v>
      </c>
      <c r="AY56" s="47">
        <f t="shared" si="143"/>
        <v>30</v>
      </c>
      <c r="AZ56" s="45">
        <v>9</v>
      </c>
      <c r="BA56" s="48">
        <f t="shared" si="144"/>
        <v>36</v>
      </c>
      <c r="BB56" s="43">
        <v>18</v>
      </c>
      <c r="BC56" s="47">
        <f t="shared" si="145"/>
        <v>18</v>
      </c>
      <c r="BD56" s="45">
        <v>4</v>
      </c>
      <c r="BE56" s="48">
        <f t="shared" si="146"/>
        <v>34</v>
      </c>
      <c r="BF56" s="43">
        <v>12</v>
      </c>
      <c r="BG56" s="47">
        <f t="shared" si="147"/>
        <v>22</v>
      </c>
      <c r="BH56" s="45">
        <v>6</v>
      </c>
      <c r="BI56" s="48">
        <f t="shared" si="148"/>
        <v>36</v>
      </c>
      <c r="BJ56" s="43">
        <v>17</v>
      </c>
      <c r="BK56" s="47">
        <f t="shared" si="149"/>
        <v>19</v>
      </c>
      <c r="BL56" s="45">
        <v>5</v>
      </c>
      <c r="BM56" s="48">
        <f t="shared" si="150"/>
        <v>37</v>
      </c>
      <c r="BN56" s="43"/>
      <c r="BO56" s="47">
        <f t="shared" si="151"/>
        <v>37</v>
      </c>
      <c r="BP56" s="45"/>
      <c r="BQ56" s="48">
        <f t="shared" si="152"/>
        <v>0</v>
      </c>
      <c r="BR56" s="43"/>
      <c r="BS56" s="47">
        <f t="shared" si="153"/>
        <v>0</v>
      </c>
      <c r="BT56" s="45"/>
      <c r="BU56" s="48">
        <f t="shared" si="154"/>
        <v>0</v>
      </c>
      <c r="BV56" s="43"/>
      <c r="BW56" s="47">
        <f t="shared" si="155"/>
        <v>0</v>
      </c>
      <c r="BX56" s="45"/>
      <c r="BY56" s="48">
        <f t="shared" si="156"/>
        <v>0</v>
      </c>
      <c r="BZ56" s="43"/>
      <c r="CA56" s="47">
        <f t="shared" si="157"/>
        <v>0</v>
      </c>
      <c r="CB56" s="45"/>
      <c r="CC56" s="48">
        <f t="shared" si="158"/>
        <v>0</v>
      </c>
      <c r="CD56" s="43"/>
      <c r="CE56" s="47">
        <f t="shared" si="159"/>
        <v>0</v>
      </c>
      <c r="CF56" s="45"/>
      <c r="CG56" s="48">
        <f t="shared" si="160"/>
        <v>0</v>
      </c>
      <c r="CH56" s="43"/>
      <c r="CI56" s="47">
        <f t="shared" si="161"/>
        <v>0</v>
      </c>
      <c r="CJ56" s="45"/>
      <c r="CK56" s="48">
        <f t="shared" si="162"/>
        <v>0</v>
      </c>
    </row>
    <row r="57" spans="1:89" s="89" customFormat="1" ht="20.100000000000001" customHeight="1" x14ac:dyDescent="0.25">
      <c r="A57" s="152" t="s">
        <v>95</v>
      </c>
      <c r="B57" s="9" t="s">
        <v>7</v>
      </c>
      <c r="C57" s="17">
        <v>10</v>
      </c>
      <c r="D57" s="9" t="s">
        <v>358</v>
      </c>
      <c r="E57" s="13">
        <v>4</v>
      </c>
      <c r="F57" s="43"/>
      <c r="G57" s="47">
        <v>12.5</v>
      </c>
      <c r="H57" s="45">
        <v>3</v>
      </c>
      <c r="I57" s="48">
        <f t="shared" si="126"/>
        <v>12</v>
      </c>
      <c r="J57" s="43">
        <v>8</v>
      </c>
      <c r="K57" s="47">
        <f t="shared" si="127"/>
        <v>4</v>
      </c>
      <c r="L57" s="45">
        <v>1</v>
      </c>
      <c r="M57" s="48">
        <f t="shared" si="128"/>
        <v>12</v>
      </c>
      <c r="N57" s="43">
        <v>7</v>
      </c>
      <c r="O57" s="47">
        <v>5</v>
      </c>
      <c r="P57" s="45">
        <v>1</v>
      </c>
      <c r="Q57" s="48">
        <f t="shared" si="129"/>
        <v>11</v>
      </c>
      <c r="R57" s="43">
        <v>7.75</v>
      </c>
      <c r="S57" s="47">
        <f t="shared" si="130"/>
        <v>3.25</v>
      </c>
      <c r="T57" s="45"/>
      <c r="U57" s="48">
        <f t="shared" si="131"/>
        <v>7.75</v>
      </c>
      <c r="V57" s="43">
        <v>5</v>
      </c>
      <c r="W57" s="47">
        <f t="shared" si="132"/>
        <v>2.75</v>
      </c>
      <c r="X57" s="49">
        <v>2</v>
      </c>
      <c r="Y57" s="48">
        <f t="shared" si="133"/>
        <v>13</v>
      </c>
      <c r="Z57" s="43">
        <v>12.5</v>
      </c>
      <c r="AA57" s="47">
        <f t="shared" si="8"/>
        <v>0.5</v>
      </c>
      <c r="AB57" s="45">
        <v>0.5</v>
      </c>
      <c r="AC57" s="48">
        <f t="shared" si="134"/>
        <v>14.5</v>
      </c>
      <c r="AD57" s="43"/>
      <c r="AE57" s="47">
        <f t="shared" si="135"/>
        <v>14.5</v>
      </c>
      <c r="AF57" s="45">
        <v>4</v>
      </c>
      <c r="AG57" s="48">
        <f t="shared" si="136"/>
        <v>16</v>
      </c>
      <c r="AH57" s="43">
        <v>13</v>
      </c>
      <c r="AI57" s="47">
        <f t="shared" si="12"/>
        <v>3</v>
      </c>
      <c r="AJ57" s="45"/>
      <c r="AK57" s="48">
        <f t="shared" si="137"/>
        <v>13</v>
      </c>
      <c r="AL57" s="43">
        <v>3</v>
      </c>
      <c r="AM57" s="47">
        <f t="shared" si="138"/>
        <v>10</v>
      </c>
      <c r="AN57" s="45">
        <v>4</v>
      </c>
      <c r="AO57" s="48">
        <f t="shared" si="139"/>
        <v>19</v>
      </c>
      <c r="AP57" s="43">
        <v>19</v>
      </c>
      <c r="AQ57" s="47">
        <f t="shared" si="16"/>
        <v>0</v>
      </c>
      <c r="AR57" s="45">
        <v>4</v>
      </c>
      <c r="AS57" s="48">
        <f t="shared" si="140"/>
        <v>35</v>
      </c>
      <c r="AT57" s="43">
        <v>35</v>
      </c>
      <c r="AU57" s="47">
        <f t="shared" si="141"/>
        <v>0</v>
      </c>
      <c r="AV57" s="45"/>
      <c r="AW57" s="48">
        <f t="shared" si="142"/>
        <v>35</v>
      </c>
      <c r="AX57" s="43">
        <v>32.5</v>
      </c>
      <c r="AY57" s="47">
        <f t="shared" si="143"/>
        <v>2.5</v>
      </c>
      <c r="AZ57" s="45"/>
      <c r="BA57" s="48">
        <f t="shared" si="144"/>
        <v>32.5</v>
      </c>
      <c r="BB57" s="43">
        <v>22.5</v>
      </c>
      <c r="BC57" s="47">
        <f t="shared" si="145"/>
        <v>10</v>
      </c>
      <c r="BD57" s="45"/>
      <c r="BE57" s="48">
        <f t="shared" si="146"/>
        <v>22.5</v>
      </c>
      <c r="BF57" s="43">
        <v>12.5</v>
      </c>
      <c r="BG57" s="47">
        <f t="shared" si="147"/>
        <v>10</v>
      </c>
      <c r="BH57" s="45">
        <v>1</v>
      </c>
      <c r="BI57" s="48">
        <f t="shared" si="148"/>
        <v>16.5</v>
      </c>
      <c r="BJ57" s="43">
        <v>10</v>
      </c>
      <c r="BK57" s="47">
        <f t="shared" si="149"/>
        <v>6.5</v>
      </c>
      <c r="BL57" s="45">
        <v>1</v>
      </c>
      <c r="BM57" s="48">
        <f t="shared" si="150"/>
        <v>14</v>
      </c>
      <c r="BN57" s="43"/>
      <c r="BO57" s="47">
        <f t="shared" si="151"/>
        <v>14</v>
      </c>
      <c r="BP57" s="45"/>
      <c r="BQ57" s="48">
        <f t="shared" si="152"/>
        <v>0</v>
      </c>
      <c r="BR57" s="43"/>
      <c r="BS57" s="47">
        <f t="shared" si="153"/>
        <v>0</v>
      </c>
      <c r="BT57" s="45"/>
      <c r="BU57" s="48">
        <f t="shared" si="154"/>
        <v>0</v>
      </c>
      <c r="BV57" s="43"/>
      <c r="BW57" s="47">
        <f t="shared" si="155"/>
        <v>0</v>
      </c>
      <c r="BX57" s="45"/>
      <c r="BY57" s="48">
        <f t="shared" si="156"/>
        <v>0</v>
      </c>
      <c r="BZ57" s="43"/>
      <c r="CA57" s="47">
        <f t="shared" si="157"/>
        <v>0</v>
      </c>
      <c r="CB57" s="45"/>
      <c r="CC57" s="48">
        <f t="shared" si="158"/>
        <v>0</v>
      </c>
      <c r="CD57" s="43"/>
      <c r="CE57" s="47">
        <f t="shared" si="159"/>
        <v>0</v>
      </c>
      <c r="CF57" s="45"/>
      <c r="CG57" s="48">
        <f t="shared" si="160"/>
        <v>0</v>
      </c>
      <c r="CH57" s="43"/>
      <c r="CI57" s="47">
        <f t="shared" si="161"/>
        <v>0</v>
      </c>
      <c r="CJ57" s="45"/>
      <c r="CK57" s="48">
        <f t="shared" si="162"/>
        <v>0</v>
      </c>
    </row>
    <row r="58" spans="1:89" s="89" customFormat="1" ht="20.100000000000001" hidden="1" customHeight="1" x14ac:dyDescent="0.25">
      <c r="A58" s="152" t="s">
        <v>96</v>
      </c>
      <c r="B58" s="9" t="s">
        <v>7</v>
      </c>
      <c r="C58" s="17">
        <v>5</v>
      </c>
      <c r="D58" s="9" t="s">
        <v>8</v>
      </c>
      <c r="E58" s="13">
        <v>5</v>
      </c>
      <c r="F58" s="43">
        <v>10</v>
      </c>
      <c r="G58" s="47">
        <v>12.5</v>
      </c>
      <c r="H58" s="45">
        <v>2</v>
      </c>
      <c r="I58" s="48">
        <f t="shared" si="126"/>
        <v>20</v>
      </c>
      <c r="J58" s="43">
        <v>2.2999999999999998</v>
      </c>
      <c r="K58" s="47">
        <f t="shared" si="127"/>
        <v>17.7</v>
      </c>
      <c r="L58" s="45">
        <v>4</v>
      </c>
      <c r="M58" s="48">
        <f t="shared" si="128"/>
        <v>22.3</v>
      </c>
      <c r="N58" s="43">
        <v>13.75</v>
      </c>
      <c r="O58" s="47">
        <v>8.5500000000000007</v>
      </c>
      <c r="P58" s="45">
        <v>2</v>
      </c>
      <c r="Q58" s="48">
        <f t="shared" si="129"/>
        <v>23.75</v>
      </c>
      <c r="R58" s="43">
        <v>8.5</v>
      </c>
      <c r="S58" s="47">
        <f t="shared" si="130"/>
        <v>15.25</v>
      </c>
      <c r="T58" s="45">
        <v>3</v>
      </c>
      <c r="U58" s="48">
        <f t="shared" si="131"/>
        <v>23.5</v>
      </c>
      <c r="V58" s="43">
        <v>5.8</v>
      </c>
      <c r="W58" s="47">
        <f t="shared" si="132"/>
        <v>17.7</v>
      </c>
      <c r="X58" s="49">
        <v>4</v>
      </c>
      <c r="Y58" s="48">
        <f t="shared" si="133"/>
        <v>25.8</v>
      </c>
      <c r="Z58" s="43">
        <v>10</v>
      </c>
      <c r="AA58" s="47">
        <f t="shared" si="8"/>
        <v>15.8</v>
      </c>
      <c r="AB58" s="49">
        <v>2</v>
      </c>
      <c r="AC58" s="48">
        <f t="shared" si="134"/>
        <v>20</v>
      </c>
      <c r="AD58" s="43">
        <v>12.5</v>
      </c>
      <c r="AE58" s="47">
        <f t="shared" si="135"/>
        <v>7.5</v>
      </c>
      <c r="AF58" s="45">
        <v>1</v>
      </c>
      <c r="AG58" s="48">
        <f t="shared" si="136"/>
        <v>17.5</v>
      </c>
      <c r="AH58" s="43">
        <v>5.8</v>
      </c>
      <c r="AI58" s="47">
        <f t="shared" si="12"/>
        <v>11.7</v>
      </c>
      <c r="AJ58" s="45">
        <f>3</f>
        <v>3</v>
      </c>
      <c r="AK58" s="48">
        <f t="shared" si="137"/>
        <v>20.8</v>
      </c>
      <c r="AL58" s="43">
        <v>2.5</v>
      </c>
      <c r="AM58" s="47">
        <f t="shared" si="138"/>
        <v>18.3</v>
      </c>
      <c r="AN58" s="45">
        <v>4</v>
      </c>
      <c r="AO58" s="48">
        <f t="shared" si="139"/>
        <v>22.5</v>
      </c>
      <c r="AP58" s="43">
        <v>12.5</v>
      </c>
      <c r="AQ58" s="47">
        <f t="shared" si="16"/>
        <v>10</v>
      </c>
      <c r="AR58" s="45">
        <v>2</v>
      </c>
      <c r="AS58" s="48">
        <f t="shared" si="140"/>
        <v>22.5</v>
      </c>
      <c r="AT58" s="43">
        <v>4.5</v>
      </c>
      <c r="AU58" s="47">
        <f t="shared" si="141"/>
        <v>18</v>
      </c>
      <c r="AV58" s="45">
        <v>4</v>
      </c>
      <c r="AW58" s="48">
        <f t="shared" si="142"/>
        <v>24.5</v>
      </c>
      <c r="AX58" s="43">
        <v>7.5</v>
      </c>
      <c r="AY58" s="47">
        <f t="shared" si="143"/>
        <v>17</v>
      </c>
      <c r="AZ58" s="45">
        <v>4</v>
      </c>
      <c r="BA58" s="48">
        <f t="shared" si="144"/>
        <v>27.5</v>
      </c>
      <c r="BB58" s="43">
        <v>5</v>
      </c>
      <c r="BC58" s="47">
        <f t="shared" si="145"/>
        <v>22.5</v>
      </c>
      <c r="BD58" s="45">
        <v>4</v>
      </c>
      <c r="BE58" s="48">
        <f t="shared" si="146"/>
        <v>25</v>
      </c>
      <c r="BF58" s="43">
        <v>12.5</v>
      </c>
      <c r="BG58" s="47">
        <f t="shared" si="147"/>
        <v>12.5</v>
      </c>
      <c r="BH58" s="45">
        <v>5</v>
      </c>
      <c r="BI58" s="48">
        <f t="shared" si="148"/>
        <v>37.5</v>
      </c>
      <c r="BJ58" s="43">
        <v>26.5</v>
      </c>
      <c r="BK58" s="47">
        <f t="shared" si="149"/>
        <v>11</v>
      </c>
      <c r="BL58" s="45"/>
      <c r="BM58" s="48">
        <f t="shared" si="150"/>
        <v>26.5</v>
      </c>
      <c r="BN58" s="43"/>
      <c r="BO58" s="47">
        <f t="shared" si="151"/>
        <v>26.5</v>
      </c>
      <c r="BP58" s="45"/>
      <c r="BQ58" s="48">
        <f t="shared" si="152"/>
        <v>0</v>
      </c>
      <c r="BR58" s="43"/>
      <c r="BS58" s="47">
        <f t="shared" si="153"/>
        <v>0</v>
      </c>
      <c r="BT58" s="45"/>
      <c r="BU58" s="48">
        <f t="shared" si="154"/>
        <v>0</v>
      </c>
      <c r="BV58" s="43"/>
      <c r="BW58" s="47">
        <f t="shared" si="155"/>
        <v>0</v>
      </c>
      <c r="BX58" s="45"/>
      <c r="BY58" s="48">
        <f t="shared" si="156"/>
        <v>0</v>
      </c>
      <c r="BZ58" s="43"/>
      <c r="CA58" s="47">
        <f t="shared" si="157"/>
        <v>0</v>
      </c>
      <c r="CB58" s="45"/>
      <c r="CC58" s="48">
        <f t="shared" si="158"/>
        <v>0</v>
      </c>
      <c r="CD58" s="43"/>
      <c r="CE58" s="47">
        <f t="shared" si="159"/>
        <v>0</v>
      </c>
      <c r="CF58" s="45"/>
      <c r="CG58" s="48">
        <f t="shared" si="160"/>
        <v>0</v>
      </c>
      <c r="CH58" s="43"/>
      <c r="CI58" s="47">
        <f t="shared" si="161"/>
        <v>0</v>
      </c>
      <c r="CJ58" s="45"/>
      <c r="CK58" s="48">
        <f t="shared" si="162"/>
        <v>0</v>
      </c>
    </row>
    <row r="59" spans="1:89" s="89" customFormat="1" ht="20.100000000000001" customHeight="1" x14ac:dyDescent="0.25">
      <c r="A59" s="152" t="s">
        <v>97</v>
      </c>
      <c r="B59" s="9" t="s">
        <v>7</v>
      </c>
      <c r="C59" s="17">
        <v>7</v>
      </c>
      <c r="D59" s="9" t="s">
        <v>358</v>
      </c>
      <c r="E59" s="13">
        <v>20</v>
      </c>
      <c r="F59" s="43">
        <v>20</v>
      </c>
      <c r="G59" s="47">
        <v>4</v>
      </c>
      <c r="H59" s="45"/>
      <c r="I59" s="48">
        <f t="shared" si="126"/>
        <v>20</v>
      </c>
      <c r="J59" s="43">
        <v>16</v>
      </c>
      <c r="K59" s="47">
        <f t="shared" si="127"/>
        <v>4</v>
      </c>
      <c r="L59" s="45"/>
      <c r="M59" s="48">
        <f t="shared" si="128"/>
        <v>16</v>
      </c>
      <c r="N59" s="43">
        <v>8</v>
      </c>
      <c r="O59" s="47">
        <v>8</v>
      </c>
      <c r="P59" s="45">
        <v>1</v>
      </c>
      <c r="Q59" s="48">
        <f t="shared" si="129"/>
        <v>28</v>
      </c>
      <c r="R59" s="43">
        <v>15</v>
      </c>
      <c r="S59" s="47">
        <f t="shared" si="130"/>
        <v>13</v>
      </c>
      <c r="T59" s="45">
        <v>1</v>
      </c>
      <c r="U59" s="48">
        <f t="shared" si="131"/>
        <v>35</v>
      </c>
      <c r="V59" s="43">
        <v>15</v>
      </c>
      <c r="W59" s="47">
        <f t="shared" si="132"/>
        <v>20</v>
      </c>
      <c r="X59" s="49">
        <v>1</v>
      </c>
      <c r="Y59" s="48">
        <f t="shared" si="133"/>
        <v>35</v>
      </c>
      <c r="Z59" s="43">
        <v>20</v>
      </c>
      <c r="AA59" s="47">
        <f t="shared" si="8"/>
        <v>15</v>
      </c>
      <c r="AB59" s="49">
        <v>1</v>
      </c>
      <c r="AC59" s="48">
        <f t="shared" si="134"/>
        <v>40</v>
      </c>
      <c r="AD59" s="43">
        <v>17</v>
      </c>
      <c r="AE59" s="47">
        <f t="shared" si="135"/>
        <v>23</v>
      </c>
      <c r="AF59" s="45">
        <v>1</v>
      </c>
      <c r="AG59" s="48">
        <f t="shared" si="136"/>
        <v>37</v>
      </c>
      <c r="AH59" s="43">
        <v>2</v>
      </c>
      <c r="AI59" s="47">
        <f t="shared" si="12"/>
        <v>35</v>
      </c>
      <c r="AJ59" s="45">
        <v>3</v>
      </c>
      <c r="AK59" s="48">
        <f t="shared" si="137"/>
        <v>62</v>
      </c>
      <c r="AL59" s="43">
        <v>52</v>
      </c>
      <c r="AM59" s="47">
        <f t="shared" si="138"/>
        <v>10</v>
      </c>
      <c r="AN59" s="45"/>
      <c r="AO59" s="48">
        <f t="shared" si="139"/>
        <v>52</v>
      </c>
      <c r="AP59" s="43">
        <v>20</v>
      </c>
      <c r="AQ59" s="47">
        <f t="shared" si="16"/>
        <v>32</v>
      </c>
      <c r="AR59" s="45">
        <v>1</v>
      </c>
      <c r="AS59" s="48">
        <f t="shared" si="140"/>
        <v>40</v>
      </c>
      <c r="AT59" s="43">
        <v>10</v>
      </c>
      <c r="AU59" s="47">
        <f t="shared" si="141"/>
        <v>30</v>
      </c>
      <c r="AV59" s="45">
        <v>2</v>
      </c>
      <c r="AW59" s="48">
        <f t="shared" si="142"/>
        <v>50</v>
      </c>
      <c r="AX59" s="43">
        <v>40</v>
      </c>
      <c r="AY59" s="47">
        <f t="shared" si="143"/>
        <v>10</v>
      </c>
      <c r="AZ59" s="45"/>
      <c r="BA59" s="48">
        <f t="shared" si="144"/>
        <v>40</v>
      </c>
      <c r="BB59" s="43">
        <v>19</v>
      </c>
      <c r="BC59" s="47">
        <f t="shared" si="145"/>
        <v>21</v>
      </c>
      <c r="BD59" s="45">
        <v>1</v>
      </c>
      <c r="BE59" s="48">
        <f t="shared" si="146"/>
        <v>39</v>
      </c>
      <c r="BF59" s="43">
        <v>26</v>
      </c>
      <c r="BG59" s="47">
        <f t="shared" si="147"/>
        <v>13</v>
      </c>
      <c r="BH59" s="45">
        <v>1</v>
      </c>
      <c r="BI59" s="48">
        <f t="shared" si="148"/>
        <v>46</v>
      </c>
      <c r="BJ59" s="43">
        <v>27</v>
      </c>
      <c r="BK59" s="47">
        <f t="shared" si="149"/>
        <v>19</v>
      </c>
      <c r="BL59" s="45">
        <v>1</v>
      </c>
      <c r="BM59" s="48">
        <f t="shared" si="150"/>
        <v>47</v>
      </c>
      <c r="BN59" s="43"/>
      <c r="BO59" s="47">
        <f t="shared" si="151"/>
        <v>47</v>
      </c>
      <c r="BP59" s="45"/>
      <c r="BQ59" s="48">
        <f t="shared" si="152"/>
        <v>0</v>
      </c>
      <c r="BR59" s="43"/>
      <c r="BS59" s="47">
        <f t="shared" si="153"/>
        <v>0</v>
      </c>
      <c r="BT59" s="45"/>
      <c r="BU59" s="48">
        <f t="shared" si="154"/>
        <v>0</v>
      </c>
      <c r="BV59" s="43"/>
      <c r="BW59" s="47">
        <f t="shared" si="155"/>
        <v>0</v>
      </c>
      <c r="BX59" s="45"/>
      <c r="BY59" s="48">
        <f t="shared" si="156"/>
        <v>0</v>
      </c>
      <c r="BZ59" s="43"/>
      <c r="CA59" s="47">
        <f t="shared" si="157"/>
        <v>0</v>
      </c>
      <c r="CB59" s="45"/>
      <c r="CC59" s="48">
        <f t="shared" si="158"/>
        <v>0</v>
      </c>
      <c r="CD59" s="43"/>
      <c r="CE59" s="47">
        <f t="shared" si="159"/>
        <v>0</v>
      </c>
      <c r="CF59" s="45"/>
      <c r="CG59" s="48">
        <f t="shared" si="160"/>
        <v>0</v>
      </c>
      <c r="CH59" s="43"/>
      <c r="CI59" s="47">
        <f t="shared" si="161"/>
        <v>0</v>
      </c>
      <c r="CJ59" s="45"/>
      <c r="CK59" s="48">
        <f t="shared" si="162"/>
        <v>0</v>
      </c>
    </row>
    <row r="60" spans="1:89" s="89" customFormat="1" ht="20.100000000000001" customHeight="1" x14ac:dyDescent="0.25">
      <c r="A60" s="152" t="s">
        <v>98</v>
      </c>
      <c r="B60" s="9" t="s">
        <v>7</v>
      </c>
      <c r="C60" s="17">
        <v>3</v>
      </c>
      <c r="D60" s="9" t="s">
        <v>9</v>
      </c>
      <c r="E60" s="13">
        <v>6</v>
      </c>
      <c r="F60" s="43">
        <v>12</v>
      </c>
      <c r="G60" s="47">
        <v>22</v>
      </c>
      <c r="H60" s="45">
        <v>3</v>
      </c>
      <c r="I60" s="48">
        <f t="shared" ref="I60" si="163">+F60+H60*$E60</f>
        <v>30</v>
      </c>
      <c r="J60" s="43">
        <v>5</v>
      </c>
      <c r="K60" s="47">
        <f t="shared" ref="K60" si="164">+I60-J60</f>
        <v>25</v>
      </c>
      <c r="L60" s="45">
        <v>4</v>
      </c>
      <c r="M60" s="48">
        <f t="shared" ref="M60" si="165">+J60+L60*$E60</f>
        <v>29</v>
      </c>
      <c r="N60" s="43">
        <v>3</v>
      </c>
      <c r="O60" s="47">
        <v>26</v>
      </c>
      <c r="P60" s="45">
        <v>6</v>
      </c>
      <c r="Q60" s="48">
        <f t="shared" ref="Q60" si="166">+N60+P60*$E60</f>
        <v>39</v>
      </c>
      <c r="R60" s="43">
        <v>20</v>
      </c>
      <c r="S60" s="47">
        <f t="shared" ref="S60" si="167">+Q60-R60</f>
        <v>19</v>
      </c>
      <c r="T60" s="45">
        <v>3</v>
      </c>
      <c r="U60" s="48">
        <f t="shared" ref="U60" si="168">+R60+T60*$E60</f>
        <v>38</v>
      </c>
      <c r="V60" s="43">
        <v>15</v>
      </c>
      <c r="W60" s="47">
        <f t="shared" ref="W60" si="169">+U60-V60</f>
        <v>23</v>
      </c>
      <c r="X60" s="49">
        <v>5</v>
      </c>
      <c r="Y60" s="48">
        <f t="shared" ref="Y60" si="170">+V60+X60*$E60</f>
        <v>45</v>
      </c>
      <c r="Z60" s="43">
        <v>17</v>
      </c>
      <c r="AA60" s="47">
        <f t="shared" ref="AA60" si="171">+Y60-Z60</f>
        <v>28</v>
      </c>
      <c r="AB60" s="49">
        <v>3</v>
      </c>
      <c r="AC60" s="48">
        <f t="shared" ref="AC60" si="172">+Z60+AB60*$E60</f>
        <v>35</v>
      </c>
      <c r="AD60" s="43">
        <v>11</v>
      </c>
      <c r="AE60" s="47">
        <f t="shared" ref="AE60" si="173">+AC60-AD60</f>
        <v>24</v>
      </c>
      <c r="AF60" s="45">
        <v>5</v>
      </c>
      <c r="AG60" s="48">
        <f t="shared" ref="AG60" si="174">+AD60+AF60*$E60</f>
        <v>41</v>
      </c>
      <c r="AH60" s="43">
        <v>11</v>
      </c>
      <c r="AI60" s="47">
        <f t="shared" ref="AI60" si="175">+AG60-AH60</f>
        <v>30</v>
      </c>
      <c r="AJ60" s="45">
        <v>6</v>
      </c>
      <c r="AK60" s="48">
        <f t="shared" ref="AK60" si="176">+AH60+AJ60*$E60</f>
        <v>47</v>
      </c>
      <c r="AL60" s="43">
        <f>6*4+5</f>
        <v>29</v>
      </c>
      <c r="AM60" s="47">
        <f t="shared" ref="AM60" si="177">+AK60-AL60</f>
        <v>18</v>
      </c>
      <c r="AN60" s="45">
        <v>3</v>
      </c>
      <c r="AO60" s="48">
        <f t="shared" ref="AO60" si="178">+AL60+AN60*$E60</f>
        <v>47</v>
      </c>
      <c r="AP60" s="43">
        <v>29</v>
      </c>
      <c r="AQ60" s="47">
        <f t="shared" ref="AQ60" si="179">+AO60-AP60</f>
        <v>18</v>
      </c>
      <c r="AR60" s="45">
        <v>4</v>
      </c>
      <c r="AS60" s="48">
        <f t="shared" ref="AS60" si="180">+AP60+AR60*$E60</f>
        <v>53</v>
      </c>
      <c r="AT60" s="43">
        <v>6</v>
      </c>
      <c r="AU60" s="47">
        <f t="shared" ref="AU60" si="181">+AS60-AT60</f>
        <v>47</v>
      </c>
      <c r="AV60" s="45">
        <v>8</v>
      </c>
      <c r="AW60" s="48">
        <f t="shared" ref="AW60" si="182">+AT60+AV60*$E60</f>
        <v>54</v>
      </c>
      <c r="AX60" s="43">
        <f>5*6+1</f>
        <v>31</v>
      </c>
      <c r="AY60" s="47">
        <f t="shared" ref="AY60" si="183">+AW60-AX60</f>
        <v>23</v>
      </c>
      <c r="AZ60" s="45">
        <v>3</v>
      </c>
      <c r="BA60" s="48">
        <f t="shared" ref="BA60" si="184">+AX60+AZ60*$E60</f>
        <v>49</v>
      </c>
      <c r="BB60" s="43">
        <v>24</v>
      </c>
      <c r="BC60" s="47">
        <f t="shared" ref="BC60" si="185">+BA60-BB60</f>
        <v>25</v>
      </c>
      <c r="BD60" s="45">
        <v>2</v>
      </c>
      <c r="BE60" s="48">
        <f t="shared" ref="BE60" si="186">+BB60+BD60*$E60</f>
        <v>36</v>
      </c>
      <c r="BF60" s="43">
        <v>18</v>
      </c>
      <c r="BG60" s="47">
        <v>18</v>
      </c>
      <c r="BH60" s="45">
        <v>4</v>
      </c>
      <c r="BI60" s="48">
        <f t="shared" si="148"/>
        <v>42</v>
      </c>
      <c r="BJ60" s="43">
        <v>25</v>
      </c>
      <c r="BK60" s="47">
        <f t="shared" si="149"/>
        <v>17</v>
      </c>
      <c r="BL60" s="45">
        <v>3</v>
      </c>
      <c r="BM60" s="48">
        <f t="shared" si="150"/>
        <v>43</v>
      </c>
      <c r="BN60" s="43"/>
      <c r="BO60" s="47">
        <f t="shared" si="151"/>
        <v>43</v>
      </c>
      <c r="BP60" s="45"/>
      <c r="BQ60" s="48">
        <f t="shared" si="152"/>
        <v>0</v>
      </c>
      <c r="BR60" s="43"/>
      <c r="BS60" s="47">
        <f t="shared" si="153"/>
        <v>0</v>
      </c>
      <c r="BT60" s="45"/>
      <c r="BU60" s="48">
        <f t="shared" si="154"/>
        <v>0</v>
      </c>
      <c r="BV60" s="43"/>
      <c r="BW60" s="47">
        <f t="shared" si="155"/>
        <v>0</v>
      </c>
      <c r="BX60" s="45"/>
      <c r="BY60" s="48">
        <f t="shared" si="156"/>
        <v>0</v>
      </c>
      <c r="BZ60" s="43"/>
      <c r="CA60" s="47">
        <f t="shared" si="157"/>
        <v>0</v>
      </c>
      <c r="CB60" s="45"/>
      <c r="CC60" s="48">
        <f t="shared" si="158"/>
        <v>0</v>
      </c>
      <c r="CD60" s="43"/>
      <c r="CE60" s="47">
        <f t="shared" si="159"/>
        <v>0</v>
      </c>
      <c r="CF60" s="45"/>
      <c r="CG60" s="48">
        <f t="shared" si="160"/>
        <v>0</v>
      </c>
      <c r="CH60" s="43"/>
      <c r="CI60" s="47">
        <f t="shared" si="161"/>
        <v>0</v>
      </c>
      <c r="CJ60" s="45"/>
      <c r="CK60" s="48">
        <f t="shared" si="162"/>
        <v>0</v>
      </c>
    </row>
    <row r="61" spans="1:89" s="89" customFormat="1" ht="20.100000000000001" customHeight="1" x14ac:dyDescent="0.25">
      <c r="A61" s="152" t="s">
        <v>380</v>
      </c>
      <c r="B61" s="9" t="s">
        <v>7</v>
      </c>
      <c r="C61" s="17">
        <v>1</v>
      </c>
      <c r="D61" s="9" t="s">
        <v>9</v>
      </c>
      <c r="E61" s="13">
        <v>80</v>
      </c>
      <c r="F61" s="43">
        <v>12</v>
      </c>
      <c r="G61" s="47">
        <v>22</v>
      </c>
      <c r="H61" s="45">
        <v>3</v>
      </c>
      <c r="I61" s="48">
        <f t="shared" si="126"/>
        <v>252</v>
      </c>
      <c r="J61" s="43">
        <v>5</v>
      </c>
      <c r="K61" s="47">
        <f t="shared" si="127"/>
        <v>247</v>
      </c>
      <c r="L61" s="45">
        <v>4</v>
      </c>
      <c r="M61" s="48">
        <f t="shared" si="128"/>
        <v>325</v>
      </c>
      <c r="N61" s="43">
        <v>3</v>
      </c>
      <c r="O61" s="47">
        <v>26</v>
      </c>
      <c r="P61" s="45">
        <v>6</v>
      </c>
      <c r="Q61" s="48">
        <f t="shared" si="129"/>
        <v>483</v>
      </c>
      <c r="R61" s="43">
        <v>20</v>
      </c>
      <c r="S61" s="47">
        <f t="shared" si="130"/>
        <v>463</v>
      </c>
      <c r="T61" s="45">
        <v>3</v>
      </c>
      <c r="U61" s="48">
        <f t="shared" si="131"/>
        <v>260</v>
      </c>
      <c r="V61" s="43">
        <v>15</v>
      </c>
      <c r="W61" s="47">
        <f t="shared" si="132"/>
        <v>245</v>
      </c>
      <c r="X61" s="49">
        <v>5</v>
      </c>
      <c r="Y61" s="48">
        <f t="shared" si="133"/>
        <v>415</v>
      </c>
      <c r="Z61" s="43">
        <v>17</v>
      </c>
      <c r="AA61" s="47">
        <f t="shared" si="8"/>
        <v>398</v>
      </c>
      <c r="AB61" s="49">
        <v>3</v>
      </c>
      <c r="AC61" s="48">
        <f t="shared" si="134"/>
        <v>257</v>
      </c>
      <c r="AD61" s="43">
        <v>11</v>
      </c>
      <c r="AE61" s="47">
        <f t="shared" si="135"/>
        <v>246</v>
      </c>
      <c r="AF61" s="45">
        <v>5</v>
      </c>
      <c r="AG61" s="48">
        <f t="shared" si="136"/>
        <v>411</v>
      </c>
      <c r="AH61" s="43">
        <v>11</v>
      </c>
      <c r="AI61" s="47">
        <f t="shared" si="12"/>
        <v>400</v>
      </c>
      <c r="AJ61" s="45">
        <v>6</v>
      </c>
      <c r="AK61" s="48">
        <f t="shared" si="137"/>
        <v>491</v>
      </c>
      <c r="AL61" s="43">
        <f>6*4+5</f>
        <v>29</v>
      </c>
      <c r="AM61" s="47">
        <f t="shared" si="138"/>
        <v>462</v>
      </c>
      <c r="AN61" s="45">
        <v>3</v>
      </c>
      <c r="AO61" s="48">
        <f t="shared" si="139"/>
        <v>269</v>
      </c>
      <c r="AP61" s="43">
        <v>29</v>
      </c>
      <c r="AQ61" s="47">
        <f t="shared" si="16"/>
        <v>240</v>
      </c>
      <c r="AR61" s="45">
        <v>4</v>
      </c>
      <c r="AS61" s="48">
        <f t="shared" si="140"/>
        <v>349</v>
      </c>
      <c r="AT61" s="43">
        <v>6</v>
      </c>
      <c r="AU61" s="47">
        <f t="shared" si="141"/>
        <v>343</v>
      </c>
      <c r="AV61" s="45"/>
      <c r="AW61" s="48">
        <f t="shared" si="142"/>
        <v>6</v>
      </c>
      <c r="AX61" s="43"/>
      <c r="AY61" s="47">
        <f t="shared" si="143"/>
        <v>6</v>
      </c>
      <c r="AZ61" s="45">
        <v>1</v>
      </c>
      <c r="BA61" s="48">
        <f t="shared" si="144"/>
        <v>80</v>
      </c>
      <c r="BB61" s="43">
        <v>80</v>
      </c>
      <c r="BC61" s="47">
        <f t="shared" si="145"/>
        <v>0</v>
      </c>
      <c r="BD61" s="45"/>
      <c r="BE61" s="48">
        <f t="shared" si="146"/>
        <v>80</v>
      </c>
      <c r="BF61" s="43">
        <v>63</v>
      </c>
      <c r="BG61" s="47">
        <f t="shared" si="147"/>
        <v>17</v>
      </c>
      <c r="BH61" s="45">
        <v>1</v>
      </c>
      <c r="BI61" s="48">
        <f t="shared" si="148"/>
        <v>143</v>
      </c>
      <c r="BJ61" s="43">
        <v>29</v>
      </c>
      <c r="BK61" s="47">
        <f t="shared" si="149"/>
        <v>114</v>
      </c>
      <c r="BL61" s="45">
        <v>1</v>
      </c>
      <c r="BM61" s="48">
        <f t="shared" si="150"/>
        <v>109</v>
      </c>
      <c r="BN61" s="43"/>
      <c r="BO61" s="47">
        <f t="shared" si="151"/>
        <v>109</v>
      </c>
      <c r="BP61" s="45"/>
      <c r="BQ61" s="48">
        <f t="shared" si="152"/>
        <v>0</v>
      </c>
      <c r="BR61" s="43"/>
      <c r="BS61" s="47">
        <f t="shared" si="153"/>
        <v>0</v>
      </c>
      <c r="BT61" s="45"/>
      <c r="BU61" s="48">
        <f t="shared" si="154"/>
        <v>0</v>
      </c>
      <c r="BV61" s="43"/>
      <c r="BW61" s="47">
        <f t="shared" si="155"/>
        <v>0</v>
      </c>
      <c r="BX61" s="45"/>
      <c r="BY61" s="48">
        <f t="shared" si="156"/>
        <v>0</v>
      </c>
      <c r="BZ61" s="43"/>
      <c r="CA61" s="47">
        <f t="shared" si="157"/>
        <v>0</v>
      </c>
      <c r="CB61" s="45"/>
      <c r="CC61" s="48">
        <f t="shared" si="158"/>
        <v>0</v>
      </c>
      <c r="CD61" s="43"/>
      <c r="CE61" s="47">
        <f t="shared" si="159"/>
        <v>0</v>
      </c>
      <c r="CF61" s="45"/>
      <c r="CG61" s="48">
        <f t="shared" si="160"/>
        <v>0</v>
      </c>
      <c r="CH61" s="43"/>
      <c r="CI61" s="47">
        <f t="shared" si="161"/>
        <v>0</v>
      </c>
      <c r="CJ61" s="45"/>
      <c r="CK61" s="48">
        <f t="shared" si="162"/>
        <v>0</v>
      </c>
    </row>
    <row r="62" spans="1:89" s="89" customFormat="1" ht="17.25" customHeight="1" x14ac:dyDescent="0.25">
      <c r="A62" s="152" t="s">
        <v>99</v>
      </c>
      <c r="B62" s="9" t="s">
        <v>7</v>
      </c>
      <c r="C62" s="17">
        <v>5.0999999999999996</v>
      </c>
      <c r="D62" s="9" t="s">
        <v>362</v>
      </c>
      <c r="E62" s="13">
        <v>10</v>
      </c>
      <c r="F62" s="43">
        <v>12</v>
      </c>
      <c r="G62" s="47">
        <v>6</v>
      </c>
      <c r="H62" s="45">
        <v>1</v>
      </c>
      <c r="I62" s="48">
        <f t="shared" si="126"/>
        <v>22</v>
      </c>
      <c r="J62" s="43">
        <v>10</v>
      </c>
      <c r="K62" s="47">
        <f t="shared" si="127"/>
        <v>12</v>
      </c>
      <c r="L62" s="45">
        <v>1</v>
      </c>
      <c r="M62" s="48">
        <f t="shared" si="128"/>
        <v>20</v>
      </c>
      <c r="N62" s="43">
        <v>12</v>
      </c>
      <c r="O62" s="47">
        <v>8</v>
      </c>
      <c r="P62" s="45">
        <v>1</v>
      </c>
      <c r="Q62" s="48">
        <f t="shared" si="129"/>
        <v>22</v>
      </c>
      <c r="R62" s="43">
        <v>16</v>
      </c>
      <c r="S62" s="47">
        <f t="shared" si="130"/>
        <v>6</v>
      </c>
      <c r="T62" s="45"/>
      <c r="U62" s="48">
        <f t="shared" si="131"/>
        <v>16</v>
      </c>
      <c r="V62" s="43">
        <v>7</v>
      </c>
      <c r="W62" s="47">
        <f t="shared" si="132"/>
        <v>9</v>
      </c>
      <c r="X62" s="49">
        <v>1</v>
      </c>
      <c r="Y62" s="48">
        <f t="shared" si="133"/>
        <v>17</v>
      </c>
      <c r="Z62" s="43">
        <v>7</v>
      </c>
      <c r="AA62" s="47">
        <f t="shared" si="8"/>
        <v>10</v>
      </c>
      <c r="AB62" s="49">
        <v>1</v>
      </c>
      <c r="AC62" s="48">
        <f t="shared" si="134"/>
        <v>17</v>
      </c>
      <c r="AD62" s="43">
        <v>6</v>
      </c>
      <c r="AE62" s="47">
        <f t="shared" si="135"/>
        <v>11</v>
      </c>
      <c r="AF62" s="45">
        <v>1</v>
      </c>
      <c r="AG62" s="48">
        <f t="shared" si="136"/>
        <v>16</v>
      </c>
      <c r="AH62" s="43">
        <v>9</v>
      </c>
      <c r="AI62" s="47">
        <f t="shared" si="12"/>
        <v>7</v>
      </c>
      <c r="AJ62" s="45">
        <v>1</v>
      </c>
      <c r="AK62" s="48">
        <f t="shared" si="137"/>
        <v>19</v>
      </c>
      <c r="AL62" s="43">
        <v>10</v>
      </c>
      <c r="AM62" s="47">
        <f t="shared" si="138"/>
        <v>9</v>
      </c>
      <c r="AN62" s="45">
        <v>1</v>
      </c>
      <c r="AO62" s="48">
        <f t="shared" si="139"/>
        <v>20</v>
      </c>
      <c r="AP62" s="43">
        <v>8</v>
      </c>
      <c r="AQ62" s="47">
        <f t="shared" si="16"/>
        <v>12</v>
      </c>
      <c r="AR62" s="45">
        <v>1</v>
      </c>
      <c r="AS62" s="48">
        <f t="shared" si="140"/>
        <v>18</v>
      </c>
      <c r="AT62" s="43">
        <v>4</v>
      </c>
      <c r="AU62" s="47">
        <f t="shared" si="141"/>
        <v>14</v>
      </c>
      <c r="AV62" s="45">
        <v>2</v>
      </c>
      <c r="AW62" s="48">
        <f t="shared" si="142"/>
        <v>24</v>
      </c>
      <c r="AX62" s="43">
        <v>14</v>
      </c>
      <c r="AY62" s="47">
        <f t="shared" si="143"/>
        <v>10</v>
      </c>
      <c r="AZ62" s="45">
        <v>1</v>
      </c>
      <c r="BA62" s="48">
        <f t="shared" si="144"/>
        <v>24</v>
      </c>
      <c r="BB62" s="43">
        <v>14</v>
      </c>
      <c r="BC62" s="47">
        <f t="shared" si="145"/>
        <v>10</v>
      </c>
      <c r="BD62" s="45">
        <v>1</v>
      </c>
      <c r="BE62" s="48">
        <f t="shared" si="146"/>
        <v>24</v>
      </c>
      <c r="BF62" s="43">
        <v>18</v>
      </c>
      <c r="BG62" s="47">
        <f t="shared" si="147"/>
        <v>6</v>
      </c>
      <c r="BH62" s="45"/>
      <c r="BI62" s="48">
        <f t="shared" si="148"/>
        <v>18</v>
      </c>
      <c r="BJ62" s="43">
        <v>15</v>
      </c>
      <c r="BK62" s="47">
        <f t="shared" si="149"/>
        <v>3</v>
      </c>
      <c r="BL62" s="45">
        <v>1</v>
      </c>
      <c r="BM62" s="48">
        <f t="shared" si="150"/>
        <v>25</v>
      </c>
      <c r="BN62" s="43"/>
      <c r="BO62" s="47">
        <f t="shared" si="151"/>
        <v>25</v>
      </c>
      <c r="BP62" s="45"/>
      <c r="BQ62" s="48">
        <f t="shared" si="152"/>
        <v>0</v>
      </c>
      <c r="BR62" s="43"/>
      <c r="BS62" s="47">
        <f t="shared" si="153"/>
        <v>0</v>
      </c>
      <c r="BT62" s="45"/>
      <c r="BU62" s="48">
        <f t="shared" si="154"/>
        <v>0</v>
      </c>
      <c r="BV62" s="43"/>
      <c r="BW62" s="47">
        <f t="shared" si="155"/>
        <v>0</v>
      </c>
      <c r="BX62" s="45"/>
      <c r="BY62" s="48">
        <f t="shared" si="156"/>
        <v>0</v>
      </c>
      <c r="BZ62" s="43"/>
      <c r="CA62" s="47">
        <f t="shared" si="157"/>
        <v>0</v>
      </c>
      <c r="CB62" s="45"/>
      <c r="CC62" s="48">
        <f t="shared" si="158"/>
        <v>0</v>
      </c>
      <c r="CD62" s="43"/>
      <c r="CE62" s="47">
        <f t="shared" si="159"/>
        <v>0</v>
      </c>
      <c r="CF62" s="45"/>
      <c r="CG62" s="48">
        <f t="shared" si="160"/>
        <v>0</v>
      </c>
      <c r="CH62" s="43"/>
      <c r="CI62" s="47">
        <f t="shared" si="161"/>
        <v>0</v>
      </c>
      <c r="CJ62" s="45"/>
      <c r="CK62" s="48">
        <f t="shared" si="162"/>
        <v>0</v>
      </c>
    </row>
    <row r="63" spans="1:89" s="89" customFormat="1" ht="17.25" customHeight="1" x14ac:dyDescent="0.25">
      <c r="A63" s="41" t="s">
        <v>382</v>
      </c>
      <c r="B63" s="9" t="s">
        <v>383</v>
      </c>
      <c r="C63" s="17">
        <v>4.5</v>
      </c>
      <c r="D63" s="9" t="s">
        <v>359</v>
      </c>
      <c r="E63" s="13">
        <v>15</v>
      </c>
      <c r="F63" s="43"/>
      <c r="G63" s="47"/>
      <c r="H63" s="45"/>
      <c r="I63" s="48"/>
      <c r="J63" s="43"/>
      <c r="K63" s="47"/>
      <c r="L63" s="45"/>
      <c r="M63" s="48"/>
      <c r="N63" s="43"/>
      <c r="O63" s="47"/>
      <c r="P63" s="45"/>
      <c r="Q63" s="48"/>
      <c r="R63" s="43"/>
      <c r="S63" s="47"/>
      <c r="T63" s="45"/>
      <c r="U63" s="48"/>
      <c r="V63" s="43"/>
      <c r="W63" s="47"/>
      <c r="X63" s="49"/>
      <c r="Y63" s="48"/>
      <c r="Z63" s="43"/>
      <c r="AA63" s="47"/>
      <c r="AB63" s="49"/>
      <c r="AC63" s="48"/>
      <c r="AD63" s="43"/>
      <c r="AE63" s="47"/>
      <c r="AF63" s="45"/>
      <c r="AG63" s="48"/>
      <c r="AH63" s="43"/>
      <c r="AI63" s="47"/>
      <c r="AJ63" s="45"/>
      <c r="AK63" s="48"/>
      <c r="AL63" s="43"/>
      <c r="AM63" s="47"/>
      <c r="AN63" s="45"/>
      <c r="AO63" s="48"/>
      <c r="AP63" s="43"/>
      <c r="AQ63" s="47"/>
      <c r="AR63" s="45"/>
      <c r="AS63" s="48"/>
      <c r="AT63" s="43"/>
      <c r="AU63" s="47"/>
      <c r="AV63" s="45"/>
      <c r="AW63" s="48"/>
      <c r="AX63" s="43"/>
      <c r="AY63" s="47"/>
      <c r="AZ63" s="45"/>
      <c r="BA63" s="48"/>
      <c r="BB63" s="43">
        <v>0</v>
      </c>
      <c r="BC63" s="47"/>
      <c r="BD63" s="45">
        <v>1</v>
      </c>
      <c r="BE63" s="48">
        <f t="shared" si="146"/>
        <v>15</v>
      </c>
      <c r="BF63" s="43">
        <v>0</v>
      </c>
      <c r="BG63" s="47">
        <f t="shared" si="147"/>
        <v>15</v>
      </c>
      <c r="BH63" s="45">
        <v>1</v>
      </c>
      <c r="BI63" s="48"/>
      <c r="BJ63" s="43">
        <v>16</v>
      </c>
      <c r="BK63" s="47">
        <f t="shared" ref="BK63:BK65" si="187">+BI63-BJ63</f>
        <v>-16</v>
      </c>
      <c r="BL63" s="45">
        <v>1</v>
      </c>
      <c r="BM63" s="48">
        <f t="shared" ref="BM63:BM65" si="188">+BJ63+BL63*$E63</f>
        <v>31</v>
      </c>
      <c r="BN63" s="43"/>
      <c r="BO63" s="47">
        <f t="shared" si="151"/>
        <v>31</v>
      </c>
      <c r="BP63" s="45"/>
      <c r="BQ63" s="48">
        <f t="shared" si="152"/>
        <v>0</v>
      </c>
      <c r="BR63" s="43"/>
      <c r="BS63" s="47">
        <f t="shared" si="153"/>
        <v>0</v>
      </c>
      <c r="BT63" s="45"/>
      <c r="BU63" s="48">
        <f t="shared" si="154"/>
        <v>0</v>
      </c>
      <c r="BV63" s="43"/>
      <c r="BW63" s="47">
        <f t="shared" si="155"/>
        <v>0</v>
      </c>
      <c r="BX63" s="45"/>
      <c r="BY63" s="48">
        <f t="shared" si="156"/>
        <v>0</v>
      </c>
      <c r="BZ63" s="43"/>
      <c r="CA63" s="47">
        <f t="shared" si="157"/>
        <v>0</v>
      </c>
      <c r="CB63" s="45"/>
      <c r="CC63" s="48">
        <f t="shared" si="158"/>
        <v>0</v>
      </c>
      <c r="CD63" s="43"/>
      <c r="CE63" s="47">
        <f t="shared" si="159"/>
        <v>0</v>
      </c>
      <c r="CF63" s="45"/>
      <c r="CG63" s="48">
        <f t="shared" si="160"/>
        <v>0</v>
      </c>
      <c r="CH63" s="43"/>
      <c r="CI63" s="47">
        <f t="shared" si="161"/>
        <v>0</v>
      </c>
      <c r="CJ63" s="45"/>
      <c r="CK63" s="48">
        <f t="shared" si="162"/>
        <v>0</v>
      </c>
    </row>
    <row r="64" spans="1:89" s="89" customFormat="1" ht="17.25" customHeight="1" x14ac:dyDescent="0.25">
      <c r="A64" s="41" t="s">
        <v>381</v>
      </c>
      <c r="B64" s="9" t="s">
        <v>7</v>
      </c>
      <c r="C64" s="17">
        <v>4.5</v>
      </c>
      <c r="D64" s="9" t="s">
        <v>359</v>
      </c>
      <c r="E64" s="13">
        <v>15</v>
      </c>
      <c r="F64" s="43"/>
      <c r="G64" s="47"/>
      <c r="H64" s="45"/>
      <c r="I64" s="48"/>
      <c r="J64" s="43"/>
      <c r="K64" s="47"/>
      <c r="L64" s="45"/>
      <c r="M64" s="48"/>
      <c r="N64" s="43"/>
      <c r="O64" s="47"/>
      <c r="P64" s="45"/>
      <c r="Q64" s="48"/>
      <c r="R64" s="43"/>
      <c r="S64" s="47"/>
      <c r="T64" s="45"/>
      <c r="U64" s="48"/>
      <c r="V64" s="43"/>
      <c r="W64" s="47"/>
      <c r="X64" s="49"/>
      <c r="Y64" s="48"/>
      <c r="Z64" s="43"/>
      <c r="AA64" s="47"/>
      <c r="AB64" s="49"/>
      <c r="AC64" s="48"/>
      <c r="AD64" s="43"/>
      <c r="AE64" s="47"/>
      <c r="AF64" s="45"/>
      <c r="AG64" s="48"/>
      <c r="AH64" s="43"/>
      <c r="AI64" s="47"/>
      <c r="AJ64" s="45"/>
      <c r="AK64" s="48"/>
      <c r="AL64" s="43"/>
      <c r="AM64" s="47"/>
      <c r="AN64" s="45"/>
      <c r="AO64" s="48"/>
      <c r="AP64" s="43"/>
      <c r="AQ64" s="47"/>
      <c r="AR64" s="45"/>
      <c r="AS64" s="48"/>
      <c r="AT64" s="43"/>
      <c r="AU64" s="47"/>
      <c r="AV64" s="45"/>
      <c r="AW64" s="48"/>
      <c r="AX64" s="43"/>
      <c r="AY64" s="47"/>
      <c r="AZ64" s="45"/>
      <c r="BA64" s="48"/>
      <c r="BB64" s="43"/>
      <c r="BC64" s="47"/>
      <c r="BD64" s="45">
        <v>1</v>
      </c>
      <c r="BE64" s="48">
        <f t="shared" si="146"/>
        <v>15</v>
      </c>
      <c r="BF64" s="43">
        <v>15</v>
      </c>
      <c r="BG64" s="47">
        <f t="shared" si="147"/>
        <v>0</v>
      </c>
      <c r="BH64" s="45"/>
      <c r="BI64" s="48">
        <f t="shared" si="148"/>
        <v>15</v>
      </c>
      <c r="BJ64" s="43">
        <v>17</v>
      </c>
      <c r="BK64" s="47">
        <f t="shared" si="187"/>
        <v>-2</v>
      </c>
      <c r="BL64" s="45">
        <v>1</v>
      </c>
      <c r="BM64" s="48">
        <f t="shared" si="188"/>
        <v>32</v>
      </c>
      <c r="BN64" s="43"/>
      <c r="BO64" s="47">
        <f t="shared" ref="BO64:BO65" si="189">+BM64-BN64</f>
        <v>32</v>
      </c>
      <c r="BP64" s="45"/>
      <c r="BQ64" s="48">
        <f t="shared" ref="BQ64:BQ65" si="190">+BN64+BP64*$E64</f>
        <v>0</v>
      </c>
      <c r="BR64" s="43"/>
      <c r="BS64" s="47">
        <f t="shared" ref="BS64:BS65" si="191">+BQ64-BR64</f>
        <v>0</v>
      </c>
      <c r="BT64" s="45"/>
      <c r="BU64" s="48">
        <f t="shared" ref="BU64:BU65" si="192">+BR64+BT64*$E64</f>
        <v>0</v>
      </c>
      <c r="BV64" s="43"/>
      <c r="BW64" s="47">
        <f t="shared" ref="BW64:BW65" si="193">+BU64-BV64</f>
        <v>0</v>
      </c>
      <c r="BX64" s="45"/>
      <c r="BY64" s="48">
        <f t="shared" ref="BY64:BY65" si="194">+BV64+BX64*$E64</f>
        <v>0</v>
      </c>
      <c r="BZ64" s="43"/>
      <c r="CA64" s="47">
        <f t="shared" ref="CA64:CA65" si="195">+BY64-BZ64</f>
        <v>0</v>
      </c>
      <c r="CB64" s="45"/>
      <c r="CC64" s="48">
        <f t="shared" ref="CC64:CC65" si="196">+BZ64+CB64*$E64</f>
        <v>0</v>
      </c>
      <c r="CD64" s="43"/>
      <c r="CE64" s="47">
        <f t="shared" ref="CE64:CE65" si="197">+CC64-CD64</f>
        <v>0</v>
      </c>
      <c r="CF64" s="45"/>
      <c r="CG64" s="48">
        <f t="shared" ref="CG64:CG65" si="198">+CD64+CF64*$E64</f>
        <v>0</v>
      </c>
      <c r="CH64" s="43"/>
      <c r="CI64" s="47">
        <f t="shared" ref="CI64:CI65" si="199">+CG64-CH64</f>
        <v>0</v>
      </c>
      <c r="CJ64" s="45"/>
      <c r="CK64" s="48">
        <f t="shared" ref="CK64:CK65" si="200">+CH64+CJ64*$E64</f>
        <v>0</v>
      </c>
    </row>
    <row r="65" spans="1:89" s="89" customFormat="1" ht="17.25" customHeight="1" x14ac:dyDescent="0.25">
      <c r="A65" s="41" t="s">
        <v>384</v>
      </c>
      <c r="B65" s="9" t="s">
        <v>383</v>
      </c>
      <c r="C65" s="17">
        <v>13.3</v>
      </c>
      <c r="D65" s="9" t="s">
        <v>359</v>
      </c>
      <c r="E65" s="13">
        <v>40</v>
      </c>
      <c r="F65" s="43"/>
      <c r="G65" s="47"/>
      <c r="H65" s="45"/>
      <c r="I65" s="48"/>
      <c r="J65" s="43"/>
      <c r="K65" s="47"/>
      <c r="L65" s="45"/>
      <c r="M65" s="48"/>
      <c r="N65" s="43"/>
      <c r="O65" s="47"/>
      <c r="P65" s="45"/>
      <c r="Q65" s="48"/>
      <c r="R65" s="43"/>
      <c r="S65" s="47"/>
      <c r="T65" s="45"/>
      <c r="U65" s="48"/>
      <c r="V65" s="43"/>
      <c r="W65" s="47"/>
      <c r="X65" s="49"/>
      <c r="Y65" s="48"/>
      <c r="Z65" s="43"/>
      <c r="AA65" s="47"/>
      <c r="AB65" s="49"/>
      <c r="AC65" s="48"/>
      <c r="AD65" s="43"/>
      <c r="AE65" s="47"/>
      <c r="AF65" s="45"/>
      <c r="AG65" s="48"/>
      <c r="AH65" s="43"/>
      <c r="AI65" s="47"/>
      <c r="AJ65" s="45"/>
      <c r="AK65" s="48"/>
      <c r="AL65" s="43"/>
      <c r="AM65" s="47"/>
      <c r="AN65" s="45"/>
      <c r="AO65" s="48"/>
      <c r="AP65" s="43"/>
      <c r="AQ65" s="47"/>
      <c r="AR65" s="45"/>
      <c r="AS65" s="48"/>
      <c r="AT65" s="43"/>
      <c r="AU65" s="47"/>
      <c r="AV65" s="45"/>
      <c r="AW65" s="48"/>
      <c r="AX65" s="43"/>
      <c r="AY65" s="47"/>
      <c r="AZ65" s="45"/>
      <c r="BA65" s="48"/>
      <c r="BB65" s="43"/>
      <c r="BC65" s="47"/>
      <c r="BD65" s="45"/>
      <c r="BE65" s="48"/>
      <c r="BF65" s="43"/>
      <c r="BG65" s="47"/>
      <c r="BH65" s="45"/>
      <c r="BI65" s="48"/>
      <c r="BJ65" s="43">
        <v>18</v>
      </c>
      <c r="BK65" s="47">
        <f t="shared" si="187"/>
        <v>-18</v>
      </c>
      <c r="BL65" s="45">
        <v>1</v>
      </c>
      <c r="BM65" s="48">
        <f t="shared" si="188"/>
        <v>58</v>
      </c>
      <c r="BN65" s="43"/>
      <c r="BO65" s="47">
        <f t="shared" si="189"/>
        <v>58</v>
      </c>
      <c r="BP65" s="45"/>
      <c r="BQ65" s="48">
        <f t="shared" si="190"/>
        <v>0</v>
      </c>
      <c r="BR65" s="43"/>
      <c r="BS65" s="47">
        <f t="shared" si="191"/>
        <v>0</v>
      </c>
      <c r="BT65" s="45"/>
      <c r="BU65" s="48">
        <f t="shared" si="192"/>
        <v>0</v>
      </c>
      <c r="BV65" s="43"/>
      <c r="BW65" s="47">
        <f t="shared" si="193"/>
        <v>0</v>
      </c>
      <c r="BX65" s="45"/>
      <c r="BY65" s="48">
        <f t="shared" si="194"/>
        <v>0</v>
      </c>
      <c r="BZ65" s="43"/>
      <c r="CA65" s="47">
        <f t="shared" si="195"/>
        <v>0</v>
      </c>
      <c r="CB65" s="45"/>
      <c r="CC65" s="48">
        <f t="shared" si="196"/>
        <v>0</v>
      </c>
      <c r="CD65" s="43"/>
      <c r="CE65" s="47">
        <f t="shared" si="197"/>
        <v>0</v>
      </c>
      <c r="CF65" s="45"/>
      <c r="CG65" s="48">
        <f t="shared" si="198"/>
        <v>0</v>
      </c>
      <c r="CH65" s="43"/>
      <c r="CI65" s="47">
        <f t="shared" si="199"/>
        <v>0</v>
      </c>
      <c r="CJ65" s="45"/>
      <c r="CK65" s="48">
        <f t="shared" si="200"/>
        <v>0</v>
      </c>
    </row>
    <row r="66" spans="1:89" s="89" customFormat="1" ht="18" hidden="1" customHeight="1" x14ac:dyDescent="0.25">
      <c r="A66" s="152" t="s">
        <v>373</v>
      </c>
      <c r="B66" s="9" t="s">
        <v>7</v>
      </c>
      <c r="C66" s="17">
        <v>40</v>
      </c>
      <c r="D66" s="9" t="s">
        <v>9</v>
      </c>
      <c r="E66" s="13">
        <v>40</v>
      </c>
      <c r="F66" s="43">
        <v>9</v>
      </c>
      <c r="G66" s="47">
        <v>0</v>
      </c>
      <c r="H66" s="45"/>
      <c r="I66" s="48">
        <f>+F66+H66*$E66</f>
        <v>9</v>
      </c>
      <c r="J66" s="43">
        <v>8</v>
      </c>
      <c r="K66" s="47">
        <f>+I66-J66</f>
        <v>1</v>
      </c>
      <c r="L66" s="45"/>
      <c r="M66" s="48">
        <f>+J66+L66*$E66</f>
        <v>8</v>
      </c>
      <c r="N66" s="43">
        <v>7</v>
      </c>
      <c r="O66" s="47">
        <v>1</v>
      </c>
      <c r="P66" s="45">
        <v>0</v>
      </c>
      <c r="Q66" s="48">
        <f>+N66+P66*$E66</f>
        <v>7</v>
      </c>
      <c r="R66" s="43"/>
      <c r="S66" s="47">
        <f>+Q66-R66</f>
        <v>7</v>
      </c>
      <c r="T66" s="45"/>
      <c r="U66" s="48">
        <f>+R66+T66*$E66</f>
        <v>0</v>
      </c>
      <c r="V66" s="43"/>
      <c r="W66" s="47">
        <f>+U66-V66</f>
        <v>0</v>
      </c>
      <c r="X66" s="49">
        <v>3</v>
      </c>
      <c r="Y66" s="48">
        <f>+V66+X66*$E66</f>
        <v>120</v>
      </c>
      <c r="Z66" s="43">
        <f>80+32</f>
        <v>112</v>
      </c>
      <c r="AA66" s="47">
        <f t="shared" si="8"/>
        <v>8</v>
      </c>
      <c r="AB66" s="45"/>
      <c r="AC66" s="48">
        <f>+Z66+AB66*$E66</f>
        <v>112</v>
      </c>
      <c r="AD66" s="43">
        <v>87</v>
      </c>
      <c r="AE66" s="47">
        <f>+AC66-AD66</f>
        <v>25</v>
      </c>
      <c r="AF66" s="45"/>
      <c r="AG66" s="48">
        <f>+AD66+AF66*$E66</f>
        <v>87</v>
      </c>
      <c r="AH66" s="43">
        <v>48</v>
      </c>
      <c r="AI66" s="47">
        <f t="shared" si="12"/>
        <v>39</v>
      </c>
      <c r="AJ66" s="45">
        <v>1</v>
      </c>
      <c r="AK66" s="48">
        <f>+AH66+AJ66*$E66</f>
        <v>88</v>
      </c>
      <c r="AL66" s="43">
        <v>54</v>
      </c>
      <c r="AM66" s="47">
        <f>+AK66-AL66</f>
        <v>34</v>
      </c>
      <c r="AN66" s="45"/>
      <c r="AO66" s="48">
        <f>+AL66+AN66*$E66</f>
        <v>54</v>
      </c>
      <c r="AP66" s="43">
        <v>29</v>
      </c>
      <c r="AQ66" s="47">
        <f t="shared" si="16"/>
        <v>25</v>
      </c>
      <c r="AR66" s="45">
        <v>1</v>
      </c>
      <c r="AS66" s="48">
        <f>+AP66+AR66*$E66</f>
        <v>69</v>
      </c>
      <c r="AT66" s="43">
        <v>30</v>
      </c>
      <c r="AU66" s="47">
        <f>+AS66-AT66</f>
        <v>39</v>
      </c>
      <c r="AV66" s="45">
        <v>1</v>
      </c>
      <c r="AW66" s="48">
        <f>+AT66+AV66*$E66</f>
        <v>70</v>
      </c>
      <c r="AX66" s="43">
        <v>40</v>
      </c>
      <c r="AY66" s="47">
        <f>+AW66-AX66</f>
        <v>30</v>
      </c>
      <c r="AZ66" s="45">
        <v>1</v>
      </c>
      <c r="BA66" s="48">
        <f>+AX66+AZ66*$E66</f>
        <v>80</v>
      </c>
      <c r="BB66" s="43">
        <v>50</v>
      </c>
      <c r="BC66" s="47">
        <f>+BA66-BB66</f>
        <v>30</v>
      </c>
      <c r="BD66" s="45">
        <v>1</v>
      </c>
      <c r="BE66" s="48">
        <f>+BB66+BD66*$E66</f>
        <v>90</v>
      </c>
      <c r="BF66" s="43">
        <v>67</v>
      </c>
      <c r="BG66" s="47">
        <f>+BE66-BF66</f>
        <v>23</v>
      </c>
      <c r="BH66" s="45">
        <v>1</v>
      </c>
      <c r="BI66" s="48">
        <f>+BF66+BH66*$E66</f>
        <v>107</v>
      </c>
      <c r="BJ66" s="43">
        <v>91</v>
      </c>
      <c r="BK66" s="47">
        <f>+BI66-BJ66</f>
        <v>16</v>
      </c>
      <c r="BL66" s="45"/>
      <c r="BM66" s="48">
        <f>+BJ66+BL66*$E66</f>
        <v>91</v>
      </c>
      <c r="BN66" s="43"/>
      <c r="BO66" s="47">
        <f>+BM66-BN66</f>
        <v>91</v>
      </c>
      <c r="BP66" s="45"/>
      <c r="BQ66" s="48">
        <f>+BN66+BP66*$E66</f>
        <v>0</v>
      </c>
      <c r="BR66" s="43"/>
      <c r="BS66" s="47">
        <f>+BQ66-BR66</f>
        <v>0</v>
      </c>
      <c r="BT66" s="45"/>
      <c r="BU66" s="48">
        <f>+BR66+BT66*$E66</f>
        <v>0</v>
      </c>
      <c r="BV66" s="43"/>
      <c r="BW66" s="47">
        <f>+BU66-BV66</f>
        <v>0</v>
      </c>
      <c r="BX66" s="45"/>
      <c r="BY66" s="48">
        <f>+BV66+BX66*$E66</f>
        <v>0</v>
      </c>
      <c r="BZ66" s="43"/>
      <c r="CA66" s="47">
        <f>+BY66-BZ66</f>
        <v>0</v>
      </c>
      <c r="CB66" s="45"/>
      <c r="CC66" s="48">
        <f>+BZ66+CB66*$E66</f>
        <v>0</v>
      </c>
      <c r="CD66" s="43"/>
      <c r="CE66" s="47">
        <f>+CC66-CD66</f>
        <v>0</v>
      </c>
      <c r="CF66" s="45"/>
      <c r="CG66" s="48">
        <f>+CD66+CF66*$E66</f>
        <v>0</v>
      </c>
      <c r="CH66" s="43"/>
      <c r="CI66" s="47">
        <f>+CG66-CH66</f>
        <v>0</v>
      </c>
      <c r="CJ66" s="45"/>
      <c r="CK66" s="48">
        <f>+CH66+CJ66*$E66</f>
        <v>0</v>
      </c>
    </row>
    <row r="67" spans="1:89" s="89" customFormat="1" ht="17.25" hidden="1" customHeight="1" x14ac:dyDescent="0.25">
      <c r="A67" s="152" t="s">
        <v>100</v>
      </c>
      <c r="B67" s="9" t="s">
        <v>7</v>
      </c>
      <c r="C67" s="17">
        <v>5.5</v>
      </c>
      <c r="D67" s="9" t="s">
        <v>361</v>
      </c>
      <c r="E67" s="13">
        <v>4</v>
      </c>
      <c r="F67" s="43">
        <v>9</v>
      </c>
      <c r="G67" s="47">
        <v>0</v>
      </c>
      <c r="H67" s="45"/>
      <c r="I67" s="48">
        <f t="shared" si="126"/>
        <v>9</v>
      </c>
      <c r="J67" s="43">
        <v>8</v>
      </c>
      <c r="K67" s="47">
        <f t="shared" si="127"/>
        <v>1</v>
      </c>
      <c r="L67" s="45"/>
      <c r="M67" s="48">
        <f t="shared" si="128"/>
        <v>8</v>
      </c>
      <c r="N67" s="43">
        <v>7</v>
      </c>
      <c r="O67" s="47">
        <v>1</v>
      </c>
      <c r="P67" s="45"/>
      <c r="Q67" s="48">
        <f t="shared" si="129"/>
        <v>7</v>
      </c>
      <c r="R67" s="43">
        <v>4</v>
      </c>
      <c r="S67" s="47">
        <f t="shared" si="130"/>
        <v>3</v>
      </c>
      <c r="T67" s="45">
        <v>1</v>
      </c>
      <c r="U67" s="48">
        <f t="shared" si="131"/>
        <v>8</v>
      </c>
      <c r="V67" s="43">
        <v>7</v>
      </c>
      <c r="W67" s="47">
        <f t="shared" si="132"/>
        <v>1</v>
      </c>
      <c r="X67" s="45"/>
      <c r="Y67" s="48">
        <f t="shared" si="133"/>
        <v>7</v>
      </c>
      <c r="Z67" s="43">
        <v>6</v>
      </c>
      <c r="AA67" s="47">
        <f t="shared" si="8"/>
        <v>1</v>
      </c>
      <c r="AB67" s="45"/>
      <c r="AC67" s="48">
        <f t="shared" si="134"/>
        <v>6</v>
      </c>
      <c r="AD67" s="43">
        <v>5</v>
      </c>
      <c r="AE67" s="47">
        <f t="shared" si="135"/>
        <v>1</v>
      </c>
      <c r="AF67" s="45"/>
      <c r="AG67" s="48">
        <f t="shared" si="136"/>
        <v>5</v>
      </c>
      <c r="AH67" s="43">
        <v>3</v>
      </c>
      <c r="AI67" s="47">
        <f t="shared" si="12"/>
        <v>2</v>
      </c>
      <c r="AJ67" s="45">
        <v>2</v>
      </c>
      <c r="AK67" s="48">
        <f t="shared" si="137"/>
        <v>11</v>
      </c>
      <c r="AL67" s="43">
        <v>10</v>
      </c>
      <c r="AM67" s="47">
        <f t="shared" si="138"/>
        <v>1</v>
      </c>
      <c r="AN67" s="45"/>
      <c r="AO67" s="48">
        <f t="shared" si="139"/>
        <v>10</v>
      </c>
      <c r="AP67" s="43">
        <v>9</v>
      </c>
      <c r="AQ67" s="47">
        <f t="shared" si="16"/>
        <v>1</v>
      </c>
      <c r="AR67" s="45"/>
      <c r="AS67" s="48">
        <f t="shared" si="140"/>
        <v>9</v>
      </c>
      <c r="AT67" s="43">
        <v>7</v>
      </c>
      <c r="AU67" s="47">
        <f t="shared" si="141"/>
        <v>2</v>
      </c>
      <c r="AV67" s="45"/>
      <c r="AW67" s="48">
        <f t="shared" si="142"/>
        <v>7</v>
      </c>
      <c r="AX67" s="43">
        <v>6</v>
      </c>
      <c r="AY67" s="47">
        <f t="shared" si="143"/>
        <v>1</v>
      </c>
      <c r="AZ67" s="45"/>
      <c r="BA67" s="48">
        <f t="shared" si="144"/>
        <v>6</v>
      </c>
      <c r="BB67" s="43">
        <v>5</v>
      </c>
      <c r="BC67" s="47">
        <f t="shared" ref="BC67:BC70" si="201">+BA67-BB67</f>
        <v>1</v>
      </c>
      <c r="BD67" s="45"/>
      <c r="BE67" s="48">
        <f t="shared" ref="BE67:BE70" si="202">+BB67+BD67*$E67</f>
        <v>5</v>
      </c>
      <c r="BF67" s="43">
        <v>4</v>
      </c>
      <c r="BG67" s="47">
        <f t="shared" ref="BG67:BG70" si="203">+BE67-BF67</f>
        <v>1</v>
      </c>
      <c r="BH67" s="45">
        <v>1</v>
      </c>
      <c r="BI67" s="48">
        <f t="shared" ref="BI67:BI70" si="204">+BF67+BH67*$E67</f>
        <v>8</v>
      </c>
      <c r="BJ67" s="43">
        <v>6</v>
      </c>
      <c r="BK67" s="47">
        <f t="shared" ref="BK67:BK70" si="205">+BI67-BJ67</f>
        <v>2</v>
      </c>
      <c r="BL67" s="45"/>
      <c r="BM67" s="48">
        <f t="shared" ref="BM67:BM70" si="206">+BJ67+BL67*$E67</f>
        <v>6</v>
      </c>
      <c r="BN67" s="43"/>
      <c r="BO67" s="47">
        <f t="shared" ref="BO67:BO70" si="207">+BM67-BN67</f>
        <v>6</v>
      </c>
      <c r="BP67" s="45"/>
      <c r="BQ67" s="48">
        <f t="shared" ref="BQ67:BQ70" si="208">+BN67+BP67*$E67</f>
        <v>0</v>
      </c>
      <c r="BR67" s="43"/>
      <c r="BS67" s="47">
        <f t="shared" ref="BS67:BS70" si="209">+BQ67-BR67</f>
        <v>0</v>
      </c>
      <c r="BT67" s="45"/>
      <c r="BU67" s="48">
        <f t="shared" ref="BU67:BU70" si="210">+BR67+BT67*$E67</f>
        <v>0</v>
      </c>
      <c r="BV67" s="43"/>
      <c r="BW67" s="47">
        <f t="shared" ref="BW67:BW70" si="211">+BU67-BV67</f>
        <v>0</v>
      </c>
      <c r="BX67" s="45"/>
      <c r="BY67" s="48">
        <f t="shared" ref="BY67:BY70" si="212">+BV67+BX67*$E67</f>
        <v>0</v>
      </c>
      <c r="BZ67" s="43"/>
      <c r="CA67" s="47">
        <f t="shared" ref="CA67:CA70" si="213">+BY67-BZ67</f>
        <v>0</v>
      </c>
      <c r="CB67" s="45"/>
      <c r="CC67" s="48">
        <f t="shared" ref="CC67:CC70" si="214">+BZ67+CB67*$E67</f>
        <v>0</v>
      </c>
      <c r="CD67" s="43"/>
      <c r="CE67" s="47">
        <f t="shared" ref="CE67:CE70" si="215">+CC67-CD67</f>
        <v>0</v>
      </c>
      <c r="CF67" s="45"/>
      <c r="CG67" s="48">
        <f t="shared" ref="CG67:CG70" si="216">+CD67+CF67*$E67</f>
        <v>0</v>
      </c>
      <c r="CH67" s="43"/>
      <c r="CI67" s="47">
        <f t="shared" ref="CI67:CI70" si="217">+CG67-CH67</f>
        <v>0</v>
      </c>
      <c r="CJ67" s="45"/>
      <c r="CK67" s="48">
        <f t="shared" ref="CK67:CK70" si="218">+CH67+CJ67*$E67</f>
        <v>0</v>
      </c>
    </row>
    <row r="68" spans="1:89" s="89" customFormat="1" ht="16.5" hidden="1" customHeight="1" x14ac:dyDescent="0.25">
      <c r="A68" s="152" t="s">
        <v>101</v>
      </c>
      <c r="B68" s="9" t="s">
        <v>7</v>
      </c>
      <c r="C68" s="17">
        <v>5.5</v>
      </c>
      <c r="D68" s="9" t="s">
        <v>361</v>
      </c>
      <c r="E68" s="13">
        <v>4</v>
      </c>
      <c r="F68" s="43">
        <v>3</v>
      </c>
      <c r="G68" s="47">
        <v>3</v>
      </c>
      <c r="H68" s="45">
        <v>1</v>
      </c>
      <c r="I68" s="48">
        <f t="shared" si="126"/>
        <v>7</v>
      </c>
      <c r="J68" s="43">
        <v>2</v>
      </c>
      <c r="K68" s="47">
        <f t="shared" si="127"/>
        <v>5</v>
      </c>
      <c r="L68" s="45">
        <v>1</v>
      </c>
      <c r="M68" s="48">
        <f t="shared" si="128"/>
        <v>6</v>
      </c>
      <c r="N68" s="43">
        <v>4</v>
      </c>
      <c r="O68" s="47">
        <v>2</v>
      </c>
      <c r="P68" s="45">
        <v>1</v>
      </c>
      <c r="Q68" s="48">
        <f t="shared" si="129"/>
        <v>8</v>
      </c>
      <c r="R68" s="43">
        <v>4</v>
      </c>
      <c r="S68" s="47">
        <f t="shared" si="130"/>
        <v>4</v>
      </c>
      <c r="T68" s="45">
        <v>1</v>
      </c>
      <c r="U68" s="48">
        <f t="shared" si="131"/>
        <v>8</v>
      </c>
      <c r="V68" s="43">
        <v>6</v>
      </c>
      <c r="W68" s="47">
        <f t="shared" si="132"/>
        <v>2</v>
      </c>
      <c r="X68" s="45"/>
      <c r="Y68" s="48">
        <f t="shared" si="133"/>
        <v>6</v>
      </c>
      <c r="Z68" s="43">
        <v>4</v>
      </c>
      <c r="AA68" s="47">
        <f t="shared" si="8"/>
        <v>2</v>
      </c>
      <c r="AB68" s="49">
        <v>1</v>
      </c>
      <c r="AC68" s="48">
        <f t="shared" si="134"/>
        <v>8</v>
      </c>
      <c r="AD68" s="43">
        <v>5</v>
      </c>
      <c r="AE68" s="47">
        <f t="shared" si="135"/>
        <v>3</v>
      </c>
      <c r="AF68" s="45">
        <v>1</v>
      </c>
      <c r="AG68" s="48">
        <f t="shared" si="136"/>
        <v>9</v>
      </c>
      <c r="AH68" s="43">
        <v>7</v>
      </c>
      <c r="AI68" s="47">
        <f t="shared" si="12"/>
        <v>2</v>
      </c>
      <c r="AJ68" s="45"/>
      <c r="AK68" s="48">
        <f t="shared" si="137"/>
        <v>7</v>
      </c>
      <c r="AL68" s="43">
        <v>4</v>
      </c>
      <c r="AM68" s="47">
        <f t="shared" si="138"/>
        <v>3</v>
      </c>
      <c r="AN68" s="45">
        <v>1</v>
      </c>
      <c r="AO68" s="48">
        <f t="shared" si="139"/>
        <v>8</v>
      </c>
      <c r="AP68" s="43">
        <v>5</v>
      </c>
      <c r="AQ68" s="47">
        <f t="shared" si="16"/>
        <v>3</v>
      </c>
      <c r="AR68" s="45"/>
      <c r="AS68" s="48">
        <f t="shared" si="140"/>
        <v>5</v>
      </c>
      <c r="AT68" s="43">
        <v>2</v>
      </c>
      <c r="AU68" s="47">
        <f t="shared" si="141"/>
        <v>3</v>
      </c>
      <c r="AV68" s="45">
        <v>1</v>
      </c>
      <c r="AW68" s="48">
        <f t="shared" si="142"/>
        <v>6</v>
      </c>
      <c r="AX68" s="43">
        <v>3</v>
      </c>
      <c r="AY68" s="47">
        <f t="shared" si="143"/>
        <v>3</v>
      </c>
      <c r="AZ68" s="45">
        <v>1</v>
      </c>
      <c r="BA68" s="48">
        <f t="shared" si="144"/>
        <v>7</v>
      </c>
      <c r="BB68" s="43">
        <v>5</v>
      </c>
      <c r="BC68" s="47">
        <f t="shared" si="201"/>
        <v>2</v>
      </c>
      <c r="BD68" s="45"/>
      <c r="BE68" s="48">
        <f t="shared" si="202"/>
        <v>5</v>
      </c>
      <c r="BF68" s="43">
        <v>4</v>
      </c>
      <c r="BG68" s="47">
        <f t="shared" si="203"/>
        <v>1</v>
      </c>
      <c r="BH68" s="45">
        <v>1</v>
      </c>
      <c r="BI68" s="48">
        <f t="shared" si="204"/>
        <v>8</v>
      </c>
      <c r="BJ68" s="43">
        <v>5</v>
      </c>
      <c r="BK68" s="47">
        <f t="shared" si="205"/>
        <v>3</v>
      </c>
      <c r="BL68" s="45"/>
      <c r="BM68" s="48">
        <f t="shared" si="206"/>
        <v>5</v>
      </c>
      <c r="BN68" s="43"/>
      <c r="BO68" s="47">
        <f t="shared" si="207"/>
        <v>5</v>
      </c>
      <c r="BP68" s="45"/>
      <c r="BQ68" s="48">
        <f t="shared" si="208"/>
        <v>0</v>
      </c>
      <c r="BR68" s="43"/>
      <c r="BS68" s="47">
        <f t="shared" si="209"/>
        <v>0</v>
      </c>
      <c r="BT68" s="45"/>
      <c r="BU68" s="48">
        <f t="shared" si="210"/>
        <v>0</v>
      </c>
      <c r="BV68" s="43"/>
      <c r="BW68" s="47">
        <f t="shared" si="211"/>
        <v>0</v>
      </c>
      <c r="BX68" s="45"/>
      <c r="BY68" s="48">
        <f t="shared" si="212"/>
        <v>0</v>
      </c>
      <c r="BZ68" s="43"/>
      <c r="CA68" s="47">
        <f t="shared" si="213"/>
        <v>0</v>
      </c>
      <c r="CB68" s="45"/>
      <c r="CC68" s="48">
        <f t="shared" si="214"/>
        <v>0</v>
      </c>
      <c r="CD68" s="43"/>
      <c r="CE68" s="47">
        <f t="shared" si="215"/>
        <v>0</v>
      </c>
      <c r="CF68" s="45"/>
      <c r="CG68" s="48">
        <f t="shared" si="216"/>
        <v>0</v>
      </c>
      <c r="CH68" s="43"/>
      <c r="CI68" s="47">
        <f t="shared" si="217"/>
        <v>0</v>
      </c>
      <c r="CJ68" s="45"/>
      <c r="CK68" s="48">
        <f t="shared" si="218"/>
        <v>0</v>
      </c>
    </row>
    <row r="69" spans="1:89" s="89" customFormat="1" ht="18" hidden="1" customHeight="1" x14ac:dyDescent="0.25">
      <c r="A69" s="152" t="s">
        <v>102</v>
      </c>
      <c r="B69" s="9" t="s">
        <v>7</v>
      </c>
      <c r="C69" s="17">
        <v>5.5</v>
      </c>
      <c r="D69" s="9" t="s">
        <v>361</v>
      </c>
      <c r="E69" s="13">
        <v>4</v>
      </c>
      <c r="F69" s="43">
        <v>7</v>
      </c>
      <c r="G69" s="47">
        <v>0</v>
      </c>
      <c r="H69" s="45"/>
      <c r="I69" s="48">
        <f t="shared" si="126"/>
        <v>7</v>
      </c>
      <c r="J69" s="43">
        <v>7</v>
      </c>
      <c r="K69" s="47">
        <f t="shared" si="127"/>
        <v>0</v>
      </c>
      <c r="L69" s="45"/>
      <c r="M69" s="48">
        <f t="shared" si="128"/>
        <v>7</v>
      </c>
      <c r="N69" s="43">
        <v>6</v>
      </c>
      <c r="O69" s="47">
        <v>1</v>
      </c>
      <c r="P69" s="45"/>
      <c r="Q69" s="48">
        <f t="shared" si="129"/>
        <v>6</v>
      </c>
      <c r="R69" s="43">
        <v>4</v>
      </c>
      <c r="S69" s="47">
        <f t="shared" si="130"/>
        <v>2</v>
      </c>
      <c r="T69" s="45"/>
      <c r="U69" s="48">
        <f t="shared" si="131"/>
        <v>4</v>
      </c>
      <c r="V69" s="43">
        <v>4</v>
      </c>
      <c r="W69" s="47">
        <f t="shared" si="132"/>
        <v>0</v>
      </c>
      <c r="X69" s="45"/>
      <c r="Y69" s="48">
        <f t="shared" si="133"/>
        <v>4</v>
      </c>
      <c r="Z69" s="43">
        <v>3</v>
      </c>
      <c r="AA69" s="47">
        <f t="shared" si="8"/>
        <v>1</v>
      </c>
      <c r="AB69" s="49">
        <v>1</v>
      </c>
      <c r="AC69" s="48">
        <f t="shared" si="134"/>
        <v>7</v>
      </c>
      <c r="AD69" s="43">
        <v>6</v>
      </c>
      <c r="AE69" s="47">
        <f t="shared" si="135"/>
        <v>1</v>
      </c>
      <c r="AF69" s="45"/>
      <c r="AG69" s="48">
        <f t="shared" si="136"/>
        <v>6</v>
      </c>
      <c r="AH69" s="43">
        <v>5</v>
      </c>
      <c r="AI69" s="47">
        <f t="shared" si="12"/>
        <v>1</v>
      </c>
      <c r="AJ69" s="45"/>
      <c r="AK69" s="48">
        <f t="shared" si="137"/>
        <v>5</v>
      </c>
      <c r="AL69" s="43">
        <v>3</v>
      </c>
      <c r="AM69" s="47">
        <f t="shared" si="138"/>
        <v>2</v>
      </c>
      <c r="AN69" s="45">
        <v>1</v>
      </c>
      <c r="AO69" s="48">
        <f t="shared" si="139"/>
        <v>7</v>
      </c>
      <c r="AP69" s="43">
        <v>5</v>
      </c>
      <c r="AQ69" s="47">
        <f t="shared" si="16"/>
        <v>2</v>
      </c>
      <c r="AR69" s="45"/>
      <c r="AS69" s="48">
        <f t="shared" si="140"/>
        <v>5</v>
      </c>
      <c r="AT69" s="43">
        <v>5</v>
      </c>
      <c r="AU69" s="47">
        <f t="shared" si="141"/>
        <v>0</v>
      </c>
      <c r="AV69" s="45"/>
      <c r="AW69" s="48">
        <f t="shared" si="142"/>
        <v>5</v>
      </c>
      <c r="AX69" s="43">
        <v>3</v>
      </c>
      <c r="AY69" s="47">
        <f t="shared" si="143"/>
        <v>2</v>
      </c>
      <c r="AZ69" s="45">
        <v>1</v>
      </c>
      <c r="BA69" s="48">
        <f t="shared" si="144"/>
        <v>7</v>
      </c>
      <c r="BB69" s="43">
        <v>6</v>
      </c>
      <c r="BC69" s="47">
        <f t="shared" si="201"/>
        <v>1</v>
      </c>
      <c r="BD69" s="45"/>
      <c r="BE69" s="48">
        <f t="shared" si="202"/>
        <v>6</v>
      </c>
      <c r="BF69" s="43">
        <v>5</v>
      </c>
      <c r="BG69" s="47">
        <f t="shared" si="203"/>
        <v>1</v>
      </c>
      <c r="BH69" s="45">
        <v>1</v>
      </c>
      <c r="BI69" s="48">
        <f t="shared" si="204"/>
        <v>9</v>
      </c>
      <c r="BJ69" s="43">
        <v>6</v>
      </c>
      <c r="BK69" s="47">
        <f t="shared" si="205"/>
        <v>3</v>
      </c>
      <c r="BL69" s="45"/>
      <c r="BM69" s="48">
        <f t="shared" si="206"/>
        <v>6</v>
      </c>
      <c r="BN69" s="43"/>
      <c r="BO69" s="47">
        <f t="shared" si="207"/>
        <v>6</v>
      </c>
      <c r="BP69" s="45"/>
      <c r="BQ69" s="48">
        <f t="shared" si="208"/>
        <v>0</v>
      </c>
      <c r="BR69" s="43"/>
      <c r="BS69" s="47">
        <f t="shared" si="209"/>
        <v>0</v>
      </c>
      <c r="BT69" s="45"/>
      <c r="BU69" s="48">
        <f t="shared" si="210"/>
        <v>0</v>
      </c>
      <c r="BV69" s="43"/>
      <c r="BW69" s="47">
        <f t="shared" si="211"/>
        <v>0</v>
      </c>
      <c r="BX69" s="45"/>
      <c r="BY69" s="48">
        <f t="shared" si="212"/>
        <v>0</v>
      </c>
      <c r="BZ69" s="43"/>
      <c r="CA69" s="47">
        <f t="shared" si="213"/>
        <v>0</v>
      </c>
      <c r="CB69" s="45"/>
      <c r="CC69" s="48">
        <f t="shared" si="214"/>
        <v>0</v>
      </c>
      <c r="CD69" s="43"/>
      <c r="CE69" s="47">
        <f t="shared" si="215"/>
        <v>0</v>
      </c>
      <c r="CF69" s="45"/>
      <c r="CG69" s="48">
        <f t="shared" si="216"/>
        <v>0</v>
      </c>
      <c r="CH69" s="43"/>
      <c r="CI69" s="47">
        <f t="shared" si="217"/>
        <v>0</v>
      </c>
      <c r="CJ69" s="45"/>
      <c r="CK69" s="48">
        <f t="shared" si="218"/>
        <v>0</v>
      </c>
    </row>
    <row r="70" spans="1:89" s="89" customFormat="1" ht="20.100000000000001" customHeight="1" x14ac:dyDescent="0.25">
      <c r="A70" s="152" t="s">
        <v>344</v>
      </c>
      <c r="B70" s="9" t="s">
        <v>7</v>
      </c>
      <c r="C70" s="17">
        <v>1.2</v>
      </c>
      <c r="D70" s="9" t="s">
        <v>9</v>
      </c>
      <c r="E70" s="13">
        <v>8</v>
      </c>
      <c r="F70" s="43">
        <v>18</v>
      </c>
      <c r="G70" s="47">
        <v>18</v>
      </c>
      <c r="H70" s="45">
        <v>2</v>
      </c>
      <c r="I70" s="48">
        <f t="shared" si="126"/>
        <v>34</v>
      </c>
      <c r="J70" s="43">
        <f>8*4</f>
        <v>32</v>
      </c>
      <c r="K70" s="47">
        <f t="shared" si="127"/>
        <v>2</v>
      </c>
      <c r="L70" s="45"/>
      <c r="M70" s="48">
        <f t="shared" si="128"/>
        <v>32</v>
      </c>
      <c r="N70" s="43">
        <v>32</v>
      </c>
      <c r="O70" s="47">
        <v>0</v>
      </c>
      <c r="P70" s="45"/>
      <c r="Q70" s="48">
        <f t="shared" si="129"/>
        <v>32</v>
      </c>
      <c r="R70" s="43">
        <v>10</v>
      </c>
      <c r="S70" s="47">
        <f t="shared" si="130"/>
        <v>22</v>
      </c>
      <c r="T70" s="45">
        <v>3</v>
      </c>
      <c r="U70" s="48">
        <f t="shared" si="131"/>
        <v>34</v>
      </c>
      <c r="V70" s="43">
        <v>13</v>
      </c>
      <c r="W70" s="47">
        <f t="shared" si="132"/>
        <v>21</v>
      </c>
      <c r="X70" s="49">
        <v>3</v>
      </c>
      <c r="Y70" s="48">
        <f t="shared" si="133"/>
        <v>37</v>
      </c>
      <c r="Z70" s="43">
        <f>3*8</f>
        <v>24</v>
      </c>
      <c r="AA70" s="47">
        <f t="shared" si="8"/>
        <v>13</v>
      </c>
      <c r="AB70" s="49">
        <v>2</v>
      </c>
      <c r="AC70" s="48">
        <f t="shared" si="134"/>
        <v>40</v>
      </c>
      <c r="AD70" s="43">
        <v>13</v>
      </c>
      <c r="AE70" s="47">
        <f t="shared" si="135"/>
        <v>27</v>
      </c>
      <c r="AF70" s="45">
        <v>2</v>
      </c>
      <c r="AG70" s="48">
        <f t="shared" si="136"/>
        <v>29</v>
      </c>
      <c r="AH70" s="43">
        <v>16</v>
      </c>
      <c r="AI70" s="47">
        <f t="shared" si="12"/>
        <v>13</v>
      </c>
      <c r="AJ70" s="45">
        <v>2</v>
      </c>
      <c r="AK70" s="48">
        <f t="shared" si="137"/>
        <v>32</v>
      </c>
      <c r="AL70" s="43">
        <v>22</v>
      </c>
      <c r="AM70" s="47">
        <f t="shared" si="138"/>
        <v>10</v>
      </c>
      <c r="AN70" s="45">
        <v>1</v>
      </c>
      <c r="AO70" s="48">
        <f t="shared" si="139"/>
        <v>30</v>
      </c>
      <c r="AP70" s="43">
        <v>5</v>
      </c>
      <c r="AQ70" s="47">
        <f t="shared" si="16"/>
        <v>25</v>
      </c>
      <c r="AR70" s="45">
        <v>4</v>
      </c>
      <c r="AS70" s="48">
        <f t="shared" si="140"/>
        <v>37</v>
      </c>
      <c r="AT70" s="43">
        <v>20</v>
      </c>
      <c r="AU70" s="47">
        <f t="shared" si="141"/>
        <v>17</v>
      </c>
      <c r="AV70" s="45">
        <v>2</v>
      </c>
      <c r="AW70" s="48">
        <f t="shared" si="142"/>
        <v>36</v>
      </c>
      <c r="AX70" s="43">
        <v>16</v>
      </c>
      <c r="AY70" s="47">
        <f t="shared" si="143"/>
        <v>20</v>
      </c>
      <c r="AZ70" s="45">
        <v>2</v>
      </c>
      <c r="BA70" s="48">
        <f t="shared" si="144"/>
        <v>32</v>
      </c>
      <c r="BB70" s="43">
        <f>8*3+5</f>
        <v>29</v>
      </c>
      <c r="BC70" s="47">
        <f t="shared" si="201"/>
        <v>3</v>
      </c>
      <c r="BD70" s="45">
        <v>2</v>
      </c>
      <c r="BE70" s="48">
        <f t="shared" si="202"/>
        <v>45</v>
      </c>
      <c r="BF70" s="43">
        <v>32</v>
      </c>
      <c r="BG70" s="47">
        <f t="shared" si="203"/>
        <v>13</v>
      </c>
      <c r="BH70" s="45">
        <v>2</v>
      </c>
      <c r="BI70" s="48">
        <f t="shared" si="204"/>
        <v>48</v>
      </c>
      <c r="BJ70" s="43">
        <v>36</v>
      </c>
      <c r="BK70" s="47">
        <f t="shared" si="205"/>
        <v>12</v>
      </c>
      <c r="BL70" s="45">
        <v>2</v>
      </c>
      <c r="BM70" s="48">
        <f t="shared" si="206"/>
        <v>52</v>
      </c>
      <c r="BN70" s="43"/>
      <c r="BO70" s="47">
        <f t="shared" si="207"/>
        <v>52</v>
      </c>
      <c r="BP70" s="45"/>
      <c r="BQ70" s="48">
        <f t="shared" si="208"/>
        <v>0</v>
      </c>
      <c r="BR70" s="43"/>
      <c r="BS70" s="47">
        <f t="shared" si="209"/>
        <v>0</v>
      </c>
      <c r="BT70" s="45"/>
      <c r="BU70" s="48">
        <f t="shared" si="210"/>
        <v>0</v>
      </c>
      <c r="BV70" s="43"/>
      <c r="BW70" s="47">
        <f t="shared" si="211"/>
        <v>0</v>
      </c>
      <c r="BX70" s="45"/>
      <c r="BY70" s="48">
        <f t="shared" si="212"/>
        <v>0</v>
      </c>
      <c r="BZ70" s="43"/>
      <c r="CA70" s="47">
        <f t="shared" si="213"/>
        <v>0</v>
      </c>
      <c r="CB70" s="45"/>
      <c r="CC70" s="48">
        <f t="shared" si="214"/>
        <v>0</v>
      </c>
      <c r="CD70" s="43"/>
      <c r="CE70" s="47">
        <f t="shared" si="215"/>
        <v>0</v>
      </c>
      <c r="CF70" s="45"/>
      <c r="CG70" s="48">
        <f t="shared" si="216"/>
        <v>0</v>
      </c>
      <c r="CH70" s="43"/>
      <c r="CI70" s="47">
        <f t="shared" si="217"/>
        <v>0</v>
      </c>
      <c r="CJ70" s="45"/>
      <c r="CK70" s="48">
        <f t="shared" si="218"/>
        <v>0</v>
      </c>
    </row>
    <row r="71" spans="1:89" s="89" customFormat="1" ht="20.100000000000001" customHeight="1" x14ac:dyDescent="0.25">
      <c r="A71" s="19" t="s">
        <v>241</v>
      </c>
      <c r="B71" s="9" t="s">
        <v>7</v>
      </c>
      <c r="C71" s="17">
        <v>0.2</v>
      </c>
      <c r="D71" s="9" t="s">
        <v>359</v>
      </c>
      <c r="E71" s="13">
        <v>6</v>
      </c>
      <c r="F71" s="43">
        <v>5</v>
      </c>
      <c r="G71" s="47">
        <v>2</v>
      </c>
      <c r="H71" s="45">
        <v>2</v>
      </c>
      <c r="I71" s="48">
        <f>+F71+H71*$E71</f>
        <v>17</v>
      </c>
      <c r="J71" s="43">
        <v>13</v>
      </c>
      <c r="K71" s="47">
        <f>+I71-J71</f>
        <v>4</v>
      </c>
      <c r="L71" s="45"/>
      <c r="M71" s="48">
        <f>+J71+L71*$E71</f>
        <v>13</v>
      </c>
      <c r="N71" s="43">
        <v>3</v>
      </c>
      <c r="O71" s="47">
        <v>10</v>
      </c>
      <c r="P71" s="45">
        <v>2</v>
      </c>
      <c r="Q71" s="48">
        <f>+N71+P71*$E71</f>
        <v>15</v>
      </c>
      <c r="R71" s="43">
        <v>4</v>
      </c>
      <c r="S71" s="47">
        <f>+Q71-R71</f>
        <v>11</v>
      </c>
      <c r="T71" s="45">
        <v>2</v>
      </c>
      <c r="U71" s="48">
        <f>+R71+T71*$E71</f>
        <v>16</v>
      </c>
      <c r="V71" s="43">
        <v>7</v>
      </c>
      <c r="W71" s="47">
        <f>+U71-V71</f>
        <v>9</v>
      </c>
      <c r="X71" s="49">
        <v>2</v>
      </c>
      <c r="Y71" s="48">
        <f>+V71+X71*$E71</f>
        <v>19</v>
      </c>
      <c r="Z71" s="43">
        <v>13</v>
      </c>
      <c r="AA71" s="47">
        <f t="shared" si="8"/>
        <v>6</v>
      </c>
      <c r="AB71" s="49">
        <v>1</v>
      </c>
      <c r="AC71" s="48">
        <f>+Z71+AB71*$E71</f>
        <v>19</v>
      </c>
      <c r="AD71" s="43">
        <v>10</v>
      </c>
      <c r="AE71" s="47">
        <f>+AC71-AD71</f>
        <v>9</v>
      </c>
      <c r="AF71" s="45">
        <v>1</v>
      </c>
      <c r="AG71" s="48">
        <f>+AD71+AF71*$E71</f>
        <v>16</v>
      </c>
      <c r="AH71" s="43">
        <v>11</v>
      </c>
      <c r="AI71" s="47">
        <f t="shared" si="12"/>
        <v>5</v>
      </c>
      <c r="AJ71" s="45">
        <v>1</v>
      </c>
      <c r="AK71" s="48">
        <f>+AH71+AJ71*$E71</f>
        <v>17</v>
      </c>
      <c r="AL71" s="43">
        <v>9</v>
      </c>
      <c r="AM71" s="47">
        <f>+AK71-AL71</f>
        <v>8</v>
      </c>
      <c r="AN71" s="45">
        <v>1</v>
      </c>
      <c r="AO71" s="48">
        <f>+AL71+AN71*$E71</f>
        <v>15</v>
      </c>
      <c r="AP71" s="43">
        <v>12</v>
      </c>
      <c r="AQ71" s="47">
        <f t="shared" si="16"/>
        <v>3</v>
      </c>
      <c r="AR71" s="45">
        <v>1</v>
      </c>
      <c r="AS71" s="48">
        <f>+AP71+AR71*$E71</f>
        <v>18</v>
      </c>
      <c r="AT71" s="43">
        <v>11</v>
      </c>
      <c r="AU71" s="47">
        <f>+AS71-AT71</f>
        <v>7</v>
      </c>
      <c r="AV71" s="45">
        <v>1</v>
      </c>
      <c r="AW71" s="48">
        <f>+AT71+AV71*$E71</f>
        <v>17</v>
      </c>
      <c r="AX71" s="43">
        <v>15</v>
      </c>
      <c r="AY71" s="47">
        <f>+AW71-AX71</f>
        <v>2</v>
      </c>
      <c r="AZ71" s="45"/>
      <c r="BA71" s="48">
        <f>+AX71+AZ71*$E71</f>
        <v>15</v>
      </c>
      <c r="BB71" s="43">
        <v>13</v>
      </c>
      <c r="BC71" s="47">
        <f>+BA71-BB71</f>
        <v>2</v>
      </c>
      <c r="BD71" s="45"/>
      <c r="BE71" s="48">
        <f>+BB71+BD71*$E71</f>
        <v>13</v>
      </c>
      <c r="BF71" s="43">
        <v>6</v>
      </c>
      <c r="BG71" s="47">
        <f>+BE71-BF71</f>
        <v>7</v>
      </c>
      <c r="BH71" s="45">
        <v>3</v>
      </c>
      <c r="BI71" s="48">
        <f>+BF71+BH71*$E71</f>
        <v>24</v>
      </c>
      <c r="BJ71" s="43">
        <v>11</v>
      </c>
      <c r="BK71" s="47">
        <f>+BI71-BJ71</f>
        <v>13</v>
      </c>
      <c r="BL71" s="45">
        <v>3</v>
      </c>
      <c r="BM71" s="48">
        <f>+BJ71+BL71*$E71</f>
        <v>29</v>
      </c>
      <c r="BN71" s="43"/>
      <c r="BO71" s="47">
        <f>+BM71-BN71</f>
        <v>29</v>
      </c>
      <c r="BP71" s="45"/>
      <c r="BQ71" s="48">
        <f>+BN71+BP71*$E71</f>
        <v>0</v>
      </c>
      <c r="BR71" s="43"/>
      <c r="BS71" s="47">
        <f>+BQ71-BR71</f>
        <v>0</v>
      </c>
      <c r="BT71" s="45"/>
      <c r="BU71" s="48">
        <f>+BR71+BT71*$E71</f>
        <v>0</v>
      </c>
      <c r="BV71" s="43"/>
      <c r="BW71" s="47">
        <f>+BU71-BV71</f>
        <v>0</v>
      </c>
      <c r="BX71" s="45"/>
      <c r="BY71" s="48">
        <f>+BV71+BX71*$E71</f>
        <v>0</v>
      </c>
      <c r="BZ71" s="43"/>
      <c r="CA71" s="47">
        <f>+BY71-BZ71</f>
        <v>0</v>
      </c>
      <c r="CB71" s="45"/>
      <c r="CC71" s="48">
        <f>+BZ71+CB71*$E71</f>
        <v>0</v>
      </c>
      <c r="CD71" s="43"/>
      <c r="CE71" s="47">
        <f>+CC71-CD71</f>
        <v>0</v>
      </c>
      <c r="CF71" s="45"/>
      <c r="CG71" s="48">
        <f>+CD71+CF71*$E71</f>
        <v>0</v>
      </c>
      <c r="CH71" s="43"/>
      <c r="CI71" s="47">
        <f>+CG71-CH71</f>
        <v>0</v>
      </c>
      <c r="CJ71" s="45"/>
      <c r="CK71" s="48">
        <f>+CH71+CJ71*$E71</f>
        <v>0</v>
      </c>
    </row>
    <row r="72" spans="1:89" s="89" customFormat="1" ht="20.100000000000001" hidden="1" customHeight="1" thickBot="1" x14ac:dyDescent="0.3">
      <c r="A72" s="153" t="s">
        <v>242</v>
      </c>
      <c r="B72" s="23" t="s">
        <v>7</v>
      </c>
      <c r="C72" s="71">
        <v>0.5</v>
      </c>
      <c r="D72" s="23" t="s">
        <v>358</v>
      </c>
      <c r="E72" s="25">
        <v>8</v>
      </c>
      <c r="F72" s="43">
        <v>11</v>
      </c>
      <c r="G72" s="47">
        <v>9</v>
      </c>
      <c r="H72" s="45">
        <v>1</v>
      </c>
      <c r="I72" s="48">
        <f>+F72+H72*$E72</f>
        <v>19</v>
      </c>
      <c r="J72" s="43">
        <v>12</v>
      </c>
      <c r="K72" s="47">
        <f>+I72-J72</f>
        <v>7</v>
      </c>
      <c r="L72" s="45">
        <v>1</v>
      </c>
      <c r="M72" s="48">
        <f>+J72+L72*$E72</f>
        <v>20</v>
      </c>
      <c r="N72" s="43">
        <v>12</v>
      </c>
      <c r="O72" s="47">
        <v>8</v>
      </c>
      <c r="P72" s="45"/>
      <c r="Q72" s="48">
        <f>+N72+P72*$E72</f>
        <v>12</v>
      </c>
      <c r="R72" s="43">
        <v>6</v>
      </c>
      <c r="S72" s="47">
        <f>+Q72-R72</f>
        <v>6</v>
      </c>
      <c r="T72" s="45">
        <v>1</v>
      </c>
      <c r="U72" s="48">
        <f>+R72+T72*$E72</f>
        <v>14</v>
      </c>
      <c r="V72" s="43">
        <v>6</v>
      </c>
      <c r="W72" s="47">
        <f>+U72-V72</f>
        <v>8</v>
      </c>
      <c r="X72" s="49">
        <v>2</v>
      </c>
      <c r="Y72" s="48">
        <f>+V72+X72*$E72</f>
        <v>22</v>
      </c>
      <c r="Z72" s="43">
        <v>15</v>
      </c>
      <c r="AA72" s="47">
        <f t="shared" si="8"/>
        <v>7</v>
      </c>
      <c r="AB72" s="49">
        <v>1</v>
      </c>
      <c r="AC72" s="48">
        <f>+Z72+AB72*$E72</f>
        <v>23</v>
      </c>
      <c r="AD72" s="43">
        <v>13</v>
      </c>
      <c r="AE72" s="47">
        <f>+AC72-AD72</f>
        <v>10</v>
      </c>
      <c r="AF72" s="45">
        <v>1</v>
      </c>
      <c r="AG72" s="48">
        <f>+AD72+AF72*$E72</f>
        <v>21</v>
      </c>
      <c r="AH72" s="43">
        <v>17</v>
      </c>
      <c r="AI72" s="47">
        <f t="shared" ref="AI72" si="219">+AG72-AH72</f>
        <v>4</v>
      </c>
      <c r="AJ72" s="45">
        <v>2</v>
      </c>
      <c r="AK72" s="48">
        <f>+AH72+AJ72*$E72</f>
        <v>33</v>
      </c>
      <c r="AL72" s="43">
        <v>22</v>
      </c>
      <c r="AM72" s="47">
        <f>+AK72-AL72</f>
        <v>11</v>
      </c>
      <c r="AN72" s="45"/>
      <c r="AO72" s="48">
        <f>+AL72+AN72*$E72</f>
        <v>22</v>
      </c>
      <c r="AP72" s="43">
        <v>15</v>
      </c>
      <c r="AQ72" s="47">
        <f t="shared" ref="AQ72" si="220">+AO72-AP72</f>
        <v>7</v>
      </c>
      <c r="AR72" s="45"/>
      <c r="AS72" s="48">
        <f>+AP72+AR72*$E72</f>
        <v>15</v>
      </c>
      <c r="AT72" s="43">
        <v>10</v>
      </c>
      <c r="AU72" s="47">
        <f>+AS72-AT72</f>
        <v>5</v>
      </c>
      <c r="AV72" s="45"/>
      <c r="AW72" s="48">
        <f>+AT72+AV72*$E72</f>
        <v>10</v>
      </c>
      <c r="AX72" s="43">
        <v>3</v>
      </c>
      <c r="AY72" s="47">
        <f>+AW72-AX72</f>
        <v>7</v>
      </c>
      <c r="AZ72" s="45">
        <v>1</v>
      </c>
      <c r="BA72" s="48">
        <f>+AX72+AZ72*$E72</f>
        <v>11</v>
      </c>
      <c r="BB72" s="43">
        <v>6</v>
      </c>
      <c r="BC72" s="47">
        <f>+BA72-BB72</f>
        <v>5</v>
      </c>
      <c r="BD72" s="45">
        <v>1</v>
      </c>
      <c r="BE72" s="48">
        <f>+BB72+BD72*$E72</f>
        <v>14</v>
      </c>
      <c r="BF72" s="43">
        <v>7</v>
      </c>
      <c r="BG72" s="47">
        <f>+BE72-BF72</f>
        <v>7</v>
      </c>
      <c r="BH72" s="45">
        <v>3</v>
      </c>
      <c r="BI72" s="48">
        <f>+BF72+BH72*$E72</f>
        <v>31</v>
      </c>
      <c r="BJ72" s="43">
        <v>27</v>
      </c>
      <c r="BK72" s="47">
        <f>+BI72-BJ72</f>
        <v>4</v>
      </c>
      <c r="BL72" s="45"/>
      <c r="BM72" s="48">
        <f>+BJ72+BL72*$E72</f>
        <v>27</v>
      </c>
      <c r="BN72" s="43"/>
      <c r="BO72" s="47">
        <f>+BM72-BN72</f>
        <v>27</v>
      </c>
      <c r="BP72" s="45"/>
      <c r="BQ72" s="48">
        <f>+BN72+BP72*$E72</f>
        <v>0</v>
      </c>
      <c r="BR72" s="43"/>
      <c r="BS72" s="47">
        <f>+BQ72-BR72</f>
        <v>0</v>
      </c>
      <c r="BT72" s="45"/>
      <c r="BU72" s="48">
        <f>+BR72+BT72*$E72</f>
        <v>0</v>
      </c>
      <c r="BV72" s="43"/>
      <c r="BW72" s="47">
        <f>+BU72-BV72</f>
        <v>0</v>
      </c>
      <c r="BX72" s="45"/>
      <c r="BY72" s="48">
        <f>+BV72+BX72*$E72</f>
        <v>0</v>
      </c>
      <c r="BZ72" s="43"/>
      <c r="CA72" s="47">
        <f>+BY72-BZ72</f>
        <v>0</v>
      </c>
      <c r="CB72" s="45"/>
      <c r="CC72" s="48">
        <f>+BZ72+CB72*$E72</f>
        <v>0</v>
      </c>
      <c r="CD72" s="43"/>
      <c r="CE72" s="47">
        <f>+CC72-CD72</f>
        <v>0</v>
      </c>
      <c r="CF72" s="45"/>
      <c r="CG72" s="48">
        <f>+CD72+CF72*$E72</f>
        <v>0</v>
      </c>
      <c r="CH72" s="43"/>
      <c r="CI72" s="47">
        <f>+CG72-CH72</f>
        <v>0</v>
      </c>
      <c r="CJ72" s="45"/>
      <c r="CK72" s="48">
        <f>+CH72+CJ72*$E72</f>
        <v>0</v>
      </c>
    </row>
    <row r="73" spans="1:89" ht="20.100000000000001" customHeight="1" x14ac:dyDescent="0.2"/>
  </sheetData>
  <autoFilter ref="A1:CK72" xr:uid="{5BD1FBFF-DD43-4A24-A775-7E8AB9010377}">
    <filterColumn colId="63">
      <customFilters>
        <customFilter operator="notEqual" val=" "/>
      </customFilters>
    </filterColumn>
  </autoFilter>
  <mergeCells count="21">
    <mergeCell ref="BZ2:CC2"/>
    <mergeCell ref="CD2:CG2"/>
    <mergeCell ref="CH2:CK2"/>
    <mergeCell ref="BF2:BI2"/>
    <mergeCell ref="BJ2:BM2"/>
    <mergeCell ref="BN2:BQ2"/>
    <mergeCell ref="BR2:BU2"/>
    <mergeCell ref="BV2:BY2"/>
    <mergeCell ref="R2:U2"/>
    <mergeCell ref="F2:I2"/>
    <mergeCell ref="J2:M2"/>
    <mergeCell ref="N2:Q2"/>
    <mergeCell ref="V2:Y2"/>
    <mergeCell ref="BB2:BE2"/>
    <mergeCell ref="AT2:AW2"/>
    <mergeCell ref="AX2:BA2"/>
    <mergeCell ref="Z2:AC2"/>
    <mergeCell ref="AD2:AG2"/>
    <mergeCell ref="AH2:AK2"/>
    <mergeCell ref="AL2:AO2"/>
    <mergeCell ref="AP2:AS2"/>
  </mergeCells>
  <pageMargins left="0.7" right="0.7" top="0.75" bottom="0.75" header="0.3" footer="0.3"/>
  <pageSetup paperSize="9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9D3C-3D24-41D0-98A6-1802C354935F}">
  <sheetPr filterMode="1">
    <tabColor rgb="FF0070C0"/>
  </sheetPr>
  <dimension ref="A1:CX66"/>
  <sheetViews>
    <sheetView zoomScale="80" zoomScaleNormal="80" workbookViewId="0">
      <pane xSplit="3" ySplit="3" topLeftCell="BS4" activePane="bottomRight" state="frozen"/>
      <selection pane="topRight" activeCell="D1" sqref="D1"/>
      <selection pane="bottomLeft" activeCell="A4" sqref="A4"/>
      <selection pane="bottomRight" activeCell="BU3" sqref="BU3"/>
    </sheetView>
  </sheetViews>
  <sheetFormatPr baseColWidth="10" defaultColWidth="11.42578125" defaultRowHeight="12" x14ac:dyDescent="0.25"/>
  <cols>
    <col min="1" max="1" width="30.140625" style="89" bestFit="1" customWidth="1"/>
    <col min="2" max="2" width="6.85546875" style="89" customWidth="1"/>
    <col min="3" max="3" width="9" style="89" bestFit="1" customWidth="1"/>
    <col min="4" max="14" width="10.28515625" style="89" hidden="1" customWidth="1"/>
    <col min="15" max="62" width="10.28515625" style="89" customWidth="1"/>
    <col min="63" max="16384" width="11.42578125" style="89"/>
  </cols>
  <sheetData>
    <row r="1" spans="1:102" ht="12.75" thickBot="1" x14ac:dyDescent="0.3">
      <c r="A1" s="232" t="s">
        <v>158</v>
      </c>
      <c r="B1" s="229"/>
      <c r="C1" s="229"/>
      <c r="E1" s="189"/>
      <c r="F1" s="189"/>
    </row>
    <row r="2" spans="1:102" ht="31.5" hidden="1" customHeight="1" thickBot="1" x14ac:dyDescent="0.3">
      <c r="A2" s="87"/>
      <c r="B2" s="87"/>
      <c r="C2" s="88"/>
      <c r="D2" s="218">
        <v>46089</v>
      </c>
      <c r="E2" s="219"/>
      <c r="F2" s="220"/>
      <c r="G2" s="218">
        <v>46096</v>
      </c>
      <c r="H2" s="219"/>
      <c r="I2" s="219"/>
      <c r="J2" s="220"/>
      <c r="K2" s="218">
        <v>46103</v>
      </c>
      <c r="L2" s="219"/>
      <c r="M2" s="219"/>
      <c r="N2" s="220"/>
      <c r="O2" s="218">
        <v>46180</v>
      </c>
      <c r="P2" s="219"/>
      <c r="Q2" s="219"/>
      <c r="R2" s="220"/>
      <c r="S2" s="218">
        <v>46187</v>
      </c>
      <c r="T2" s="219"/>
      <c r="U2" s="219"/>
      <c r="V2" s="220"/>
      <c r="W2" s="218">
        <v>46194</v>
      </c>
      <c r="X2" s="219"/>
      <c r="Y2" s="219"/>
      <c r="Z2" s="220"/>
      <c r="AA2" s="218">
        <v>46201</v>
      </c>
      <c r="AB2" s="219"/>
      <c r="AC2" s="219"/>
      <c r="AD2" s="220"/>
      <c r="AE2" s="218">
        <v>46208</v>
      </c>
      <c r="AF2" s="219"/>
      <c r="AG2" s="219"/>
      <c r="AH2" s="220"/>
      <c r="AI2" s="218">
        <v>46215</v>
      </c>
      <c r="AJ2" s="219"/>
      <c r="AK2" s="219"/>
      <c r="AL2" s="220"/>
      <c r="AM2" s="218">
        <v>46222</v>
      </c>
      <c r="AN2" s="219"/>
      <c r="AO2" s="219"/>
      <c r="AP2" s="220"/>
      <c r="AQ2" s="218">
        <v>46229</v>
      </c>
      <c r="AR2" s="219"/>
      <c r="AS2" s="219"/>
      <c r="AT2" s="220"/>
      <c r="AU2" s="218">
        <v>46236</v>
      </c>
      <c r="AV2" s="219"/>
      <c r="AW2" s="219"/>
      <c r="AX2" s="220"/>
      <c r="AY2" s="218">
        <v>46243</v>
      </c>
      <c r="AZ2" s="219"/>
      <c r="BA2" s="219"/>
      <c r="BB2" s="220"/>
      <c r="BC2" s="218">
        <v>46250</v>
      </c>
      <c r="BD2" s="219"/>
      <c r="BE2" s="219"/>
      <c r="BF2" s="220"/>
      <c r="BG2" s="218">
        <v>46257</v>
      </c>
      <c r="BH2" s="219"/>
      <c r="BI2" s="219"/>
      <c r="BJ2" s="220"/>
      <c r="BK2" s="218">
        <v>46264</v>
      </c>
      <c r="BL2" s="219"/>
      <c r="BM2" s="219"/>
      <c r="BN2" s="220"/>
      <c r="BO2" s="218">
        <v>46271</v>
      </c>
      <c r="BP2" s="219"/>
      <c r="BQ2" s="219"/>
      <c r="BR2" s="220"/>
      <c r="BS2" s="218">
        <v>46278</v>
      </c>
      <c r="BT2" s="219"/>
      <c r="BU2" s="219"/>
      <c r="BV2" s="220"/>
      <c r="BW2" s="218"/>
      <c r="BX2" s="219"/>
      <c r="BY2" s="219"/>
      <c r="BZ2" s="220"/>
      <c r="CA2" s="218"/>
      <c r="CB2" s="219"/>
      <c r="CC2" s="219"/>
      <c r="CD2" s="220"/>
      <c r="CE2" s="218"/>
      <c r="CF2" s="219"/>
      <c r="CG2" s="219"/>
      <c r="CH2" s="220"/>
      <c r="CI2" s="218"/>
      <c r="CJ2" s="219"/>
      <c r="CK2" s="219"/>
      <c r="CL2" s="220"/>
      <c r="CM2" s="218"/>
      <c r="CN2" s="219"/>
      <c r="CO2" s="219"/>
      <c r="CP2" s="220"/>
      <c r="CQ2" s="218"/>
      <c r="CR2" s="219"/>
      <c r="CS2" s="219"/>
      <c r="CT2" s="220"/>
      <c r="CU2" s="218"/>
      <c r="CV2" s="219"/>
      <c r="CW2" s="219"/>
      <c r="CX2" s="220"/>
    </row>
    <row r="3" spans="1:102" ht="42" customHeight="1" thickBot="1" x14ac:dyDescent="0.3">
      <c r="A3" s="190" t="s">
        <v>1</v>
      </c>
      <c r="B3" s="138" t="s">
        <v>345</v>
      </c>
      <c r="C3" s="191" t="s">
        <v>2</v>
      </c>
      <c r="D3" s="192" t="s">
        <v>221</v>
      </c>
      <c r="E3" s="193" t="s">
        <v>219</v>
      </c>
      <c r="F3" s="194" t="s">
        <v>222</v>
      </c>
      <c r="G3" s="192" t="s">
        <v>221</v>
      </c>
      <c r="H3" s="195" t="s">
        <v>220</v>
      </c>
      <c r="I3" s="193" t="s">
        <v>219</v>
      </c>
      <c r="J3" s="194" t="s">
        <v>222</v>
      </c>
      <c r="K3" s="192" t="s">
        <v>221</v>
      </c>
      <c r="L3" s="195" t="s">
        <v>220</v>
      </c>
      <c r="M3" s="193" t="s">
        <v>219</v>
      </c>
      <c r="N3" s="194" t="s">
        <v>222</v>
      </c>
      <c r="O3" s="192" t="s">
        <v>221</v>
      </c>
      <c r="P3" s="195" t="s">
        <v>220</v>
      </c>
      <c r="Q3" s="193" t="s">
        <v>219</v>
      </c>
      <c r="R3" s="194" t="s">
        <v>222</v>
      </c>
      <c r="S3" s="192" t="s">
        <v>221</v>
      </c>
      <c r="T3" s="195" t="s">
        <v>220</v>
      </c>
      <c r="U3" s="193" t="s">
        <v>219</v>
      </c>
      <c r="V3" s="194" t="s">
        <v>222</v>
      </c>
      <c r="W3" s="192" t="s">
        <v>221</v>
      </c>
      <c r="X3" s="195" t="s">
        <v>220</v>
      </c>
      <c r="Y3" s="193"/>
      <c r="Z3" s="194" t="s">
        <v>222</v>
      </c>
      <c r="AA3" s="192" t="s">
        <v>221</v>
      </c>
      <c r="AB3" s="195" t="s">
        <v>220</v>
      </c>
      <c r="AC3" s="193" t="s">
        <v>219</v>
      </c>
      <c r="AD3" s="194" t="s">
        <v>222</v>
      </c>
      <c r="AE3" s="192" t="s">
        <v>221</v>
      </c>
      <c r="AF3" s="195" t="s">
        <v>220</v>
      </c>
      <c r="AG3" s="193" t="s">
        <v>219</v>
      </c>
      <c r="AH3" s="194" t="s">
        <v>222</v>
      </c>
      <c r="AI3" s="192" t="s">
        <v>221</v>
      </c>
      <c r="AJ3" s="195" t="s">
        <v>220</v>
      </c>
      <c r="AK3" s="193" t="s">
        <v>219</v>
      </c>
      <c r="AL3" s="194" t="s">
        <v>222</v>
      </c>
      <c r="AM3" s="192" t="s">
        <v>221</v>
      </c>
      <c r="AN3" s="195" t="s">
        <v>220</v>
      </c>
      <c r="AO3" s="193" t="s">
        <v>219</v>
      </c>
      <c r="AP3" s="194" t="s">
        <v>222</v>
      </c>
      <c r="AQ3" s="192" t="s">
        <v>221</v>
      </c>
      <c r="AR3" s="195" t="s">
        <v>220</v>
      </c>
      <c r="AS3" s="193" t="s">
        <v>219</v>
      </c>
      <c r="AT3" s="194" t="s">
        <v>222</v>
      </c>
      <c r="AU3" s="192" t="s">
        <v>221</v>
      </c>
      <c r="AV3" s="195" t="s">
        <v>220</v>
      </c>
      <c r="AW3" s="193" t="s">
        <v>219</v>
      </c>
      <c r="AX3" s="194" t="s">
        <v>222</v>
      </c>
      <c r="AY3" s="192" t="s">
        <v>221</v>
      </c>
      <c r="AZ3" s="195" t="s">
        <v>220</v>
      </c>
      <c r="BA3" s="193" t="s">
        <v>219</v>
      </c>
      <c r="BB3" s="194" t="s">
        <v>222</v>
      </c>
      <c r="BC3" s="192" t="s">
        <v>221</v>
      </c>
      <c r="BD3" s="195" t="s">
        <v>220</v>
      </c>
      <c r="BE3" s="193" t="s">
        <v>219</v>
      </c>
      <c r="BF3" s="194" t="s">
        <v>222</v>
      </c>
      <c r="BG3" s="192" t="s">
        <v>221</v>
      </c>
      <c r="BH3" s="195" t="s">
        <v>220</v>
      </c>
      <c r="BI3" s="193" t="s">
        <v>219</v>
      </c>
      <c r="BJ3" s="194" t="s">
        <v>222</v>
      </c>
      <c r="BK3" s="192" t="s">
        <v>221</v>
      </c>
      <c r="BL3" s="195" t="s">
        <v>220</v>
      </c>
      <c r="BM3" s="193" t="s">
        <v>219</v>
      </c>
      <c r="BN3" s="194" t="s">
        <v>222</v>
      </c>
      <c r="BO3" s="192" t="s">
        <v>221</v>
      </c>
      <c r="BP3" s="195" t="s">
        <v>220</v>
      </c>
      <c r="BQ3" s="193" t="s">
        <v>219</v>
      </c>
      <c r="BR3" s="194" t="s">
        <v>222</v>
      </c>
      <c r="BS3" s="192" t="s">
        <v>221</v>
      </c>
      <c r="BT3" s="195" t="s">
        <v>220</v>
      </c>
      <c r="BU3" s="193" t="s">
        <v>219</v>
      </c>
      <c r="BV3" s="194" t="s">
        <v>222</v>
      </c>
      <c r="BW3" s="192" t="s">
        <v>221</v>
      </c>
      <c r="BX3" s="195" t="s">
        <v>220</v>
      </c>
      <c r="BY3" s="193" t="s">
        <v>219</v>
      </c>
      <c r="BZ3" s="194" t="s">
        <v>222</v>
      </c>
      <c r="CA3" s="192" t="s">
        <v>221</v>
      </c>
      <c r="CB3" s="195" t="s">
        <v>220</v>
      </c>
      <c r="CC3" s="193" t="s">
        <v>219</v>
      </c>
      <c r="CD3" s="194" t="s">
        <v>222</v>
      </c>
      <c r="CE3" s="192" t="s">
        <v>221</v>
      </c>
      <c r="CF3" s="195" t="s">
        <v>220</v>
      </c>
      <c r="CG3" s="193" t="s">
        <v>219</v>
      </c>
      <c r="CH3" s="194" t="s">
        <v>222</v>
      </c>
      <c r="CI3" s="192" t="s">
        <v>221</v>
      </c>
      <c r="CJ3" s="195" t="s">
        <v>220</v>
      </c>
      <c r="CK3" s="193" t="s">
        <v>219</v>
      </c>
      <c r="CL3" s="194" t="s">
        <v>222</v>
      </c>
      <c r="CM3" s="192" t="s">
        <v>221</v>
      </c>
      <c r="CN3" s="195" t="s">
        <v>220</v>
      </c>
      <c r="CO3" s="193" t="s">
        <v>219</v>
      </c>
      <c r="CP3" s="194" t="s">
        <v>222</v>
      </c>
      <c r="CQ3" s="192" t="s">
        <v>221</v>
      </c>
      <c r="CR3" s="195" t="s">
        <v>220</v>
      </c>
      <c r="CS3" s="193" t="s">
        <v>219</v>
      </c>
      <c r="CT3" s="194" t="s">
        <v>222</v>
      </c>
      <c r="CU3" s="192" t="s">
        <v>221</v>
      </c>
      <c r="CV3" s="195" t="s">
        <v>220</v>
      </c>
      <c r="CW3" s="193" t="s">
        <v>219</v>
      </c>
      <c r="CX3" s="194" t="s">
        <v>222</v>
      </c>
    </row>
    <row r="4" spans="1:102" ht="20.100000000000001" customHeight="1" thickTop="1" x14ac:dyDescent="0.25">
      <c r="A4" s="196" t="s">
        <v>159</v>
      </c>
      <c r="B4" s="196" t="s">
        <v>223</v>
      </c>
      <c r="C4" s="90">
        <v>1</v>
      </c>
      <c r="D4" s="91">
        <v>1</v>
      </c>
      <c r="E4" s="92"/>
      <c r="F4" s="93">
        <f t="shared" ref="F4:F35" si="0">+D4+E4*$C4</f>
        <v>1</v>
      </c>
      <c r="G4" s="91">
        <v>0</v>
      </c>
      <c r="H4" s="94">
        <f>F4-G4</f>
        <v>1</v>
      </c>
      <c r="I4" s="95">
        <v>1</v>
      </c>
      <c r="J4" s="93">
        <f>+G4+I4*$C4</f>
        <v>1</v>
      </c>
      <c r="K4" s="91">
        <v>1</v>
      </c>
      <c r="L4" s="94">
        <f>J4-K4</f>
        <v>0</v>
      </c>
      <c r="M4" s="92">
        <v>0</v>
      </c>
      <c r="N4" s="93">
        <f>+K4+M4*$C4</f>
        <v>1</v>
      </c>
      <c r="O4" s="91">
        <v>3</v>
      </c>
      <c r="P4" s="94">
        <v>0</v>
      </c>
      <c r="Q4" s="92"/>
      <c r="R4" s="93">
        <f>+O4+Q4*$C4</f>
        <v>3</v>
      </c>
      <c r="S4" s="91">
        <v>3</v>
      </c>
      <c r="T4" s="94">
        <f>R4-S4</f>
        <v>0</v>
      </c>
      <c r="U4" s="92"/>
      <c r="V4" s="93">
        <f>+S4+U4*$C4</f>
        <v>3</v>
      </c>
      <c r="W4" s="91">
        <v>3</v>
      </c>
      <c r="X4" s="94">
        <v>0</v>
      </c>
      <c r="Y4" s="92">
        <v>0</v>
      </c>
      <c r="Z4" s="93">
        <f>+W4+Y4*$C4</f>
        <v>3</v>
      </c>
      <c r="AA4" s="91">
        <v>3</v>
      </c>
      <c r="AB4" s="94">
        <f>Z4-AA4</f>
        <v>0</v>
      </c>
      <c r="AC4" s="92">
        <v>0</v>
      </c>
      <c r="AD4" s="93">
        <f>+AA4+AC4*$C4</f>
        <v>3</v>
      </c>
      <c r="AE4" s="91">
        <v>3</v>
      </c>
      <c r="AF4" s="94">
        <f>AD4-AE4</f>
        <v>0</v>
      </c>
      <c r="AG4" s="92"/>
      <c r="AH4" s="93">
        <f>+AE4+AG4*$C4</f>
        <v>3</v>
      </c>
      <c r="AI4" s="91">
        <v>3</v>
      </c>
      <c r="AJ4" s="94">
        <f>AH4-AI4</f>
        <v>0</v>
      </c>
      <c r="AK4" s="92"/>
      <c r="AL4" s="93">
        <f>+AI4+AK4*$C4</f>
        <v>3</v>
      </c>
      <c r="AM4" s="91">
        <v>2</v>
      </c>
      <c r="AN4" s="94">
        <f>AL4-AM4</f>
        <v>1</v>
      </c>
      <c r="AO4" s="92"/>
      <c r="AP4" s="93">
        <f>+AM4+AO4*$C4</f>
        <v>2</v>
      </c>
      <c r="AQ4" s="91">
        <v>2</v>
      </c>
      <c r="AR4" s="94">
        <f>AP4-AQ4</f>
        <v>0</v>
      </c>
      <c r="AS4" s="92"/>
      <c r="AT4" s="93">
        <f>+AQ4+AS4*$C4</f>
        <v>2</v>
      </c>
      <c r="AU4" s="91">
        <v>2</v>
      </c>
      <c r="AV4" s="94">
        <f>AT4-AU4</f>
        <v>0</v>
      </c>
      <c r="AW4" s="92"/>
      <c r="AX4" s="93">
        <f>+AU4+AW4*$C4</f>
        <v>2</v>
      </c>
      <c r="AY4" s="91">
        <v>2</v>
      </c>
      <c r="AZ4" s="94">
        <f>AX4-AY4</f>
        <v>0</v>
      </c>
      <c r="BA4" s="92"/>
      <c r="BB4" s="93">
        <f>+AY4+BA4*$C4</f>
        <v>2</v>
      </c>
      <c r="BC4" s="91">
        <v>2</v>
      </c>
      <c r="BD4" s="94">
        <f>BB4-BC4</f>
        <v>0</v>
      </c>
      <c r="BE4" s="92"/>
      <c r="BF4" s="93">
        <f>+BC4+BE4*$C4</f>
        <v>2</v>
      </c>
      <c r="BG4" s="91">
        <v>2</v>
      </c>
      <c r="BH4" s="94">
        <f>BF4-BG4</f>
        <v>0</v>
      </c>
      <c r="BI4" s="92"/>
      <c r="BJ4" s="93">
        <f>+BG4+BI4*$C4</f>
        <v>2</v>
      </c>
      <c r="BK4" s="91">
        <v>1</v>
      </c>
      <c r="BL4" s="94">
        <f>BJ4-BK4</f>
        <v>1</v>
      </c>
      <c r="BM4" s="92"/>
      <c r="BN4" s="93">
        <f>+BK4+BM4*$C4</f>
        <v>1</v>
      </c>
      <c r="BO4" s="91">
        <v>1</v>
      </c>
      <c r="BP4" s="94">
        <f>BN4-BO4</f>
        <v>0</v>
      </c>
      <c r="BQ4" s="92"/>
      <c r="BR4" s="93">
        <f>+BO4+BQ4*$C4</f>
        <v>1</v>
      </c>
      <c r="BS4" s="91">
        <v>1</v>
      </c>
      <c r="BT4" s="94">
        <f>BR4-BS4</f>
        <v>0</v>
      </c>
      <c r="BU4" s="92">
        <v>1</v>
      </c>
      <c r="BV4" s="93">
        <f>+BS4+BU4*$C4</f>
        <v>2</v>
      </c>
      <c r="BW4" s="91"/>
      <c r="BX4" s="94">
        <f>BV4-BW4</f>
        <v>2</v>
      </c>
      <c r="BY4" s="92"/>
      <c r="BZ4" s="93">
        <f>+BW4+BY4*$C4</f>
        <v>0</v>
      </c>
      <c r="CA4" s="91"/>
      <c r="CB4" s="94">
        <f>BZ4-CA4</f>
        <v>0</v>
      </c>
      <c r="CC4" s="92"/>
      <c r="CD4" s="93">
        <f>+CA4+CC4*$C4</f>
        <v>0</v>
      </c>
      <c r="CE4" s="91"/>
      <c r="CF4" s="94">
        <f>CD4-CE4</f>
        <v>0</v>
      </c>
      <c r="CG4" s="92"/>
      <c r="CH4" s="93">
        <f>+CE4+CG4*$C4</f>
        <v>0</v>
      </c>
      <c r="CI4" s="91"/>
      <c r="CJ4" s="94">
        <f>CH4-CI4</f>
        <v>0</v>
      </c>
      <c r="CK4" s="92"/>
      <c r="CL4" s="93">
        <f>+CI4+CK4*$C4</f>
        <v>0</v>
      </c>
      <c r="CM4" s="91"/>
      <c r="CN4" s="94">
        <f>CL4-CM4</f>
        <v>0</v>
      </c>
      <c r="CO4" s="92"/>
      <c r="CP4" s="93">
        <f>+CM4+CO4*$C4</f>
        <v>0</v>
      </c>
      <c r="CQ4" s="91"/>
      <c r="CR4" s="94">
        <f>CP4-CQ4</f>
        <v>0</v>
      </c>
      <c r="CS4" s="92"/>
      <c r="CT4" s="93">
        <f>+CQ4+CS4*$C4</f>
        <v>0</v>
      </c>
      <c r="CU4" s="91"/>
      <c r="CV4" s="94">
        <f>CT4-CU4</f>
        <v>0</v>
      </c>
      <c r="CW4" s="92"/>
      <c r="CX4" s="93">
        <f>+CU4+CW4*$C4</f>
        <v>0</v>
      </c>
    </row>
    <row r="5" spans="1:102" ht="20.100000000000001" hidden="1" customHeight="1" x14ac:dyDescent="0.25">
      <c r="A5" s="156" t="s">
        <v>160</v>
      </c>
      <c r="B5" s="156" t="s">
        <v>223</v>
      </c>
      <c r="C5" s="96">
        <v>1</v>
      </c>
      <c r="D5" s="97">
        <v>1</v>
      </c>
      <c r="E5" s="98"/>
      <c r="F5" s="99">
        <f t="shared" si="0"/>
        <v>1</v>
      </c>
      <c r="G5" s="97">
        <v>1</v>
      </c>
      <c r="H5" s="100">
        <f t="shared" ref="H5:H65" si="1">F5-G5</f>
        <v>0</v>
      </c>
      <c r="I5" s="98"/>
      <c r="J5" s="99">
        <f t="shared" ref="J5:J65" si="2">+G5+I5*$C5</f>
        <v>1</v>
      </c>
      <c r="K5" s="97">
        <v>1</v>
      </c>
      <c r="L5" s="100">
        <f t="shared" ref="L5:L65" si="3">J5-K5</f>
        <v>0</v>
      </c>
      <c r="M5" s="98">
        <v>0</v>
      </c>
      <c r="N5" s="99">
        <f t="shared" ref="N5:N65" si="4">+K5+M5*$C5</f>
        <v>1</v>
      </c>
      <c r="O5" s="97">
        <v>2</v>
      </c>
      <c r="P5" s="100">
        <v>0</v>
      </c>
      <c r="Q5" s="98"/>
      <c r="R5" s="99">
        <f>+O5+Q5*$C5</f>
        <v>2</v>
      </c>
      <c r="S5" s="97">
        <v>2</v>
      </c>
      <c r="T5" s="100">
        <f>R5-S5</f>
        <v>0</v>
      </c>
      <c r="U5" s="98"/>
      <c r="V5" s="99">
        <f>+S5+U5*$C5</f>
        <v>2</v>
      </c>
      <c r="W5" s="97">
        <v>2</v>
      </c>
      <c r="X5" s="100">
        <v>0</v>
      </c>
      <c r="Y5" s="98">
        <v>0</v>
      </c>
      <c r="Z5" s="99">
        <f>+W5+Y5*$C5</f>
        <v>2</v>
      </c>
      <c r="AA5" s="97">
        <v>1</v>
      </c>
      <c r="AB5" s="100">
        <f>Z5-AA5</f>
        <v>1</v>
      </c>
      <c r="AC5" s="98">
        <v>1</v>
      </c>
      <c r="AD5" s="99">
        <f>+AA5+AC5*$C5</f>
        <v>2</v>
      </c>
      <c r="AE5" s="97">
        <v>2</v>
      </c>
      <c r="AF5" s="100">
        <f>AD5-AE5</f>
        <v>0</v>
      </c>
      <c r="AG5" s="98"/>
      <c r="AH5" s="99">
        <f>+AE5+AG5*$C5</f>
        <v>2</v>
      </c>
      <c r="AI5" s="97">
        <v>2</v>
      </c>
      <c r="AJ5" s="100">
        <f>AH5-AI5</f>
        <v>0</v>
      </c>
      <c r="AK5" s="98"/>
      <c r="AL5" s="99">
        <f>+AI5+AK5*$C5</f>
        <v>2</v>
      </c>
      <c r="AM5" s="97">
        <v>2</v>
      </c>
      <c r="AN5" s="100">
        <f>AL5-AM5</f>
        <v>0</v>
      </c>
      <c r="AO5" s="98"/>
      <c r="AP5" s="99">
        <f>+AM5+AO5*$C5</f>
        <v>2</v>
      </c>
      <c r="AQ5" s="97">
        <v>2</v>
      </c>
      <c r="AR5" s="100">
        <f>AP5-AQ5</f>
        <v>0</v>
      </c>
      <c r="AS5" s="98"/>
      <c r="AT5" s="99">
        <f>+AQ5+AS5*$C5</f>
        <v>2</v>
      </c>
      <c r="AU5" s="97">
        <v>2</v>
      </c>
      <c r="AV5" s="100">
        <f>AT5-AU5</f>
        <v>0</v>
      </c>
      <c r="AW5" s="98"/>
      <c r="AX5" s="99">
        <f>+AU5+AW5*$C5</f>
        <v>2</v>
      </c>
      <c r="AY5" s="97">
        <v>2</v>
      </c>
      <c r="AZ5" s="100">
        <f>AX5-AY5</f>
        <v>0</v>
      </c>
      <c r="BA5" s="98"/>
      <c r="BB5" s="99">
        <f>+AY5+BA5*$C5</f>
        <v>2</v>
      </c>
      <c r="BC5" s="97">
        <v>2</v>
      </c>
      <c r="BD5" s="100">
        <f>BB5-BC5</f>
        <v>0</v>
      </c>
      <c r="BE5" s="98"/>
      <c r="BF5" s="99">
        <f>+BC5+BE5*$C5</f>
        <v>2</v>
      </c>
      <c r="BG5" s="97">
        <v>2</v>
      </c>
      <c r="BH5" s="100">
        <f>BF5-BG5</f>
        <v>0</v>
      </c>
      <c r="BI5" s="98"/>
      <c r="BJ5" s="99">
        <f>+BG5+BI5*$C5</f>
        <v>2</v>
      </c>
      <c r="BK5" s="97">
        <v>2</v>
      </c>
      <c r="BL5" s="100">
        <f t="shared" ref="BL5:BL65" si="5">BJ5-BK5</f>
        <v>0</v>
      </c>
      <c r="BM5" s="98"/>
      <c r="BN5" s="99">
        <f>+BK5+BM5*$C5</f>
        <v>2</v>
      </c>
      <c r="BO5" s="97">
        <v>2</v>
      </c>
      <c r="BP5" s="100">
        <f>BN5-BO5</f>
        <v>0</v>
      </c>
      <c r="BQ5" s="98"/>
      <c r="BR5" s="99">
        <f>+BO5+BQ5*$C5</f>
        <v>2</v>
      </c>
      <c r="BS5" s="97">
        <v>2</v>
      </c>
      <c r="BT5" s="100">
        <f t="shared" ref="BT5:BT65" si="6">BR5-BS5</f>
        <v>0</v>
      </c>
      <c r="BU5" s="98"/>
      <c r="BV5" s="99">
        <f>+BS5+BU5*$C5</f>
        <v>2</v>
      </c>
      <c r="BW5" s="97"/>
      <c r="BX5" s="100">
        <f t="shared" ref="BX5:BX65" si="7">BV5-BW5</f>
        <v>2</v>
      </c>
      <c r="BY5" s="98"/>
      <c r="BZ5" s="99">
        <f>+BW5+BY5*$C5</f>
        <v>0</v>
      </c>
      <c r="CA5" s="97"/>
      <c r="CB5" s="100">
        <f t="shared" ref="CB5:CB65" si="8">BZ5-CA5</f>
        <v>0</v>
      </c>
      <c r="CC5" s="98"/>
      <c r="CD5" s="99">
        <f>+CA5+CC5*$C5</f>
        <v>0</v>
      </c>
      <c r="CE5" s="97"/>
      <c r="CF5" s="100">
        <f t="shared" ref="CF5:CF65" si="9">CD5-CE5</f>
        <v>0</v>
      </c>
      <c r="CG5" s="98"/>
      <c r="CH5" s="99">
        <f>+CE5+CG5*$C5</f>
        <v>0</v>
      </c>
      <c r="CI5" s="97"/>
      <c r="CJ5" s="100">
        <f t="shared" ref="CJ5:CJ65" si="10">CH5-CI5</f>
        <v>0</v>
      </c>
      <c r="CK5" s="98"/>
      <c r="CL5" s="99">
        <f>+CI5+CK5*$C5</f>
        <v>0</v>
      </c>
      <c r="CM5" s="97"/>
      <c r="CN5" s="100">
        <f t="shared" ref="CN5:CN65" si="11">CL5-CM5</f>
        <v>0</v>
      </c>
      <c r="CO5" s="98"/>
      <c r="CP5" s="99">
        <f>+CM5+CO5*$C5</f>
        <v>0</v>
      </c>
      <c r="CQ5" s="97"/>
      <c r="CR5" s="100">
        <f t="shared" ref="CR5:CR65" si="12">CP5-CQ5</f>
        <v>0</v>
      </c>
      <c r="CS5" s="98"/>
      <c r="CT5" s="99">
        <f>+CQ5+CS5*$C5</f>
        <v>0</v>
      </c>
      <c r="CU5" s="97"/>
      <c r="CV5" s="100">
        <f t="shared" ref="CV5:CV65" si="13">CT5-CU5</f>
        <v>0</v>
      </c>
      <c r="CW5" s="98"/>
      <c r="CX5" s="99">
        <f>+CU5+CW5*$C5</f>
        <v>0</v>
      </c>
    </row>
    <row r="6" spans="1:102" ht="20.100000000000001" customHeight="1" x14ac:dyDescent="0.25">
      <c r="A6" s="156" t="s">
        <v>234</v>
      </c>
      <c r="B6" s="156" t="s">
        <v>223</v>
      </c>
      <c r="C6" s="96">
        <v>1</v>
      </c>
      <c r="D6" s="97"/>
      <c r="E6" s="101"/>
      <c r="F6" s="99">
        <f>+D6+E6*$C6</f>
        <v>0</v>
      </c>
      <c r="G6" s="97"/>
      <c r="H6" s="100">
        <f>F6-G6</f>
        <v>0</v>
      </c>
      <c r="I6" s="101"/>
      <c r="J6" s="99">
        <f>+G6+I6*$C6</f>
        <v>0</v>
      </c>
      <c r="K6" s="97"/>
      <c r="L6" s="100">
        <f>J6-K6</f>
        <v>0</v>
      </c>
      <c r="M6" s="101"/>
      <c r="N6" s="99">
        <f>+K6+M6*$C6</f>
        <v>0</v>
      </c>
      <c r="O6" s="97">
        <v>2</v>
      </c>
      <c r="P6" s="100">
        <v>0</v>
      </c>
      <c r="Q6" s="98"/>
      <c r="R6" s="99">
        <f>+O6+Q6*$C6</f>
        <v>2</v>
      </c>
      <c r="S6" s="97">
        <v>1</v>
      </c>
      <c r="T6" s="100">
        <f>R6-S6</f>
        <v>1</v>
      </c>
      <c r="U6" s="98"/>
      <c r="V6" s="99">
        <f>+S6+U6*$C6</f>
        <v>1</v>
      </c>
      <c r="W6" s="97">
        <v>1</v>
      </c>
      <c r="X6" s="100">
        <v>0</v>
      </c>
      <c r="Y6" s="98">
        <v>0</v>
      </c>
      <c r="Z6" s="99">
        <f>+W6+Y6*$C6</f>
        <v>1</v>
      </c>
      <c r="AA6" s="97"/>
      <c r="AB6" s="100">
        <f>Z6-AA6</f>
        <v>1</v>
      </c>
      <c r="AC6" s="98">
        <v>1</v>
      </c>
      <c r="AD6" s="99">
        <f>+AA6+AC6*$C6</f>
        <v>1</v>
      </c>
      <c r="AE6" s="97"/>
      <c r="AF6" s="100">
        <f>AD6-AE6</f>
        <v>1</v>
      </c>
      <c r="AG6" s="101">
        <v>2</v>
      </c>
      <c r="AH6" s="99">
        <f>+AE6+AG6*$C6</f>
        <v>2</v>
      </c>
      <c r="AI6" s="97">
        <v>2</v>
      </c>
      <c r="AJ6" s="100">
        <f>AH6-AI6</f>
        <v>0</v>
      </c>
      <c r="AK6" s="98"/>
      <c r="AL6" s="99">
        <f>+AI6+AK6*$C6</f>
        <v>2</v>
      </c>
      <c r="AM6" s="97">
        <v>1</v>
      </c>
      <c r="AN6" s="100">
        <f>AL6-AM6</f>
        <v>1</v>
      </c>
      <c r="AO6" s="98"/>
      <c r="AP6" s="99">
        <f>+AM6+AO6*$C6</f>
        <v>1</v>
      </c>
      <c r="AQ6" s="97">
        <v>0</v>
      </c>
      <c r="AR6" s="100">
        <f>AP6-AQ6</f>
        <v>1</v>
      </c>
      <c r="AS6" s="98">
        <v>1</v>
      </c>
      <c r="AT6" s="99">
        <f>+AQ6+AS6*$C6</f>
        <v>1</v>
      </c>
      <c r="AU6" s="97">
        <v>1</v>
      </c>
      <c r="AV6" s="100">
        <f>AT6-AU6</f>
        <v>0</v>
      </c>
      <c r="AW6" s="98"/>
      <c r="AX6" s="99">
        <f>+AU6+AW6*$C6</f>
        <v>1</v>
      </c>
      <c r="AY6" s="97">
        <v>1</v>
      </c>
      <c r="AZ6" s="100">
        <f>AX6-AY6</f>
        <v>0</v>
      </c>
      <c r="BA6" s="98"/>
      <c r="BB6" s="99">
        <f>+AY6+BA6*$C6</f>
        <v>1</v>
      </c>
      <c r="BC6" s="97"/>
      <c r="BD6" s="100">
        <f>BB6-BC6</f>
        <v>1</v>
      </c>
      <c r="BE6" s="98">
        <v>1</v>
      </c>
      <c r="BF6" s="99">
        <f>+BC6+BE6*$C6</f>
        <v>1</v>
      </c>
      <c r="BG6" s="97">
        <v>1</v>
      </c>
      <c r="BH6" s="100">
        <f>BF6-BG6</f>
        <v>0</v>
      </c>
      <c r="BI6" s="98"/>
      <c r="BJ6" s="99">
        <f>+BG6+BI6*$C6</f>
        <v>1</v>
      </c>
      <c r="BK6" s="97">
        <v>0</v>
      </c>
      <c r="BL6" s="100">
        <f t="shared" si="5"/>
        <v>1</v>
      </c>
      <c r="BM6" s="98">
        <v>1</v>
      </c>
      <c r="BN6" s="99">
        <f>+BK6+BM6*$C6</f>
        <v>1</v>
      </c>
      <c r="BO6" s="97">
        <v>1</v>
      </c>
      <c r="BP6" s="100">
        <f>BN6-BO6</f>
        <v>0</v>
      </c>
      <c r="BQ6" s="98">
        <v>1</v>
      </c>
      <c r="BR6" s="99">
        <f>+BO6+BQ6*$C6</f>
        <v>2</v>
      </c>
      <c r="BS6" s="97">
        <v>1</v>
      </c>
      <c r="BT6" s="100">
        <f t="shared" si="6"/>
        <v>1</v>
      </c>
      <c r="BU6" s="98">
        <v>1</v>
      </c>
      <c r="BV6" s="99">
        <f>+BS6+BU6*$C6</f>
        <v>2</v>
      </c>
      <c r="BW6" s="97"/>
      <c r="BX6" s="100">
        <f t="shared" si="7"/>
        <v>2</v>
      </c>
      <c r="BY6" s="98"/>
      <c r="BZ6" s="99">
        <f>+BW6+BY6*$C6</f>
        <v>0</v>
      </c>
      <c r="CA6" s="97"/>
      <c r="CB6" s="100">
        <f t="shared" si="8"/>
        <v>0</v>
      </c>
      <c r="CC6" s="98"/>
      <c r="CD6" s="99">
        <f>+CA6+CC6*$C6</f>
        <v>0</v>
      </c>
      <c r="CE6" s="97"/>
      <c r="CF6" s="100">
        <f t="shared" si="9"/>
        <v>0</v>
      </c>
      <c r="CG6" s="98"/>
      <c r="CH6" s="99">
        <f>+CE6+CG6*$C6</f>
        <v>0</v>
      </c>
      <c r="CI6" s="97"/>
      <c r="CJ6" s="100">
        <f t="shared" si="10"/>
        <v>0</v>
      </c>
      <c r="CK6" s="98"/>
      <c r="CL6" s="99">
        <f>+CI6+CK6*$C6</f>
        <v>0</v>
      </c>
      <c r="CM6" s="97"/>
      <c r="CN6" s="100">
        <f t="shared" si="11"/>
        <v>0</v>
      </c>
      <c r="CO6" s="98"/>
      <c r="CP6" s="99">
        <f>+CM6+CO6*$C6</f>
        <v>0</v>
      </c>
      <c r="CQ6" s="97"/>
      <c r="CR6" s="100">
        <f t="shared" si="12"/>
        <v>0</v>
      </c>
      <c r="CS6" s="98"/>
      <c r="CT6" s="99">
        <f>+CQ6+CS6*$C6</f>
        <v>0</v>
      </c>
      <c r="CU6" s="97"/>
      <c r="CV6" s="100">
        <f t="shared" si="13"/>
        <v>0</v>
      </c>
      <c r="CW6" s="98"/>
      <c r="CX6" s="99">
        <f>+CU6+CW6*$C6</f>
        <v>0</v>
      </c>
    </row>
    <row r="7" spans="1:102" ht="20.100000000000001" hidden="1" customHeight="1" x14ac:dyDescent="0.25">
      <c r="A7" s="156" t="s">
        <v>161</v>
      </c>
      <c r="B7" s="156" t="s">
        <v>223</v>
      </c>
      <c r="C7" s="96">
        <v>1</v>
      </c>
      <c r="D7" s="97">
        <v>0</v>
      </c>
      <c r="E7" s="101">
        <v>1</v>
      </c>
      <c r="F7" s="99">
        <f t="shared" si="0"/>
        <v>1</v>
      </c>
      <c r="G7" s="97">
        <v>1</v>
      </c>
      <c r="H7" s="100">
        <f t="shared" si="1"/>
        <v>0</v>
      </c>
      <c r="I7" s="98"/>
      <c r="J7" s="99">
        <f t="shared" si="2"/>
        <v>1</v>
      </c>
      <c r="K7" s="97">
        <v>1</v>
      </c>
      <c r="L7" s="100">
        <f t="shared" si="3"/>
        <v>0</v>
      </c>
      <c r="M7" s="98">
        <v>0</v>
      </c>
      <c r="N7" s="99">
        <f t="shared" si="4"/>
        <v>1</v>
      </c>
      <c r="O7" s="97">
        <v>1</v>
      </c>
      <c r="P7" s="100">
        <v>1</v>
      </c>
      <c r="Q7" s="98">
        <v>1</v>
      </c>
      <c r="R7" s="99">
        <f t="shared" ref="R7:R52" si="14">+O7+Q7*$C7</f>
        <v>2</v>
      </c>
      <c r="S7" s="97">
        <v>2</v>
      </c>
      <c r="T7" s="100">
        <f t="shared" ref="T7:T52" si="15">R7-S7</f>
        <v>0</v>
      </c>
      <c r="U7" s="98"/>
      <c r="V7" s="99">
        <f t="shared" ref="V7:V52" si="16">+S7+U7*$C7</f>
        <v>2</v>
      </c>
      <c r="W7" s="97">
        <v>2</v>
      </c>
      <c r="X7" s="100">
        <v>0</v>
      </c>
      <c r="Y7" s="98">
        <v>0</v>
      </c>
      <c r="Z7" s="99">
        <f t="shared" ref="Z7:Z52" si="17">+W7+Y7*$C7</f>
        <v>2</v>
      </c>
      <c r="AA7" s="97">
        <v>2</v>
      </c>
      <c r="AB7" s="100">
        <f t="shared" ref="AB7:AB52" si="18">Z7-AA7</f>
        <v>0</v>
      </c>
      <c r="AC7" s="98">
        <v>0</v>
      </c>
      <c r="AD7" s="99">
        <f t="shared" ref="AD7:AD52" si="19">+AA7+AC7*$C7</f>
        <v>2</v>
      </c>
      <c r="AE7" s="97">
        <v>2</v>
      </c>
      <c r="AF7" s="100">
        <f t="shared" ref="AF7:AF52" si="20">AD7-AE7</f>
        <v>0</v>
      </c>
      <c r="AG7" s="98"/>
      <c r="AH7" s="99">
        <f t="shared" ref="AH7:AH52" si="21">+AE7+AG7*$C7</f>
        <v>2</v>
      </c>
      <c r="AI7" s="97">
        <v>1</v>
      </c>
      <c r="AJ7" s="100">
        <f t="shared" ref="AJ7:AJ52" si="22">AH7-AI7</f>
        <v>1</v>
      </c>
      <c r="AK7" s="98"/>
      <c r="AL7" s="99">
        <f t="shared" ref="AL7:AL52" si="23">+AI7+AK7*$C7</f>
        <v>1</v>
      </c>
      <c r="AM7" s="97">
        <v>1</v>
      </c>
      <c r="AN7" s="100">
        <f t="shared" ref="AN7:AN52" si="24">AL7-AM7</f>
        <v>0</v>
      </c>
      <c r="AO7" s="98"/>
      <c r="AP7" s="99">
        <f t="shared" ref="AP7:AP52" si="25">+AM7+AO7*$C7</f>
        <v>1</v>
      </c>
      <c r="AQ7" s="97">
        <v>1</v>
      </c>
      <c r="AR7" s="100">
        <f t="shared" ref="AR7:AR52" si="26">AP7-AQ7</f>
        <v>0</v>
      </c>
      <c r="AS7" s="98"/>
      <c r="AT7" s="99">
        <f t="shared" ref="AT7:AT52" si="27">+AQ7+AS7*$C7</f>
        <v>1</v>
      </c>
      <c r="AU7" s="97">
        <v>1</v>
      </c>
      <c r="AV7" s="100">
        <f t="shared" ref="AV7:AV52" si="28">AT7-AU7</f>
        <v>0</v>
      </c>
      <c r="AW7" s="98"/>
      <c r="AX7" s="99">
        <f t="shared" ref="AX7:AX52" si="29">+AU7+AW7*$C7</f>
        <v>1</v>
      </c>
      <c r="AY7" s="97">
        <v>1</v>
      </c>
      <c r="AZ7" s="100">
        <f t="shared" ref="AZ7:AZ52" si="30">AX7-AY7</f>
        <v>0</v>
      </c>
      <c r="BA7" s="98"/>
      <c r="BB7" s="99">
        <f t="shared" ref="BB7:BB52" si="31">+AY7+BA7*$C7</f>
        <v>1</v>
      </c>
      <c r="BC7" s="97">
        <v>1</v>
      </c>
      <c r="BD7" s="100">
        <f t="shared" ref="BD7:BD52" si="32">BB7-BC7</f>
        <v>0</v>
      </c>
      <c r="BE7" s="98"/>
      <c r="BF7" s="99">
        <f t="shared" ref="BF7:BF52" si="33">+BC7+BE7*$C7</f>
        <v>1</v>
      </c>
      <c r="BG7" s="97">
        <v>0</v>
      </c>
      <c r="BH7" s="100">
        <f t="shared" ref="BH7:BH52" si="34">BF7-BG7</f>
        <v>1</v>
      </c>
      <c r="BI7" s="98">
        <v>1</v>
      </c>
      <c r="BJ7" s="99">
        <f t="shared" ref="BJ7:BJ52" si="35">+BG7+BI7*$C7</f>
        <v>1</v>
      </c>
      <c r="BK7" s="97">
        <v>1</v>
      </c>
      <c r="BL7" s="100">
        <f t="shared" si="5"/>
        <v>0</v>
      </c>
      <c r="BM7" s="98"/>
      <c r="BN7" s="99">
        <f t="shared" ref="BN7:BN52" si="36">+BK7+BM7*$C7</f>
        <v>1</v>
      </c>
      <c r="BO7" s="97">
        <v>1</v>
      </c>
      <c r="BP7" s="100">
        <f t="shared" ref="BP7:BP52" si="37">BN7-BO7</f>
        <v>0</v>
      </c>
      <c r="BQ7" s="98"/>
      <c r="BR7" s="99">
        <f t="shared" ref="BR7:BR52" si="38">+BO7+BQ7*$C7</f>
        <v>1</v>
      </c>
      <c r="BS7" s="97">
        <v>1</v>
      </c>
      <c r="BT7" s="100">
        <f t="shared" si="6"/>
        <v>0</v>
      </c>
      <c r="BU7" s="98"/>
      <c r="BV7" s="99">
        <f t="shared" ref="BV7:BV52" si="39">+BS7+BU7*$C7</f>
        <v>1</v>
      </c>
      <c r="BW7" s="97"/>
      <c r="BX7" s="100">
        <f t="shared" si="7"/>
        <v>1</v>
      </c>
      <c r="BY7" s="98"/>
      <c r="BZ7" s="99">
        <f t="shared" ref="BZ7:BZ52" si="40">+BW7+BY7*$C7</f>
        <v>0</v>
      </c>
      <c r="CA7" s="97"/>
      <c r="CB7" s="100">
        <f t="shared" si="8"/>
        <v>0</v>
      </c>
      <c r="CC7" s="98"/>
      <c r="CD7" s="99">
        <f t="shared" ref="CD7:CD52" si="41">+CA7+CC7*$C7</f>
        <v>0</v>
      </c>
      <c r="CE7" s="97"/>
      <c r="CF7" s="100">
        <f t="shared" si="9"/>
        <v>0</v>
      </c>
      <c r="CG7" s="98"/>
      <c r="CH7" s="99">
        <f t="shared" ref="CH7:CH52" si="42">+CE7+CG7*$C7</f>
        <v>0</v>
      </c>
      <c r="CI7" s="97"/>
      <c r="CJ7" s="100">
        <f t="shared" si="10"/>
        <v>0</v>
      </c>
      <c r="CK7" s="98"/>
      <c r="CL7" s="99">
        <f t="shared" ref="CL7:CL52" si="43">+CI7+CK7*$C7</f>
        <v>0</v>
      </c>
      <c r="CM7" s="97"/>
      <c r="CN7" s="100">
        <f t="shared" si="11"/>
        <v>0</v>
      </c>
      <c r="CO7" s="98"/>
      <c r="CP7" s="99">
        <f t="shared" ref="CP7:CP52" si="44">+CM7+CO7*$C7</f>
        <v>0</v>
      </c>
      <c r="CQ7" s="97"/>
      <c r="CR7" s="100">
        <f t="shared" si="12"/>
        <v>0</v>
      </c>
      <c r="CS7" s="98"/>
      <c r="CT7" s="99">
        <f t="shared" ref="CT7:CT52" si="45">+CQ7+CS7*$C7</f>
        <v>0</v>
      </c>
      <c r="CU7" s="97"/>
      <c r="CV7" s="100">
        <f t="shared" si="13"/>
        <v>0</v>
      </c>
      <c r="CW7" s="98"/>
      <c r="CX7" s="99">
        <f t="shared" ref="CX7:CX52" si="46">+CU7+CW7*$C7</f>
        <v>0</v>
      </c>
    </row>
    <row r="8" spans="1:102" ht="20.100000000000001" customHeight="1" x14ac:dyDescent="0.25">
      <c r="A8" s="156" t="s">
        <v>162</v>
      </c>
      <c r="B8" s="156" t="s">
        <v>223</v>
      </c>
      <c r="C8" s="96">
        <v>1</v>
      </c>
      <c r="D8" s="97">
        <v>2</v>
      </c>
      <c r="E8" s="101">
        <v>1</v>
      </c>
      <c r="F8" s="99">
        <f t="shared" si="0"/>
        <v>3</v>
      </c>
      <c r="G8" s="97">
        <v>1</v>
      </c>
      <c r="H8" s="100">
        <f t="shared" si="1"/>
        <v>2</v>
      </c>
      <c r="I8" s="101">
        <v>2</v>
      </c>
      <c r="J8" s="99">
        <f t="shared" si="2"/>
        <v>3</v>
      </c>
      <c r="K8" s="97">
        <v>2</v>
      </c>
      <c r="L8" s="100">
        <f t="shared" si="3"/>
        <v>1</v>
      </c>
      <c r="M8" s="101">
        <v>2</v>
      </c>
      <c r="N8" s="99">
        <f t="shared" si="4"/>
        <v>4</v>
      </c>
      <c r="O8" s="97">
        <v>2</v>
      </c>
      <c r="P8" s="100">
        <v>1</v>
      </c>
      <c r="Q8" s="98"/>
      <c r="R8" s="99">
        <f t="shared" si="14"/>
        <v>2</v>
      </c>
      <c r="S8" s="97">
        <v>2</v>
      </c>
      <c r="T8" s="100">
        <f t="shared" si="15"/>
        <v>0</v>
      </c>
      <c r="U8" s="98"/>
      <c r="V8" s="99">
        <f t="shared" si="16"/>
        <v>2</v>
      </c>
      <c r="W8" s="97">
        <v>1</v>
      </c>
      <c r="X8" s="100">
        <v>1</v>
      </c>
      <c r="Y8" s="98">
        <v>1</v>
      </c>
      <c r="Z8" s="99">
        <f t="shared" si="17"/>
        <v>2</v>
      </c>
      <c r="AA8" s="97">
        <v>1</v>
      </c>
      <c r="AB8" s="100">
        <f t="shared" si="18"/>
        <v>1</v>
      </c>
      <c r="AC8" s="98">
        <v>0</v>
      </c>
      <c r="AD8" s="99">
        <f t="shared" si="19"/>
        <v>1</v>
      </c>
      <c r="AE8" s="97"/>
      <c r="AF8" s="100">
        <f t="shared" si="20"/>
        <v>1</v>
      </c>
      <c r="AG8" s="101">
        <v>2</v>
      </c>
      <c r="AH8" s="99">
        <f t="shared" si="21"/>
        <v>2</v>
      </c>
      <c r="AI8" s="97">
        <v>1</v>
      </c>
      <c r="AJ8" s="100">
        <f t="shared" si="22"/>
        <v>1</v>
      </c>
      <c r="AK8" s="101">
        <v>1</v>
      </c>
      <c r="AL8" s="99">
        <f t="shared" si="23"/>
        <v>2</v>
      </c>
      <c r="AM8" s="97">
        <v>1</v>
      </c>
      <c r="AN8" s="100">
        <f t="shared" si="24"/>
        <v>1</v>
      </c>
      <c r="AO8" s="98">
        <v>1</v>
      </c>
      <c r="AP8" s="99">
        <f t="shared" si="25"/>
        <v>2</v>
      </c>
      <c r="AQ8" s="97">
        <v>0</v>
      </c>
      <c r="AR8" s="100">
        <f t="shared" si="26"/>
        <v>2</v>
      </c>
      <c r="AS8" s="98">
        <v>2</v>
      </c>
      <c r="AT8" s="99">
        <f t="shared" si="27"/>
        <v>2</v>
      </c>
      <c r="AU8" s="97">
        <v>2</v>
      </c>
      <c r="AV8" s="100">
        <f t="shared" si="28"/>
        <v>0</v>
      </c>
      <c r="AW8" s="98"/>
      <c r="AX8" s="99">
        <f t="shared" si="29"/>
        <v>2</v>
      </c>
      <c r="AY8" s="97">
        <v>1</v>
      </c>
      <c r="AZ8" s="100">
        <f t="shared" si="30"/>
        <v>1</v>
      </c>
      <c r="BA8" s="98">
        <v>1</v>
      </c>
      <c r="BB8" s="99">
        <f t="shared" si="31"/>
        <v>2</v>
      </c>
      <c r="BC8" s="97">
        <v>1</v>
      </c>
      <c r="BD8" s="100">
        <f t="shared" si="32"/>
        <v>1</v>
      </c>
      <c r="BE8" s="98">
        <v>1</v>
      </c>
      <c r="BF8" s="99">
        <f t="shared" si="33"/>
        <v>2</v>
      </c>
      <c r="BG8" s="97">
        <v>1</v>
      </c>
      <c r="BH8" s="100">
        <f t="shared" si="34"/>
        <v>1</v>
      </c>
      <c r="BI8" s="98">
        <v>1</v>
      </c>
      <c r="BJ8" s="99">
        <f t="shared" si="35"/>
        <v>2</v>
      </c>
      <c r="BK8" s="97">
        <v>1</v>
      </c>
      <c r="BL8" s="100">
        <f t="shared" si="5"/>
        <v>1</v>
      </c>
      <c r="BM8" s="98">
        <v>1</v>
      </c>
      <c r="BN8" s="99">
        <f t="shared" si="36"/>
        <v>2</v>
      </c>
      <c r="BO8" s="97">
        <v>1</v>
      </c>
      <c r="BP8" s="100">
        <f t="shared" si="37"/>
        <v>1</v>
      </c>
      <c r="BQ8" s="98">
        <v>1</v>
      </c>
      <c r="BR8" s="99">
        <f t="shared" si="38"/>
        <v>2</v>
      </c>
      <c r="BS8" s="97">
        <v>1</v>
      </c>
      <c r="BT8" s="100">
        <f t="shared" si="6"/>
        <v>1</v>
      </c>
      <c r="BU8" s="98">
        <v>1</v>
      </c>
      <c r="BV8" s="99">
        <f t="shared" si="39"/>
        <v>2</v>
      </c>
      <c r="BW8" s="97"/>
      <c r="BX8" s="100">
        <f t="shared" si="7"/>
        <v>2</v>
      </c>
      <c r="BY8" s="98"/>
      <c r="BZ8" s="99">
        <f t="shared" si="40"/>
        <v>0</v>
      </c>
      <c r="CA8" s="97"/>
      <c r="CB8" s="100">
        <f t="shared" si="8"/>
        <v>0</v>
      </c>
      <c r="CC8" s="98"/>
      <c r="CD8" s="99">
        <f t="shared" si="41"/>
        <v>0</v>
      </c>
      <c r="CE8" s="97"/>
      <c r="CF8" s="100">
        <f t="shared" si="9"/>
        <v>0</v>
      </c>
      <c r="CG8" s="98"/>
      <c r="CH8" s="99">
        <f t="shared" si="42"/>
        <v>0</v>
      </c>
      <c r="CI8" s="97"/>
      <c r="CJ8" s="100">
        <f t="shared" si="10"/>
        <v>0</v>
      </c>
      <c r="CK8" s="98"/>
      <c r="CL8" s="99">
        <f t="shared" si="43"/>
        <v>0</v>
      </c>
      <c r="CM8" s="97"/>
      <c r="CN8" s="100">
        <f t="shared" si="11"/>
        <v>0</v>
      </c>
      <c r="CO8" s="98"/>
      <c r="CP8" s="99">
        <f t="shared" si="44"/>
        <v>0</v>
      </c>
      <c r="CQ8" s="97"/>
      <c r="CR8" s="100">
        <f t="shared" si="12"/>
        <v>0</v>
      </c>
      <c r="CS8" s="98"/>
      <c r="CT8" s="99">
        <f t="shared" si="45"/>
        <v>0</v>
      </c>
      <c r="CU8" s="97"/>
      <c r="CV8" s="100">
        <f t="shared" si="13"/>
        <v>0</v>
      </c>
      <c r="CW8" s="98"/>
      <c r="CX8" s="99">
        <f t="shared" si="46"/>
        <v>0</v>
      </c>
    </row>
    <row r="9" spans="1:102" ht="20.100000000000001" hidden="1" customHeight="1" x14ac:dyDescent="0.25">
      <c r="A9" s="156" t="s">
        <v>163</v>
      </c>
      <c r="B9" s="156" t="s">
        <v>223</v>
      </c>
      <c r="C9" s="96">
        <v>1</v>
      </c>
      <c r="D9" s="97">
        <v>1</v>
      </c>
      <c r="E9" s="98"/>
      <c r="F9" s="99">
        <f t="shared" si="0"/>
        <v>1</v>
      </c>
      <c r="G9" s="97"/>
      <c r="H9" s="100">
        <f t="shared" si="1"/>
        <v>1</v>
      </c>
      <c r="I9" s="101">
        <v>1</v>
      </c>
      <c r="J9" s="99">
        <f t="shared" si="2"/>
        <v>1</v>
      </c>
      <c r="K9" s="97">
        <v>1</v>
      </c>
      <c r="L9" s="100">
        <f t="shared" si="3"/>
        <v>0</v>
      </c>
      <c r="M9" s="98">
        <v>0</v>
      </c>
      <c r="N9" s="99">
        <f t="shared" si="4"/>
        <v>1</v>
      </c>
      <c r="O9" s="97">
        <v>1</v>
      </c>
      <c r="P9" s="100">
        <v>0</v>
      </c>
      <c r="Q9" s="98"/>
      <c r="R9" s="99">
        <f t="shared" si="14"/>
        <v>1</v>
      </c>
      <c r="S9" s="97">
        <v>1</v>
      </c>
      <c r="T9" s="100">
        <f t="shared" si="15"/>
        <v>0</v>
      </c>
      <c r="U9" s="98"/>
      <c r="V9" s="99">
        <f t="shared" si="16"/>
        <v>1</v>
      </c>
      <c r="W9" s="97">
        <v>1</v>
      </c>
      <c r="X9" s="100">
        <v>0</v>
      </c>
      <c r="Y9" s="98">
        <v>0</v>
      </c>
      <c r="Z9" s="99">
        <f t="shared" si="17"/>
        <v>1</v>
      </c>
      <c r="AA9" s="97">
        <v>1</v>
      </c>
      <c r="AB9" s="100">
        <f t="shared" si="18"/>
        <v>0</v>
      </c>
      <c r="AC9" s="98">
        <v>0</v>
      </c>
      <c r="AD9" s="99">
        <f t="shared" si="19"/>
        <v>1</v>
      </c>
      <c r="AE9" s="97">
        <v>1</v>
      </c>
      <c r="AF9" s="100">
        <f t="shared" si="20"/>
        <v>0</v>
      </c>
      <c r="AG9" s="98"/>
      <c r="AH9" s="99">
        <f t="shared" si="21"/>
        <v>1</v>
      </c>
      <c r="AI9" s="97">
        <v>1</v>
      </c>
      <c r="AJ9" s="100">
        <f t="shared" si="22"/>
        <v>0</v>
      </c>
      <c r="AK9" s="101">
        <v>1</v>
      </c>
      <c r="AL9" s="99">
        <f t="shared" si="23"/>
        <v>2</v>
      </c>
      <c r="AM9" s="97">
        <v>2</v>
      </c>
      <c r="AN9" s="100">
        <f t="shared" si="24"/>
        <v>0</v>
      </c>
      <c r="AO9" s="98"/>
      <c r="AP9" s="99">
        <f t="shared" si="25"/>
        <v>2</v>
      </c>
      <c r="AQ9" s="97">
        <v>1</v>
      </c>
      <c r="AR9" s="100">
        <f t="shared" si="26"/>
        <v>1</v>
      </c>
      <c r="AS9" s="98"/>
      <c r="AT9" s="99">
        <f t="shared" si="27"/>
        <v>1</v>
      </c>
      <c r="AU9" s="97">
        <v>1</v>
      </c>
      <c r="AV9" s="100">
        <f t="shared" si="28"/>
        <v>0</v>
      </c>
      <c r="AW9" s="98"/>
      <c r="AX9" s="99">
        <f t="shared" si="29"/>
        <v>1</v>
      </c>
      <c r="AY9" s="97">
        <v>1</v>
      </c>
      <c r="AZ9" s="100">
        <f t="shared" si="30"/>
        <v>0</v>
      </c>
      <c r="BA9" s="98"/>
      <c r="BB9" s="99">
        <f t="shared" si="31"/>
        <v>1</v>
      </c>
      <c r="BC9" s="97">
        <v>1</v>
      </c>
      <c r="BD9" s="100">
        <f t="shared" si="32"/>
        <v>0</v>
      </c>
      <c r="BE9" s="98"/>
      <c r="BF9" s="99">
        <f t="shared" si="33"/>
        <v>1</v>
      </c>
      <c r="BG9" s="97">
        <v>1</v>
      </c>
      <c r="BH9" s="100">
        <f t="shared" si="34"/>
        <v>0</v>
      </c>
      <c r="BI9" s="98"/>
      <c r="BJ9" s="99">
        <f t="shared" si="35"/>
        <v>1</v>
      </c>
      <c r="BK9" s="97">
        <v>1</v>
      </c>
      <c r="BL9" s="100">
        <f t="shared" si="5"/>
        <v>0</v>
      </c>
      <c r="BM9" s="98"/>
      <c r="BN9" s="99">
        <f t="shared" si="36"/>
        <v>1</v>
      </c>
      <c r="BO9" s="97">
        <v>1</v>
      </c>
      <c r="BP9" s="100">
        <f t="shared" si="37"/>
        <v>0</v>
      </c>
      <c r="BQ9" s="98">
        <v>1</v>
      </c>
      <c r="BR9" s="99">
        <f t="shared" si="38"/>
        <v>2</v>
      </c>
      <c r="BS9" s="97">
        <v>2</v>
      </c>
      <c r="BT9" s="100">
        <f t="shared" si="6"/>
        <v>0</v>
      </c>
      <c r="BU9" s="98"/>
      <c r="BV9" s="99">
        <f t="shared" si="39"/>
        <v>2</v>
      </c>
      <c r="BW9" s="97"/>
      <c r="BX9" s="100">
        <f t="shared" si="7"/>
        <v>2</v>
      </c>
      <c r="BY9" s="98"/>
      <c r="BZ9" s="99">
        <f t="shared" si="40"/>
        <v>0</v>
      </c>
      <c r="CA9" s="97"/>
      <c r="CB9" s="100">
        <f t="shared" si="8"/>
        <v>0</v>
      </c>
      <c r="CC9" s="98"/>
      <c r="CD9" s="99">
        <f t="shared" si="41"/>
        <v>0</v>
      </c>
      <c r="CE9" s="97"/>
      <c r="CF9" s="100">
        <f t="shared" si="9"/>
        <v>0</v>
      </c>
      <c r="CG9" s="98"/>
      <c r="CH9" s="99">
        <f t="shared" si="42"/>
        <v>0</v>
      </c>
      <c r="CI9" s="97"/>
      <c r="CJ9" s="100">
        <f t="shared" si="10"/>
        <v>0</v>
      </c>
      <c r="CK9" s="98"/>
      <c r="CL9" s="99">
        <f t="shared" si="43"/>
        <v>0</v>
      </c>
      <c r="CM9" s="97"/>
      <c r="CN9" s="100">
        <f t="shared" si="11"/>
        <v>0</v>
      </c>
      <c r="CO9" s="98"/>
      <c r="CP9" s="99">
        <f t="shared" si="44"/>
        <v>0</v>
      </c>
      <c r="CQ9" s="97"/>
      <c r="CR9" s="100">
        <f t="shared" si="12"/>
        <v>0</v>
      </c>
      <c r="CS9" s="98"/>
      <c r="CT9" s="99">
        <f t="shared" si="45"/>
        <v>0</v>
      </c>
      <c r="CU9" s="97"/>
      <c r="CV9" s="100">
        <f t="shared" si="13"/>
        <v>0</v>
      </c>
      <c r="CW9" s="98"/>
      <c r="CX9" s="99">
        <f t="shared" si="46"/>
        <v>0</v>
      </c>
    </row>
    <row r="10" spans="1:102" ht="20.100000000000001" hidden="1" customHeight="1" x14ac:dyDescent="0.25">
      <c r="A10" s="156" t="s">
        <v>164</v>
      </c>
      <c r="B10" s="156" t="s">
        <v>223</v>
      </c>
      <c r="C10" s="96">
        <v>1</v>
      </c>
      <c r="D10" s="97">
        <v>0</v>
      </c>
      <c r="E10" s="101">
        <v>1</v>
      </c>
      <c r="F10" s="99">
        <f t="shared" si="0"/>
        <v>1</v>
      </c>
      <c r="G10" s="97">
        <v>1</v>
      </c>
      <c r="H10" s="100">
        <f t="shared" si="1"/>
        <v>0</v>
      </c>
      <c r="I10" s="101">
        <v>0</v>
      </c>
      <c r="J10" s="99">
        <f t="shared" si="2"/>
        <v>1</v>
      </c>
      <c r="K10" s="97">
        <v>1</v>
      </c>
      <c r="L10" s="100">
        <f t="shared" si="3"/>
        <v>0</v>
      </c>
      <c r="M10" s="98">
        <v>0</v>
      </c>
      <c r="N10" s="99">
        <f t="shared" si="4"/>
        <v>1</v>
      </c>
      <c r="O10" s="97">
        <v>1</v>
      </c>
      <c r="P10" s="100">
        <v>0</v>
      </c>
      <c r="Q10" s="98"/>
      <c r="R10" s="99">
        <f t="shared" si="14"/>
        <v>1</v>
      </c>
      <c r="S10" s="97">
        <v>1</v>
      </c>
      <c r="T10" s="100">
        <f t="shared" si="15"/>
        <v>0</v>
      </c>
      <c r="U10" s="98"/>
      <c r="V10" s="99">
        <f t="shared" si="16"/>
        <v>1</v>
      </c>
      <c r="W10" s="97">
        <v>1</v>
      </c>
      <c r="X10" s="100">
        <v>0</v>
      </c>
      <c r="Y10" s="98">
        <v>0</v>
      </c>
      <c r="Z10" s="99">
        <f t="shared" si="17"/>
        <v>1</v>
      </c>
      <c r="AA10" s="97">
        <v>1</v>
      </c>
      <c r="AB10" s="100">
        <f t="shared" si="18"/>
        <v>0</v>
      </c>
      <c r="AC10" s="98">
        <v>0</v>
      </c>
      <c r="AD10" s="99">
        <f t="shared" si="19"/>
        <v>1</v>
      </c>
      <c r="AE10" s="97">
        <v>1</v>
      </c>
      <c r="AF10" s="100">
        <f t="shared" si="20"/>
        <v>0</v>
      </c>
      <c r="AG10" s="98"/>
      <c r="AH10" s="99">
        <f t="shared" si="21"/>
        <v>1</v>
      </c>
      <c r="AI10" s="97">
        <v>1</v>
      </c>
      <c r="AJ10" s="100">
        <f t="shared" si="22"/>
        <v>0</v>
      </c>
      <c r="AK10" s="98"/>
      <c r="AL10" s="99">
        <f t="shared" si="23"/>
        <v>1</v>
      </c>
      <c r="AM10" s="97">
        <v>1</v>
      </c>
      <c r="AN10" s="100">
        <f t="shared" si="24"/>
        <v>0</v>
      </c>
      <c r="AO10" s="98">
        <v>1</v>
      </c>
      <c r="AP10" s="99">
        <f t="shared" si="25"/>
        <v>2</v>
      </c>
      <c r="AQ10" s="97">
        <v>1</v>
      </c>
      <c r="AR10" s="100">
        <f t="shared" si="26"/>
        <v>1</v>
      </c>
      <c r="AS10" s="98"/>
      <c r="AT10" s="99">
        <f t="shared" si="27"/>
        <v>1</v>
      </c>
      <c r="AU10" s="97">
        <v>1</v>
      </c>
      <c r="AV10" s="100">
        <f t="shared" si="28"/>
        <v>0</v>
      </c>
      <c r="AW10" s="98"/>
      <c r="AX10" s="99">
        <f t="shared" si="29"/>
        <v>1</v>
      </c>
      <c r="AY10" s="97">
        <v>1</v>
      </c>
      <c r="AZ10" s="100">
        <f t="shared" si="30"/>
        <v>0</v>
      </c>
      <c r="BA10" s="98"/>
      <c r="BB10" s="99">
        <f t="shared" si="31"/>
        <v>1</v>
      </c>
      <c r="BC10" s="97">
        <v>1</v>
      </c>
      <c r="BD10" s="100">
        <f t="shared" si="32"/>
        <v>0</v>
      </c>
      <c r="BE10" s="98"/>
      <c r="BF10" s="99">
        <f t="shared" si="33"/>
        <v>1</v>
      </c>
      <c r="BG10" s="97">
        <v>1</v>
      </c>
      <c r="BH10" s="100">
        <f t="shared" si="34"/>
        <v>0</v>
      </c>
      <c r="BI10" s="98"/>
      <c r="BJ10" s="99">
        <f t="shared" si="35"/>
        <v>1</v>
      </c>
      <c r="BK10" s="97">
        <v>1</v>
      </c>
      <c r="BL10" s="100">
        <f t="shared" si="5"/>
        <v>0</v>
      </c>
      <c r="BM10" s="98"/>
      <c r="BN10" s="99">
        <f t="shared" si="36"/>
        <v>1</v>
      </c>
      <c r="BO10" s="97">
        <v>1</v>
      </c>
      <c r="BP10" s="100">
        <f t="shared" si="37"/>
        <v>0</v>
      </c>
      <c r="BQ10" s="98"/>
      <c r="BR10" s="99">
        <f t="shared" si="38"/>
        <v>1</v>
      </c>
      <c r="BS10" s="97">
        <v>1</v>
      </c>
      <c r="BT10" s="100">
        <f t="shared" si="6"/>
        <v>0</v>
      </c>
      <c r="BU10" s="98"/>
      <c r="BV10" s="99">
        <f t="shared" si="39"/>
        <v>1</v>
      </c>
      <c r="BW10" s="97"/>
      <c r="BX10" s="100">
        <f t="shared" si="7"/>
        <v>1</v>
      </c>
      <c r="BY10" s="98"/>
      <c r="BZ10" s="99">
        <f t="shared" si="40"/>
        <v>0</v>
      </c>
      <c r="CA10" s="97"/>
      <c r="CB10" s="100">
        <f t="shared" si="8"/>
        <v>0</v>
      </c>
      <c r="CC10" s="98"/>
      <c r="CD10" s="99">
        <f t="shared" si="41"/>
        <v>0</v>
      </c>
      <c r="CE10" s="97"/>
      <c r="CF10" s="100">
        <f t="shared" si="9"/>
        <v>0</v>
      </c>
      <c r="CG10" s="98"/>
      <c r="CH10" s="99">
        <f t="shared" si="42"/>
        <v>0</v>
      </c>
      <c r="CI10" s="97"/>
      <c r="CJ10" s="100">
        <f t="shared" si="10"/>
        <v>0</v>
      </c>
      <c r="CK10" s="98"/>
      <c r="CL10" s="99">
        <f t="shared" si="43"/>
        <v>0</v>
      </c>
      <c r="CM10" s="97"/>
      <c r="CN10" s="100">
        <f t="shared" si="11"/>
        <v>0</v>
      </c>
      <c r="CO10" s="98"/>
      <c r="CP10" s="99">
        <f t="shared" si="44"/>
        <v>0</v>
      </c>
      <c r="CQ10" s="97"/>
      <c r="CR10" s="100">
        <f t="shared" si="12"/>
        <v>0</v>
      </c>
      <c r="CS10" s="98"/>
      <c r="CT10" s="99">
        <f t="shared" si="45"/>
        <v>0</v>
      </c>
      <c r="CU10" s="97"/>
      <c r="CV10" s="100">
        <f t="shared" si="13"/>
        <v>0</v>
      </c>
      <c r="CW10" s="98"/>
      <c r="CX10" s="99">
        <f t="shared" si="46"/>
        <v>0</v>
      </c>
    </row>
    <row r="11" spans="1:102" ht="20.100000000000001" customHeight="1" thickBot="1" x14ac:dyDescent="0.3">
      <c r="A11" s="197" t="s">
        <v>165</v>
      </c>
      <c r="B11" s="197" t="s">
        <v>223</v>
      </c>
      <c r="C11" s="102">
        <v>1</v>
      </c>
      <c r="D11" s="103">
        <v>0</v>
      </c>
      <c r="E11" s="104">
        <v>1</v>
      </c>
      <c r="F11" s="105">
        <f t="shared" si="0"/>
        <v>1</v>
      </c>
      <c r="G11" s="103">
        <v>1</v>
      </c>
      <c r="H11" s="106">
        <f t="shared" si="1"/>
        <v>0</v>
      </c>
      <c r="I11" s="107"/>
      <c r="J11" s="105">
        <f t="shared" si="2"/>
        <v>1</v>
      </c>
      <c r="K11" s="103">
        <v>1</v>
      </c>
      <c r="L11" s="106">
        <f t="shared" si="3"/>
        <v>0</v>
      </c>
      <c r="M11" s="107">
        <v>0</v>
      </c>
      <c r="N11" s="105">
        <f t="shared" si="4"/>
        <v>1</v>
      </c>
      <c r="O11" s="103">
        <v>2</v>
      </c>
      <c r="P11" s="106">
        <v>0</v>
      </c>
      <c r="Q11" s="107"/>
      <c r="R11" s="105">
        <f t="shared" si="14"/>
        <v>2</v>
      </c>
      <c r="S11" s="103">
        <v>2</v>
      </c>
      <c r="T11" s="106">
        <f t="shared" si="15"/>
        <v>0</v>
      </c>
      <c r="U11" s="107"/>
      <c r="V11" s="105">
        <f t="shared" si="16"/>
        <v>2</v>
      </c>
      <c r="W11" s="103">
        <v>2</v>
      </c>
      <c r="X11" s="106">
        <v>0</v>
      </c>
      <c r="Y11" s="107">
        <v>0</v>
      </c>
      <c r="Z11" s="105">
        <f t="shared" si="17"/>
        <v>2</v>
      </c>
      <c r="AA11" s="103">
        <v>2</v>
      </c>
      <c r="AB11" s="106">
        <f t="shared" si="18"/>
        <v>0</v>
      </c>
      <c r="AC11" s="107">
        <v>0</v>
      </c>
      <c r="AD11" s="105">
        <f t="shared" si="19"/>
        <v>2</v>
      </c>
      <c r="AE11" s="103">
        <v>2</v>
      </c>
      <c r="AF11" s="106">
        <f t="shared" si="20"/>
        <v>0</v>
      </c>
      <c r="AG11" s="107"/>
      <c r="AH11" s="105">
        <f t="shared" si="21"/>
        <v>2</v>
      </c>
      <c r="AI11" s="103">
        <v>1</v>
      </c>
      <c r="AJ11" s="106">
        <f t="shared" si="22"/>
        <v>1</v>
      </c>
      <c r="AK11" s="107"/>
      <c r="AL11" s="105">
        <f t="shared" si="23"/>
        <v>1</v>
      </c>
      <c r="AM11" s="103">
        <v>1</v>
      </c>
      <c r="AN11" s="106">
        <f t="shared" si="24"/>
        <v>0</v>
      </c>
      <c r="AO11" s="107"/>
      <c r="AP11" s="105">
        <f t="shared" si="25"/>
        <v>1</v>
      </c>
      <c r="AQ11" s="103">
        <v>1</v>
      </c>
      <c r="AR11" s="106">
        <f t="shared" si="26"/>
        <v>0</v>
      </c>
      <c r="AS11" s="107"/>
      <c r="AT11" s="105">
        <f t="shared" si="27"/>
        <v>1</v>
      </c>
      <c r="AU11" s="103">
        <v>1</v>
      </c>
      <c r="AV11" s="106">
        <f t="shared" si="28"/>
        <v>0</v>
      </c>
      <c r="AW11" s="107"/>
      <c r="AX11" s="105">
        <f t="shared" si="29"/>
        <v>1</v>
      </c>
      <c r="AY11" s="103">
        <v>1</v>
      </c>
      <c r="AZ11" s="106">
        <f t="shared" si="30"/>
        <v>0</v>
      </c>
      <c r="BA11" s="107"/>
      <c r="BB11" s="105">
        <f t="shared" si="31"/>
        <v>1</v>
      </c>
      <c r="BC11" s="103"/>
      <c r="BD11" s="106">
        <f t="shared" si="32"/>
        <v>1</v>
      </c>
      <c r="BE11" s="107">
        <v>1</v>
      </c>
      <c r="BF11" s="105">
        <f t="shared" si="33"/>
        <v>1</v>
      </c>
      <c r="BG11" s="103">
        <v>1</v>
      </c>
      <c r="BH11" s="106">
        <f t="shared" si="34"/>
        <v>0</v>
      </c>
      <c r="BI11" s="107"/>
      <c r="BJ11" s="105">
        <f t="shared" si="35"/>
        <v>1</v>
      </c>
      <c r="BK11" s="103">
        <v>1</v>
      </c>
      <c r="BL11" s="106">
        <f t="shared" si="5"/>
        <v>0</v>
      </c>
      <c r="BM11" s="107"/>
      <c r="BN11" s="105">
        <f t="shared" si="36"/>
        <v>1</v>
      </c>
      <c r="BO11" s="103">
        <v>1</v>
      </c>
      <c r="BP11" s="106">
        <f t="shared" si="37"/>
        <v>0</v>
      </c>
      <c r="BQ11" s="107">
        <v>1</v>
      </c>
      <c r="BR11" s="105">
        <f t="shared" si="38"/>
        <v>2</v>
      </c>
      <c r="BS11" s="103">
        <v>1</v>
      </c>
      <c r="BT11" s="106">
        <f t="shared" si="6"/>
        <v>1</v>
      </c>
      <c r="BU11" s="107">
        <v>1</v>
      </c>
      <c r="BV11" s="105">
        <f t="shared" si="39"/>
        <v>2</v>
      </c>
      <c r="BW11" s="103"/>
      <c r="BX11" s="106">
        <f t="shared" si="7"/>
        <v>2</v>
      </c>
      <c r="BY11" s="107"/>
      <c r="BZ11" s="105">
        <f t="shared" si="40"/>
        <v>0</v>
      </c>
      <c r="CA11" s="103"/>
      <c r="CB11" s="106">
        <f t="shared" si="8"/>
        <v>0</v>
      </c>
      <c r="CC11" s="107"/>
      <c r="CD11" s="105">
        <f t="shared" si="41"/>
        <v>0</v>
      </c>
      <c r="CE11" s="103"/>
      <c r="CF11" s="106">
        <f t="shared" si="9"/>
        <v>0</v>
      </c>
      <c r="CG11" s="107"/>
      <c r="CH11" s="105">
        <f t="shared" si="42"/>
        <v>0</v>
      </c>
      <c r="CI11" s="103"/>
      <c r="CJ11" s="106">
        <f t="shared" si="10"/>
        <v>0</v>
      </c>
      <c r="CK11" s="107"/>
      <c r="CL11" s="105">
        <f t="shared" si="43"/>
        <v>0</v>
      </c>
      <c r="CM11" s="103"/>
      <c r="CN11" s="106">
        <f t="shared" si="11"/>
        <v>0</v>
      </c>
      <c r="CO11" s="107"/>
      <c r="CP11" s="105">
        <f t="shared" si="44"/>
        <v>0</v>
      </c>
      <c r="CQ11" s="103"/>
      <c r="CR11" s="106">
        <f t="shared" si="12"/>
        <v>0</v>
      </c>
      <c r="CS11" s="107"/>
      <c r="CT11" s="105">
        <f t="shared" si="45"/>
        <v>0</v>
      </c>
      <c r="CU11" s="103"/>
      <c r="CV11" s="106">
        <f t="shared" si="13"/>
        <v>0</v>
      </c>
      <c r="CW11" s="107"/>
      <c r="CX11" s="105">
        <f t="shared" si="46"/>
        <v>0</v>
      </c>
    </row>
    <row r="12" spans="1:102" ht="20.100000000000001" customHeight="1" thickTop="1" x14ac:dyDescent="0.25">
      <c r="A12" s="196" t="s">
        <v>166</v>
      </c>
      <c r="B12" s="196" t="s">
        <v>223</v>
      </c>
      <c r="C12" s="90">
        <v>1</v>
      </c>
      <c r="D12" s="91">
        <v>1</v>
      </c>
      <c r="E12" s="92"/>
      <c r="F12" s="93">
        <f t="shared" si="0"/>
        <v>1</v>
      </c>
      <c r="G12" s="91">
        <v>1</v>
      </c>
      <c r="H12" s="94">
        <f t="shared" si="1"/>
        <v>0</v>
      </c>
      <c r="I12" s="92"/>
      <c r="J12" s="93">
        <f t="shared" si="2"/>
        <v>1</v>
      </c>
      <c r="K12" s="91">
        <v>0</v>
      </c>
      <c r="L12" s="94">
        <f t="shared" si="3"/>
        <v>1</v>
      </c>
      <c r="M12" s="92">
        <v>0</v>
      </c>
      <c r="N12" s="93">
        <f t="shared" si="4"/>
        <v>0</v>
      </c>
      <c r="O12" s="91">
        <v>2</v>
      </c>
      <c r="P12" s="94">
        <v>0</v>
      </c>
      <c r="Q12" s="92"/>
      <c r="R12" s="93">
        <f t="shared" si="14"/>
        <v>2</v>
      </c>
      <c r="S12" s="91">
        <v>2</v>
      </c>
      <c r="T12" s="94">
        <f t="shared" si="15"/>
        <v>0</v>
      </c>
      <c r="U12" s="92"/>
      <c r="V12" s="93">
        <f t="shared" si="16"/>
        <v>2</v>
      </c>
      <c r="W12" s="91">
        <v>2</v>
      </c>
      <c r="X12" s="94">
        <v>0</v>
      </c>
      <c r="Y12" s="92">
        <v>0</v>
      </c>
      <c r="Z12" s="93">
        <f t="shared" si="17"/>
        <v>2</v>
      </c>
      <c r="AA12" s="91">
        <v>2</v>
      </c>
      <c r="AB12" s="94">
        <f t="shared" si="18"/>
        <v>0</v>
      </c>
      <c r="AC12" s="92">
        <v>0</v>
      </c>
      <c r="AD12" s="93">
        <f t="shared" si="19"/>
        <v>2</v>
      </c>
      <c r="AE12" s="91">
        <v>2</v>
      </c>
      <c r="AF12" s="94">
        <f t="shared" si="20"/>
        <v>0</v>
      </c>
      <c r="AG12" s="92"/>
      <c r="AH12" s="93">
        <f t="shared" si="21"/>
        <v>2</v>
      </c>
      <c r="AI12" s="91">
        <v>2</v>
      </c>
      <c r="AJ12" s="94">
        <f t="shared" si="22"/>
        <v>0</v>
      </c>
      <c r="AK12" s="92"/>
      <c r="AL12" s="93">
        <f t="shared" si="23"/>
        <v>2</v>
      </c>
      <c r="AM12" s="91">
        <v>2</v>
      </c>
      <c r="AN12" s="94">
        <f t="shared" si="24"/>
        <v>0</v>
      </c>
      <c r="AO12" s="92"/>
      <c r="AP12" s="93">
        <f t="shared" si="25"/>
        <v>2</v>
      </c>
      <c r="AQ12" s="91">
        <v>2</v>
      </c>
      <c r="AR12" s="94">
        <f t="shared" si="26"/>
        <v>0</v>
      </c>
      <c r="AS12" s="92"/>
      <c r="AT12" s="93">
        <f t="shared" si="27"/>
        <v>2</v>
      </c>
      <c r="AU12" s="91">
        <v>2</v>
      </c>
      <c r="AV12" s="94">
        <f t="shared" si="28"/>
        <v>0</v>
      </c>
      <c r="AW12" s="92"/>
      <c r="AX12" s="93">
        <f t="shared" si="29"/>
        <v>2</v>
      </c>
      <c r="AY12" s="91">
        <v>2</v>
      </c>
      <c r="AZ12" s="94">
        <f t="shared" si="30"/>
        <v>0</v>
      </c>
      <c r="BA12" s="92"/>
      <c r="BB12" s="93">
        <f t="shared" si="31"/>
        <v>2</v>
      </c>
      <c r="BC12" s="91">
        <v>2</v>
      </c>
      <c r="BD12" s="94">
        <f t="shared" si="32"/>
        <v>0</v>
      </c>
      <c r="BE12" s="92"/>
      <c r="BF12" s="93">
        <f t="shared" si="33"/>
        <v>2</v>
      </c>
      <c r="BG12" s="91">
        <v>2</v>
      </c>
      <c r="BH12" s="94">
        <f t="shared" si="34"/>
        <v>0</v>
      </c>
      <c r="BI12" s="92"/>
      <c r="BJ12" s="93">
        <f t="shared" si="35"/>
        <v>2</v>
      </c>
      <c r="BK12" s="91">
        <v>2</v>
      </c>
      <c r="BL12" s="94">
        <f t="shared" si="5"/>
        <v>0</v>
      </c>
      <c r="BM12" s="92"/>
      <c r="BN12" s="93">
        <f t="shared" si="36"/>
        <v>2</v>
      </c>
      <c r="BO12" s="91">
        <v>2</v>
      </c>
      <c r="BP12" s="94">
        <f t="shared" si="37"/>
        <v>0</v>
      </c>
      <c r="BQ12" s="92"/>
      <c r="BR12" s="93">
        <f t="shared" si="38"/>
        <v>2</v>
      </c>
      <c r="BS12" s="91">
        <v>1</v>
      </c>
      <c r="BT12" s="94">
        <f t="shared" si="6"/>
        <v>1</v>
      </c>
      <c r="BU12" s="92">
        <v>1</v>
      </c>
      <c r="BV12" s="93">
        <f t="shared" si="39"/>
        <v>2</v>
      </c>
      <c r="BW12" s="91"/>
      <c r="BX12" s="94">
        <f t="shared" si="7"/>
        <v>2</v>
      </c>
      <c r="BY12" s="92"/>
      <c r="BZ12" s="93">
        <f t="shared" si="40"/>
        <v>0</v>
      </c>
      <c r="CA12" s="91"/>
      <c r="CB12" s="94">
        <f t="shared" si="8"/>
        <v>0</v>
      </c>
      <c r="CC12" s="92"/>
      <c r="CD12" s="93">
        <f t="shared" si="41"/>
        <v>0</v>
      </c>
      <c r="CE12" s="91"/>
      <c r="CF12" s="94">
        <f t="shared" si="9"/>
        <v>0</v>
      </c>
      <c r="CG12" s="92"/>
      <c r="CH12" s="93">
        <f t="shared" si="42"/>
        <v>0</v>
      </c>
      <c r="CI12" s="91"/>
      <c r="CJ12" s="94">
        <f t="shared" si="10"/>
        <v>0</v>
      </c>
      <c r="CK12" s="92"/>
      <c r="CL12" s="93">
        <f t="shared" si="43"/>
        <v>0</v>
      </c>
      <c r="CM12" s="91"/>
      <c r="CN12" s="94">
        <f t="shared" si="11"/>
        <v>0</v>
      </c>
      <c r="CO12" s="92"/>
      <c r="CP12" s="93">
        <f t="shared" si="44"/>
        <v>0</v>
      </c>
      <c r="CQ12" s="91"/>
      <c r="CR12" s="94">
        <f t="shared" si="12"/>
        <v>0</v>
      </c>
      <c r="CS12" s="92"/>
      <c r="CT12" s="93">
        <f t="shared" si="45"/>
        <v>0</v>
      </c>
      <c r="CU12" s="91"/>
      <c r="CV12" s="94">
        <f t="shared" si="13"/>
        <v>0</v>
      </c>
      <c r="CW12" s="92"/>
      <c r="CX12" s="93">
        <f t="shared" si="46"/>
        <v>0</v>
      </c>
    </row>
    <row r="13" spans="1:102" ht="20.100000000000001" hidden="1" customHeight="1" x14ac:dyDescent="0.25">
      <c r="A13" s="156" t="s">
        <v>167</v>
      </c>
      <c r="B13" s="156" t="s">
        <v>223</v>
      </c>
      <c r="C13" s="96">
        <v>1</v>
      </c>
      <c r="D13" s="97">
        <v>2</v>
      </c>
      <c r="E13" s="98"/>
      <c r="F13" s="99">
        <f t="shared" si="0"/>
        <v>2</v>
      </c>
      <c r="G13" s="97">
        <v>2</v>
      </c>
      <c r="H13" s="100">
        <f t="shared" si="1"/>
        <v>0</v>
      </c>
      <c r="I13" s="98"/>
      <c r="J13" s="99">
        <f t="shared" si="2"/>
        <v>2</v>
      </c>
      <c r="K13" s="97">
        <v>2</v>
      </c>
      <c r="L13" s="100">
        <f t="shared" si="3"/>
        <v>0</v>
      </c>
      <c r="M13" s="98">
        <v>0</v>
      </c>
      <c r="N13" s="99">
        <f t="shared" si="4"/>
        <v>2</v>
      </c>
      <c r="O13" s="97">
        <v>1</v>
      </c>
      <c r="P13" s="100">
        <v>0</v>
      </c>
      <c r="Q13" s="98"/>
      <c r="R13" s="99">
        <f t="shared" si="14"/>
        <v>1</v>
      </c>
      <c r="S13" s="97">
        <v>1</v>
      </c>
      <c r="T13" s="100">
        <f t="shared" si="15"/>
        <v>0</v>
      </c>
      <c r="U13" s="98"/>
      <c r="V13" s="99">
        <f t="shared" si="16"/>
        <v>1</v>
      </c>
      <c r="W13" s="97">
        <v>1</v>
      </c>
      <c r="X13" s="100">
        <v>0</v>
      </c>
      <c r="Y13" s="98">
        <v>0</v>
      </c>
      <c r="Z13" s="99">
        <f t="shared" si="17"/>
        <v>1</v>
      </c>
      <c r="AA13" s="97">
        <v>1</v>
      </c>
      <c r="AB13" s="100">
        <f t="shared" si="18"/>
        <v>0</v>
      </c>
      <c r="AC13" s="98">
        <v>0</v>
      </c>
      <c r="AD13" s="99">
        <f t="shared" si="19"/>
        <v>1</v>
      </c>
      <c r="AE13" s="97">
        <v>1</v>
      </c>
      <c r="AF13" s="100">
        <f t="shared" si="20"/>
        <v>0</v>
      </c>
      <c r="AG13" s="98"/>
      <c r="AH13" s="99">
        <f t="shared" si="21"/>
        <v>1</v>
      </c>
      <c r="AI13" s="97">
        <v>1</v>
      </c>
      <c r="AJ13" s="100">
        <f t="shared" si="22"/>
        <v>0</v>
      </c>
      <c r="AK13" s="98"/>
      <c r="AL13" s="99">
        <f t="shared" si="23"/>
        <v>1</v>
      </c>
      <c r="AM13" s="97"/>
      <c r="AN13" s="100">
        <f t="shared" si="24"/>
        <v>1</v>
      </c>
      <c r="AO13" s="98">
        <v>1</v>
      </c>
      <c r="AP13" s="99">
        <f t="shared" si="25"/>
        <v>1</v>
      </c>
      <c r="AQ13" s="97">
        <v>1</v>
      </c>
      <c r="AR13" s="100">
        <f t="shared" si="26"/>
        <v>0</v>
      </c>
      <c r="AS13" s="98"/>
      <c r="AT13" s="99">
        <f t="shared" si="27"/>
        <v>1</v>
      </c>
      <c r="AU13" s="97">
        <v>1</v>
      </c>
      <c r="AV13" s="100">
        <f t="shared" si="28"/>
        <v>0</v>
      </c>
      <c r="AW13" s="98"/>
      <c r="AX13" s="99">
        <f t="shared" si="29"/>
        <v>1</v>
      </c>
      <c r="AY13" s="97">
        <v>1</v>
      </c>
      <c r="AZ13" s="100">
        <f t="shared" si="30"/>
        <v>0</v>
      </c>
      <c r="BA13" s="98"/>
      <c r="BB13" s="99">
        <f t="shared" si="31"/>
        <v>1</v>
      </c>
      <c r="BC13" s="97">
        <v>1</v>
      </c>
      <c r="BD13" s="100">
        <f t="shared" si="32"/>
        <v>0</v>
      </c>
      <c r="BE13" s="98"/>
      <c r="BF13" s="99">
        <f t="shared" si="33"/>
        <v>1</v>
      </c>
      <c r="BG13" s="97">
        <v>1</v>
      </c>
      <c r="BH13" s="100">
        <f t="shared" si="34"/>
        <v>0</v>
      </c>
      <c r="BI13" s="98"/>
      <c r="BJ13" s="99">
        <f t="shared" si="35"/>
        <v>1</v>
      </c>
      <c r="BK13" s="97">
        <v>1</v>
      </c>
      <c r="BL13" s="100">
        <f t="shared" si="5"/>
        <v>0</v>
      </c>
      <c r="BM13" s="98"/>
      <c r="BN13" s="99">
        <f t="shared" si="36"/>
        <v>1</v>
      </c>
      <c r="BO13" s="97">
        <v>1</v>
      </c>
      <c r="BP13" s="100">
        <f t="shared" si="37"/>
        <v>0</v>
      </c>
      <c r="BQ13" s="98">
        <v>1</v>
      </c>
      <c r="BR13" s="99">
        <f t="shared" si="38"/>
        <v>2</v>
      </c>
      <c r="BS13" s="97">
        <v>2</v>
      </c>
      <c r="BT13" s="100">
        <f t="shared" si="6"/>
        <v>0</v>
      </c>
      <c r="BU13" s="98"/>
      <c r="BV13" s="99">
        <f t="shared" si="39"/>
        <v>2</v>
      </c>
      <c r="BW13" s="97"/>
      <c r="BX13" s="100">
        <f t="shared" si="7"/>
        <v>2</v>
      </c>
      <c r="BY13" s="98"/>
      <c r="BZ13" s="99">
        <f t="shared" si="40"/>
        <v>0</v>
      </c>
      <c r="CA13" s="97"/>
      <c r="CB13" s="100">
        <f t="shared" si="8"/>
        <v>0</v>
      </c>
      <c r="CC13" s="98"/>
      <c r="CD13" s="99">
        <f t="shared" si="41"/>
        <v>0</v>
      </c>
      <c r="CE13" s="97"/>
      <c r="CF13" s="100">
        <f t="shared" si="9"/>
        <v>0</v>
      </c>
      <c r="CG13" s="98"/>
      <c r="CH13" s="99">
        <f t="shared" si="42"/>
        <v>0</v>
      </c>
      <c r="CI13" s="97"/>
      <c r="CJ13" s="100">
        <f t="shared" si="10"/>
        <v>0</v>
      </c>
      <c r="CK13" s="98"/>
      <c r="CL13" s="99">
        <f t="shared" si="43"/>
        <v>0</v>
      </c>
      <c r="CM13" s="97"/>
      <c r="CN13" s="100">
        <f t="shared" si="11"/>
        <v>0</v>
      </c>
      <c r="CO13" s="98"/>
      <c r="CP13" s="99">
        <f t="shared" si="44"/>
        <v>0</v>
      </c>
      <c r="CQ13" s="97"/>
      <c r="CR13" s="100">
        <f t="shared" si="12"/>
        <v>0</v>
      </c>
      <c r="CS13" s="98"/>
      <c r="CT13" s="99">
        <f t="shared" si="45"/>
        <v>0</v>
      </c>
      <c r="CU13" s="97"/>
      <c r="CV13" s="100">
        <f t="shared" si="13"/>
        <v>0</v>
      </c>
      <c r="CW13" s="98"/>
      <c r="CX13" s="99">
        <f t="shared" si="46"/>
        <v>0</v>
      </c>
    </row>
    <row r="14" spans="1:102" ht="20.100000000000001" hidden="1" customHeight="1" x14ac:dyDescent="0.25">
      <c r="A14" s="156" t="s">
        <v>168</v>
      </c>
      <c r="B14" s="156" t="s">
        <v>223</v>
      </c>
      <c r="C14" s="96">
        <v>1</v>
      </c>
      <c r="D14" s="97">
        <v>1</v>
      </c>
      <c r="E14" s="98"/>
      <c r="F14" s="99">
        <f t="shared" si="0"/>
        <v>1</v>
      </c>
      <c r="G14" s="97">
        <v>0</v>
      </c>
      <c r="H14" s="100">
        <f t="shared" si="1"/>
        <v>1</v>
      </c>
      <c r="I14" s="101">
        <v>1</v>
      </c>
      <c r="J14" s="99">
        <f t="shared" si="2"/>
        <v>1</v>
      </c>
      <c r="K14" s="97">
        <v>1</v>
      </c>
      <c r="L14" s="100">
        <f t="shared" si="3"/>
        <v>0</v>
      </c>
      <c r="M14" s="98">
        <v>0</v>
      </c>
      <c r="N14" s="99">
        <f t="shared" si="4"/>
        <v>1</v>
      </c>
      <c r="O14" s="97">
        <v>1</v>
      </c>
      <c r="P14" s="100">
        <v>0</v>
      </c>
      <c r="Q14" s="98"/>
      <c r="R14" s="99">
        <f t="shared" si="14"/>
        <v>1</v>
      </c>
      <c r="S14" s="97">
        <v>1</v>
      </c>
      <c r="T14" s="100">
        <f t="shared" si="15"/>
        <v>0</v>
      </c>
      <c r="U14" s="98"/>
      <c r="V14" s="99">
        <f t="shared" si="16"/>
        <v>1</v>
      </c>
      <c r="W14" s="97">
        <v>1</v>
      </c>
      <c r="X14" s="100">
        <v>0</v>
      </c>
      <c r="Y14" s="98">
        <v>0</v>
      </c>
      <c r="Z14" s="99">
        <f t="shared" si="17"/>
        <v>1</v>
      </c>
      <c r="AA14" s="97"/>
      <c r="AB14" s="100">
        <f t="shared" si="18"/>
        <v>1</v>
      </c>
      <c r="AC14" s="98">
        <v>1</v>
      </c>
      <c r="AD14" s="99">
        <f t="shared" si="19"/>
        <v>1</v>
      </c>
      <c r="AE14" s="97">
        <v>1</v>
      </c>
      <c r="AF14" s="100">
        <f t="shared" si="20"/>
        <v>0</v>
      </c>
      <c r="AG14" s="98"/>
      <c r="AH14" s="99">
        <f t="shared" si="21"/>
        <v>1</v>
      </c>
      <c r="AI14" s="97">
        <v>1</v>
      </c>
      <c r="AJ14" s="100">
        <f t="shared" si="22"/>
        <v>0</v>
      </c>
      <c r="AK14" s="98"/>
      <c r="AL14" s="99">
        <f t="shared" si="23"/>
        <v>1</v>
      </c>
      <c r="AM14" s="97"/>
      <c r="AN14" s="100">
        <f t="shared" si="24"/>
        <v>1</v>
      </c>
      <c r="AO14" s="98">
        <v>1</v>
      </c>
      <c r="AP14" s="99">
        <f t="shared" si="25"/>
        <v>1</v>
      </c>
      <c r="AQ14" s="97">
        <v>1</v>
      </c>
      <c r="AR14" s="100">
        <f t="shared" si="26"/>
        <v>0</v>
      </c>
      <c r="AS14" s="98"/>
      <c r="AT14" s="99">
        <f t="shared" si="27"/>
        <v>1</v>
      </c>
      <c r="AU14" s="97">
        <v>1</v>
      </c>
      <c r="AV14" s="100">
        <f t="shared" si="28"/>
        <v>0</v>
      </c>
      <c r="AW14" s="98"/>
      <c r="AX14" s="99">
        <f t="shared" si="29"/>
        <v>1</v>
      </c>
      <c r="AY14" s="97">
        <v>1</v>
      </c>
      <c r="AZ14" s="100">
        <f t="shared" si="30"/>
        <v>0</v>
      </c>
      <c r="BA14" s="98"/>
      <c r="BB14" s="99">
        <f t="shared" si="31"/>
        <v>1</v>
      </c>
      <c r="BC14" s="97"/>
      <c r="BD14" s="100">
        <f t="shared" si="32"/>
        <v>1</v>
      </c>
      <c r="BE14" s="98">
        <v>1</v>
      </c>
      <c r="BF14" s="99">
        <f t="shared" si="33"/>
        <v>1</v>
      </c>
      <c r="BG14" s="97">
        <v>1</v>
      </c>
      <c r="BH14" s="100">
        <f t="shared" si="34"/>
        <v>0</v>
      </c>
      <c r="BI14" s="98"/>
      <c r="BJ14" s="99">
        <f t="shared" si="35"/>
        <v>1</v>
      </c>
      <c r="BK14" s="97">
        <v>0</v>
      </c>
      <c r="BL14" s="100">
        <f t="shared" si="5"/>
        <v>1</v>
      </c>
      <c r="BM14" s="98">
        <v>1</v>
      </c>
      <c r="BN14" s="99">
        <f t="shared" si="36"/>
        <v>1</v>
      </c>
      <c r="BO14" s="97">
        <v>1</v>
      </c>
      <c r="BP14" s="100">
        <f t="shared" si="37"/>
        <v>0</v>
      </c>
      <c r="BQ14" s="98"/>
      <c r="BR14" s="99">
        <f t="shared" si="38"/>
        <v>1</v>
      </c>
      <c r="BS14" s="97">
        <v>1</v>
      </c>
      <c r="BT14" s="100">
        <f t="shared" si="6"/>
        <v>0</v>
      </c>
      <c r="BU14" s="98"/>
      <c r="BV14" s="99">
        <f t="shared" si="39"/>
        <v>1</v>
      </c>
      <c r="BW14" s="97"/>
      <c r="BX14" s="100">
        <f t="shared" si="7"/>
        <v>1</v>
      </c>
      <c r="BY14" s="98"/>
      <c r="BZ14" s="99">
        <f t="shared" si="40"/>
        <v>0</v>
      </c>
      <c r="CA14" s="97"/>
      <c r="CB14" s="100">
        <f t="shared" si="8"/>
        <v>0</v>
      </c>
      <c r="CC14" s="98"/>
      <c r="CD14" s="99">
        <f t="shared" si="41"/>
        <v>0</v>
      </c>
      <c r="CE14" s="97"/>
      <c r="CF14" s="100">
        <f t="shared" si="9"/>
        <v>0</v>
      </c>
      <c r="CG14" s="98"/>
      <c r="CH14" s="99">
        <f t="shared" si="42"/>
        <v>0</v>
      </c>
      <c r="CI14" s="97"/>
      <c r="CJ14" s="100">
        <f t="shared" si="10"/>
        <v>0</v>
      </c>
      <c r="CK14" s="98"/>
      <c r="CL14" s="99">
        <f t="shared" si="43"/>
        <v>0</v>
      </c>
      <c r="CM14" s="97"/>
      <c r="CN14" s="100">
        <f t="shared" si="11"/>
        <v>0</v>
      </c>
      <c r="CO14" s="98"/>
      <c r="CP14" s="99">
        <f t="shared" si="44"/>
        <v>0</v>
      </c>
      <c r="CQ14" s="97"/>
      <c r="CR14" s="100">
        <f t="shared" si="12"/>
        <v>0</v>
      </c>
      <c r="CS14" s="98"/>
      <c r="CT14" s="99">
        <f t="shared" si="45"/>
        <v>0</v>
      </c>
      <c r="CU14" s="97"/>
      <c r="CV14" s="100">
        <f t="shared" si="13"/>
        <v>0</v>
      </c>
      <c r="CW14" s="98"/>
      <c r="CX14" s="99">
        <f t="shared" si="46"/>
        <v>0</v>
      </c>
    </row>
    <row r="15" spans="1:102" ht="20.100000000000001" hidden="1" customHeight="1" x14ac:dyDescent="0.25">
      <c r="A15" s="156" t="s">
        <v>169</v>
      </c>
      <c r="B15" s="156" t="s">
        <v>223</v>
      </c>
      <c r="C15" s="96">
        <v>1</v>
      </c>
      <c r="D15" s="97">
        <v>2</v>
      </c>
      <c r="E15" s="101">
        <v>1</v>
      </c>
      <c r="F15" s="99">
        <f t="shared" si="0"/>
        <v>3</v>
      </c>
      <c r="G15" s="97">
        <v>3</v>
      </c>
      <c r="H15" s="100">
        <f t="shared" si="1"/>
        <v>0</v>
      </c>
      <c r="I15" s="98">
        <v>0</v>
      </c>
      <c r="J15" s="99">
        <f t="shared" si="2"/>
        <v>3</v>
      </c>
      <c r="K15" s="97">
        <v>2</v>
      </c>
      <c r="L15" s="100">
        <f t="shared" si="3"/>
        <v>1</v>
      </c>
      <c r="M15" s="101">
        <v>1</v>
      </c>
      <c r="N15" s="99">
        <f>+K15+M15*$C15</f>
        <v>3</v>
      </c>
      <c r="O15" s="97">
        <v>4</v>
      </c>
      <c r="P15" s="100">
        <v>0</v>
      </c>
      <c r="Q15" s="98"/>
      <c r="R15" s="99">
        <f t="shared" si="14"/>
        <v>4</v>
      </c>
      <c r="S15" s="97">
        <v>4</v>
      </c>
      <c r="T15" s="100">
        <f t="shared" si="15"/>
        <v>0</v>
      </c>
      <c r="U15" s="98"/>
      <c r="V15" s="99">
        <f t="shared" si="16"/>
        <v>4</v>
      </c>
      <c r="W15" s="97">
        <v>3</v>
      </c>
      <c r="X15" s="100">
        <v>1</v>
      </c>
      <c r="Y15" s="98">
        <v>0</v>
      </c>
      <c r="Z15" s="99">
        <f t="shared" si="17"/>
        <v>3</v>
      </c>
      <c r="AA15" s="97">
        <v>2</v>
      </c>
      <c r="AB15" s="100">
        <f t="shared" si="18"/>
        <v>1</v>
      </c>
      <c r="AC15" s="98">
        <v>1</v>
      </c>
      <c r="AD15" s="99">
        <f t="shared" si="19"/>
        <v>3</v>
      </c>
      <c r="AE15" s="97">
        <v>3</v>
      </c>
      <c r="AF15" s="100">
        <f t="shared" si="20"/>
        <v>0</v>
      </c>
      <c r="AG15" s="98"/>
      <c r="AH15" s="99">
        <f t="shared" si="21"/>
        <v>3</v>
      </c>
      <c r="AI15" s="97">
        <v>2</v>
      </c>
      <c r="AJ15" s="100">
        <f t="shared" si="22"/>
        <v>1</v>
      </c>
      <c r="AK15" s="98"/>
      <c r="AL15" s="99">
        <f t="shared" si="23"/>
        <v>2</v>
      </c>
      <c r="AM15" s="97">
        <v>1</v>
      </c>
      <c r="AN15" s="100">
        <f t="shared" si="24"/>
        <v>1</v>
      </c>
      <c r="AO15" s="98">
        <v>2</v>
      </c>
      <c r="AP15" s="99">
        <f t="shared" si="25"/>
        <v>3</v>
      </c>
      <c r="AQ15" s="97">
        <v>2</v>
      </c>
      <c r="AR15" s="100">
        <f t="shared" si="26"/>
        <v>1</v>
      </c>
      <c r="AS15" s="98">
        <v>1</v>
      </c>
      <c r="AT15" s="99">
        <f t="shared" si="27"/>
        <v>3</v>
      </c>
      <c r="AU15" s="97">
        <v>3</v>
      </c>
      <c r="AV15" s="100">
        <f t="shared" si="28"/>
        <v>0</v>
      </c>
      <c r="AW15" s="98"/>
      <c r="AX15" s="99">
        <f t="shared" si="29"/>
        <v>3</v>
      </c>
      <c r="AY15" s="97">
        <v>2</v>
      </c>
      <c r="AZ15" s="100">
        <f t="shared" si="30"/>
        <v>1</v>
      </c>
      <c r="BA15" s="98"/>
      <c r="BB15" s="99">
        <f t="shared" si="31"/>
        <v>2</v>
      </c>
      <c r="BC15" s="97">
        <v>1</v>
      </c>
      <c r="BD15" s="100">
        <f t="shared" si="32"/>
        <v>1</v>
      </c>
      <c r="BE15" s="98">
        <v>1</v>
      </c>
      <c r="BF15" s="99">
        <f t="shared" si="33"/>
        <v>2</v>
      </c>
      <c r="BG15" s="97">
        <v>1</v>
      </c>
      <c r="BH15" s="100">
        <f t="shared" si="34"/>
        <v>1</v>
      </c>
      <c r="BI15" s="98">
        <v>1</v>
      </c>
      <c r="BJ15" s="99">
        <f t="shared" si="35"/>
        <v>2</v>
      </c>
      <c r="BK15" s="97">
        <v>2</v>
      </c>
      <c r="BL15" s="100">
        <f t="shared" si="5"/>
        <v>0</v>
      </c>
      <c r="BM15" s="98"/>
      <c r="BN15" s="99">
        <f t="shared" si="36"/>
        <v>2</v>
      </c>
      <c r="BO15" s="97">
        <v>1</v>
      </c>
      <c r="BP15" s="100">
        <f t="shared" si="37"/>
        <v>1</v>
      </c>
      <c r="BQ15" s="98">
        <v>1</v>
      </c>
      <c r="BR15" s="99">
        <f t="shared" si="38"/>
        <v>2</v>
      </c>
      <c r="BS15" s="97">
        <v>2</v>
      </c>
      <c r="BT15" s="100">
        <f t="shared" si="6"/>
        <v>0</v>
      </c>
      <c r="BU15" s="98"/>
      <c r="BV15" s="99">
        <f t="shared" si="39"/>
        <v>2</v>
      </c>
      <c r="BW15" s="97"/>
      <c r="BX15" s="100">
        <f t="shared" si="7"/>
        <v>2</v>
      </c>
      <c r="BY15" s="98"/>
      <c r="BZ15" s="99">
        <f t="shared" si="40"/>
        <v>0</v>
      </c>
      <c r="CA15" s="97"/>
      <c r="CB15" s="100">
        <f t="shared" si="8"/>
        <v>0</v>
      </c>
      <c r="CC15" s="98"/>
      <c r="CD15" s="99">
        <f t="shared" si="41"/>
        <v>0</v>
      </c>
      <c r="CE15" s="97"/>
      <c r="CF15" s="100">
        <f t="shared" si="9"/>
        <v>0</v>
      </c>
      <c r="CG15" s="98"/>
      <c r="CH15" s="99">
        <f t="shared" si="42"/>
        <v>0</v>
      </c>
      <c r="CI15" s="97"/>
      <c r="CJ15" s="100">
        <f t="shared" si="10"/>
        <v>0</v>
      </c>
      <c r="CK15" s="98"/>
      <c r="CL15" s="99">
        <f t="shared" si="43"/>
        <v>0</v>
      </c>
      <c r="CM15" s="97"/>
      <c r="CN15" s="100">
        <f t="shared" si="11"/>
        <v>0</v>
      </c>
      <c r="CO15" s="98"/>
      <c r="CP15" s="99">
        <f t="shared" si="44"/>
        <v>0</v>
      </c>
      <c r="CQ15" s="97"/>
      <c r="CR15" s="100">
        <f t="shared" si="12"/>
        <v>0</v>
      </c>
      <c r="CS15" s="98"/>
      <c r="CT15" s="99">
        <f t="shared" si="45"/>
        <v>0</v>
      </c>
      <c r="CU15" s="97"/>
      <c r="CV15" s="100">
        <f t="shared" si="13"/>
        <v>0</v>
      </c>
      <c r="CW15" s="98"/>
      <c r="CX15" s="99">
        <f t="shared" si="46"/>
        <v>0</v>
      </c>
    </row>
    <row r="16" spans="1:102" ht="20.100000000000001" hidden="1" customHeight="1" x14ac:dyDescent="0.25">
      <c r="A16" s="156" t="s">
        <v>170</v>
      </c>
      <c r="B16" s="156" t="s">
        <v>223</v>
      </c>
      <c r="C16" s="96">
        <v>1</v>
      </c>
      <c r="D16" s="97">
        <v>2</v>
      </c>
      <c r="E16" s="98"/>
      <c r="F16" s="99">
        <f t="shared" si="0"/>
        <v>2</v>
      </c>
      <c r="G16" s="97">
        <v>2</v>
      </c>
      <c r="H16" s="100">
        <f t="shared" si="1"/>
        <v>0</v>
      </c>
      <c r="I16" s="98"/>
      <c r="J16" s="99">
        <f t="shared" si="2"/>
        <v>2</v>
      </c>
      <c r="K16" s="97">
        <v>2</v>
      </c>
      <c r="L16" s="100">
        <f t="shared" si="3"/>
        <v>0</v>
      </c>
      <c r="M16" s="101">
        <v>1</v>
      </c>
      <c r="N16" s="99">
        <f t="shared" si="4"/>
        <v>3</v>
      </c>
      <c r="O16" s="97">
        <v>2</v>
      </c>
      <c r="P16" s="100">
        <v>0</v>
      </c>
      <c r="Q16" s="98"/>
      <c r="R16" s="99">
        <f t="shared" si="14"/>
        <v>2</v>
      </c>
      <c r="S16" s="97">
        <v>2</v>
      </c>
      <c r="T16" s="100">
        <f t="shared" si="15"/>
        <v>0</v>
      </c>
      <c r="U16" s="98"/>
      <c r="V16" s="99">
        <f t="shared" si="16"/>
        <v>2</v>
      </c>
      <c r="W16" s="97">
        <v>2</v>
      </c>
      <c r="X16" s="100">
        <v>1</v>
      </c>
      <c r="Y16" s="98">
        <v>0</v>
      </c>
      <c r="Z16" s="99">
        <f t="shared" si="17"/>
        <v>2</v>
      </c>
      <c r="AA16" s="97">
        <v>2</v>
      </c>
      <c r="AB16" s="100">
        <f t="shared" si="18"/>
        <v>0</v>
      </c>
      <c r="AC16" s="98">
        <v>0</v>
      </c>
      <c r="AD16" s="99">
        <f t="shared" si="19"/>
        <v>2</v>
      </c>
      <c r="AE16" s="97">
        <v>2</v>
      </c>
      <c r="AF16" s="100">
        <f t="shared" si="20"/>
        <v>0</v>
      </c>
      <c r="AG16" s="98"/>
      <c r="AH16" s="99">
        <f t="shared" si="21"/>
        <v>2</v>
      </c>
      <c r="AI16" s="97">
        <v>2</v>
      </c>
      <c r="AJ16" s="100">
        <f t="shared" si="22"/>
        <v>0</v>
      </c>
      <c r="AK16" s="98"/>
      <c r="AL16" s="99">
        <f t="shared" si="23"/>
        <v>2</v>
      </c>
      <c r="AM16" s="97">
        <v>2</v>
      </c>
      <c r="AN16" s="100">
        <f t="shared" si="24"/>
        <v>0</v>
      </c>
      <c r="AO16" s="98"/>
      <c r="AP16" s="99">
        <f t="shared" si="25"/>
        <v>2</v>
      </c>
      <c r="AQ16" s="97">
        <v>2</v>
      </c>
      <c r="AR16" s="100">
        <f t="shared" si="26"/>
        <v>0</v>
      </c>
      <c r="AS16" s="98"/>
      <c r="AT16" s="99">
        <f t="shared" si="27"/>
        <v>2</v>
      </c>
      <c r="AU16" s="97">
        <v>2</v>
      </c>
      <c r="AV16" s="100">
        <f t="shared" si="28"/>
        <v>0</v>
      </c>
      <c r="AW16" s="98"/>
      <c r="AX16" s="99">
        <f t="shared" si="29"/>
        <v>2</v>
      </c>
      <c r="AY16" s="97">
        <v>2</v>
      </c>
      <c r="AZ16" s="100">
        <f t="shared" si="30"/>
        <v>0</v>
      </c>
      <c r="BA16" s="98"/>
      <c r="BB16" s="99">
        <f t="shared" si="31"/>
        <v>2</v>
      </c>
      <c r="BC16" s="97">
        <v>1</v>
      </c>
      <c r="BD16" s="100">
        <f t="shared" si="32"/>
        <v>1</v>
      </c>
      <c r="BE16" s="98"/>
      <c r="BF16" s="99">
        <f t="shared" si="33"/>
        <v>1</v>
      </c>
      <c r="BG16" s="97">
        <v>1</v>
      </c>
      <c r="BH16" s="100">
        <f t="shared" si="34"/>
        <v>0</v>
      </c>
      <c r="BI16" s="98"/>
      <c r="BJ16" s="99">
        <f t="shared" si="35"/>
        <v>1</v>
      </c>
      <c r="BK16" s="97">
        <v>1</v>
      </c>
      <c r="BL16" s="100">
        <f t="shared" si="5"/>
        <v>0</v>
      </c>
      <c r="BM16" s="98"/>
      <c r="BN16" s="99">
        <f t="shared" si="36"/>
        <v>1</v>
      </c>
      <c r="BO16" s="97">
        <v>1</v>
      </c>
      <c r="BP16" s="100">
        <f t="shared" si="37"/>
        <v>0</v>
      </c>
      <c r="BQ16" s="98"/>
      <c r="BR16" s="99">
        <f t="shared" si="38"/>
        <v>1</v>
      </c>
      <c r="BS16" s="97">
        <v>1</v>
      </c>
      <c r="BT16" s="100">
        <f t="shared" si="6"/>
        <v>0</v>
      </c>
      <c r="BU16" s="98"/>
      <c r="BV16" s="99">
        <f t="shared" si="39"/>
        <v>1</v>
      </c>
      <c r="BW16" s="97"/>
      <c r="BX16" s="100">
        <f t="shared" si="7"/>
        <v>1</v>
      </c>
      <c r="BY16" s="98"/>
      <c r="BZ16" s="99">
        <f t="shared" si="40"/>
        <v>0</v>
      </c>
      <c r="CA16" s="97"/>
      <c r="CB16" s="100">
        <f t="shared" si="8"/>
        <v>0</v>
      </c>
      <c r="CC16" s="98"/>
      <c r="CD16" s="99">
        <f t="shared" si="41"/>
        <v>0</v>
      </c>
      <c r="CE16" s="97"/>
      <c r="CF16" s="100">
        <f t="shared" si="9"/>
        <v>0</v>
      </c>
      <c r="CG16" s="98"/>
      <c r="CH16" s="99">
        <f t="shared" si="42"/>
        <v>0</v>
      </c>
      <c r="CI16" s="97"/>
      <c r="CJ16" s="100">
        <f t="shared" si="10"/>
        <v>0</v>
      </c>
      <c r="CK16" s="98"/>
      <c r="CL16" s="99">
        <f t="shared" si="43"/>
        <v>0</v>
      </c>
      <c r="CM16" s="97"/>
      <c r="CN16" s="100">
        <f t="shared" si="11"/>
        <v>0</v>
      </c>
      <c r="CO16" s="98"/>
      <c r="CP16" s="99">
        <f t="shared" si="44"/>
        <v>0</v>
      </c>
      <c r="CQ16" s="97"/>
      <c r="CR16" s="100">
        <f t="shared" si="12"/>
        <v>0</v>
      </c>
      <c r="CS16" s="98"/>
      <c r="CT16" s="99">
        <f t="shared" si="45"/>
        <v>0</v>
      </c>
      <c r="CU16" s="97"/>
      <c r="CV16" s="100">
        <f t="shared" si="13"/>
        <v>0</v>
      </c>
      <c r="CW16" s="98"/>
      <c r="CX16" s="99">
        <f t="shared" si="46"/>
        <v>0</v>
      </c>
    </row>
    <row r="17" spans="1:102" ht="20.100000000000001" hidden="1" customHeight="1" x14ac:dyDescent="0.25">
      <c r="A17" s="156" t="s">
        <v>171</v>
      </c>
      <c r="B17" s="156" t="s">
        <v>223</v>
      </c>
      <c r="C17" s="96">
        <v>1</v>
      </c>
      <c r="D17" s="97">
        <v>0</v>
      </c>
      <c r="E17" s="101">
        <v>1</v>
      </c>
      <c r="F17" s="99">
        <f t="shared" si="0"/>
        <v>1</v>
      </c>
      <c r="G17" s="97">
        <v>1</v>
      </c>
      <c r="H17" s="100">
        <f t="shared" si="1"/>
        <v>0</v>
      </c>
      <c r="I17" s="98"/>
      <c r="J17" s="99">
        <f t="shared" si="2"/>
        <v>1</v>
      </c>
      <c r="K17" s="97">
        <v>1</v>
      </c>
      <c r="L17" s="100">
        <f t="shared" si="3"/>
        <v>0</v>
      </c>
      <c r="M17" s="98">
        <v>0</v>
      </c>
      <c r="N17" s="99">
        <f t="shared" si="4"/>
        <v>1</v>
      </c>
      <c r="O17" s="97">
        <v>1</v>
      </c>
      <c r="P17" s="100">
        <v>0</v>
      </c>
      <c r="Q17" s="98"/>
      <c r="R17" s="99">
        <f t="shared" si="14"/>
        <v>1</v>
      </c>
      <c r="S17" s="97">
        <v>1</v>
      </c>
      <c r="T17" s="100">
        <f t="shared" si="15"/>
        <v>0</v>
      </c>
      <c r="U17" s="98"/>
      <c r="V17" s="99">
        <f t="shared" si="16"/>
        <v>1</v>
      </c>
      <c r="W17" s="97">
        <v>1</v>
      </c>
      <c r="X17" s="100">
        <v>0</v>
      </c>
      <c r="Y17" s="98">
        <v>0</v>
      </c>
      <c r="Z17" s="99">
        <f t="shared" si="17"/>
        <v>1</v>
      </c>
      <c r="AA17" s="97">
        <v>1</v>
      </c>
      <c r="AB17" s="100">
        <f t="shared" si="18"/>
        <v>0</v>
      </c>
      <c r="AC17" s="98">
        <v>0</v>
      </c>
      <c r="AD17" s="99">
        <f t="shared" si="19"/>
        <v>1</v>
      </c>
      <c r="AE17" s="97"/>
      <c r="AF17" s="100">
        <f t="shared" si="20"/>
        <v>1</v>
      </c>
      <c r="AG17" s="101">
        <v>1</v>
      </c>
      <c r="AH17" s="99">
        <f t="shared" si="21"/>
        <v>1</v>
      </c>
      <c r="AI17" s="97">
        <v>1</v>
      </c>
      <c r="AJ17" s="100">
        <f t="shared" si="22"/>
        <v>0</v>
      </c>
      <c r="AK17" s="98"/>
      <c r="AL17" s="99">
        <f t="shared" si="23"/>
        <v>1</v>
      </c>
      <c r="AM17" s="97">
        <v>1</v>
      </c>
      <c r="AN17" s="100">
        <f t="shared" si="24"/>
        <v>0</v>
      </c>
      <c r="AO17" s="98"/>
      <c r="AP17" s="99">
        <f t="shared" si="25"/>
        <v>1</v>
      </c>
      <c r="AQ17" s="97">
        <v>1</v>
      </c>
      <c r="AR17" s="100">
        <f t="shared" si="26"/>
        <v>0</v>
      </c>
      <c r="AS17" s="98"/>
      <c r="AT17" s="99">
        <f t="shared" si="27"/>
        <v>1</v>
      </c>
      <c r="AU17" s="97">
        <v>1</v>
      </c>
      <c r="AV17" s="100">
        <f t="shared" si="28"/>
        <v>0</v>
      </c>
      <c r="AW17" s="98"/>
      <c r="AX17" s="99">
        <f t="shared" si="29"/>
        <v>1</v>
      </c>
      <c r="AY17" s="97">
        <v>1</v>
      </c>
      <c r="AZ17" s="100">
        <f t="shared" si="30"/>
        <v>0</v>
      </c>
      <c r="BA17" s="98"/>
      <c r="BB17" s="99">
        <f t="shared" si="31"/>
        <v>1</v>
      </c>
      <c r="BC17" s="97">
        <v>1</v>
      </c>
      <c r="BD17" s="100">
        <f t="shared" si="32"/>
        <v>0</v>
      </c>
      <c r="BE17" s="98"/>
      <c r="BF17" s="99">
        <f t="shared" si="33"/>
        <v>1</v>
      </c>
      <c r="BG17" s="97">
        <v>1</v>
      </c>
      <c r="BH17" s="100">
        <f t="shared" si="34"/>
        <v>0</v>
      </c>
      <c r="BI17" s="98"/>
      <c r="BJ17" s="99">
        <f t="shared" si="35"/>
        <v>1</v>
      </c>
      <c r="BK17" s="97">
        <v>0</v>
      </c>
      <c r="BL17" s="100">
        <f t="shared" si="5"/>
        <v>1</v>
      </c>
      <c r="BM17" s="98">
        <v>1</v>
      </c>
      <c r="BN17" s="99">
        <f t="shared" si="36"/>
        <v>1</v>
      </c>
      <c r="BO17" s="97">
        <v>1</v>
      </c>
      <c r="BP17" s="100">
        <f t="shared" si="37"/>
        <v>0</v>
      </c>
      <c r="BQ17" s="98"/>
      <c r="BR17" s="99">
        <f t="shared" si="38"/>
        <v>1</v>
      </c>
      <c r="BS17" s="97">
        <v>1</v>
      </c>
      <c r="BT17" s="100">
        <f t="shared" si="6"/>
        <v>0</v>
      </c>
      <c r="BU17" s="98"/>
      <c r="BV17" s="99">
        <f t="shared" si="39"/>
        <v>1</v>
      </c>
      <c r="BW17" s="97"/>
      <c r="BX17" s="100">
        <f t="shared" si="7"/>
        <v>1</v>
      </c>
      <c r="BY17" s="98"/>
      <c r="BZ17" s="99">
        <f t="shared" si="40"/>
        <v>0</v>
      </c>
      <c r="CA17" s="97"/>
      <c r="CB17" s="100">
        <f t="shared" si="8"/>
        <v>0</v>
      </c>
      <c r="CC17" s="98"/>
      <c r="CD17" s="99">
        <f t="shared" si="41"/>
        <v>0</v>
      </c>
      <c r="CE17" s="97"/>
      <c r="CF17" s="100">
        <f t="shared" si="9"/>
        <v>0</v>
      </c>
      <c r="CG17" s="98"/>
      <c r="CH17" s="99">
        <f t="shared" si="42"/>
        <v>0</v>
      </c>
      <c r="CI17" s="97"/>
      <c r="CJ17" s="100">
        <f t="shared" si="10"/>
        <v>0</v>
      </c>
      <c r="CK17" s="98"/>
      <c r="CL17" s="99">
        <f t="shared" si="43"/>
        <v>0</v>
      </c>
      <c r="CM17" s="97"/>
      <c r="CN17" s="100">
        <f t="shared" si="11"/>
        <v>0</v>
      </c>
      <c r="CO17" s="98"/>
      <c r="CP17" s="99">
        <f t="shared" si="44"/>
        <v>0</v>
      </c>
      <c r="CQ17" s="97"/>
      <c r="CR17" s="100">
        <f t="shared" si="12"/>
        <v>0</v>
      </c>
      <c r="CS17" s="98"/>
      <c r="CT17" s="99">
        <f t="shared" si="45"/>
        <v>0</v>
      </c>
      <c r="CU17" s="97"/>
      <c r="CV17" s="100">
        <f t="shared" si="13"/>
        <v>0</v>
      </c>
      <c r="CW17" s="98"/>
      <c r="CX17" s="99">
        <f t="shared" si="46"/>
        <v>0</v>
      </c>
    </row>
    <row r="18" spans="1:102" ht="20.100000000000001" customHeight="1" x14ac:dyDescent="0.25">
      <c r="A18" s="156" t="s">
        <v>172</v>
      </c>
      <c r="B18" s="156" t="s">
        <v>223</v>
      </c>
      <c r="C18" s="96">
        <v>1</v>
      </c>
      <c r="D18" s="97">
        <v>3</v>
      </c>
      <c r="E18" s="98"/>
      <c r="F18" s="99">
        <f t="shared" si="0"/>
        <v>3</v>
      </c>
      <c r="G18" s="97">
        <v>3</v>
      </c>
      <c r="H18" s="100">
        <f t="shared" si="1"/>
        <v>0</v>
      </c>
      <c r="I18" s="98"/>
      <c r="J18" s="99">
        <f t="shared" si="2"/>
        <v>3</v>
      </c>
      <c r="K18" s="97">
        <v>3</v>
      </c>
      <c r="L18" s="100">
        <f t="shared" si="3"/>
        <v>0</v>
      </c>
      <c r="M18" s="98">
        <v>0</v>
      </c>
      <c r="N18" s="99">
        <f t="shared" si="4"/>
        <v>3</v>
      </c>
      <c r="O18" s="97">
        <v>2</v>
      </c>
      <c r="P18" s="100">
        <v>0</v>
      </c>
      <c r="Q18" s="98"/>
      <c r="R18" s="99">
        <f t="shared" si="14"/>
        <v>2</v>
      </c>
      <c r="S18" s="97">
        <v>2</v>
      </c>
      <c r="T18" s="100">
        <f t="shared" si="15"/>
        <v>0</v>
      </c>
      <c r="U18" s="98"/>
      <c r="V18" s="99">
        <f t="shared" si="16"/>
        <v>2</v>
      </c>
      <c r="W18" s="97">
        <v>2</v>
      </c>
      <c r="X18" s="100">
        <v>0</v>
      </c>
      <c r="Y18" s="98">
        <v>0</v>
      </c>
      <c r="Z18" s="99">
        <f t="shared" si="17"/>
        <v>2</v>
      </c>
      <c r="AA18" s="97">
        <v>2</v>
      </c>
      <c r="AB18" s="100">
        <f t="shared" si="18"/>
        <v>0</v>
      </c>
      <c r="AC18" s="98">
        <v>0</v>
      </c>
      <c r="AD18" s="99">
        <f t="shared" si="19"/>
        <v>2</v>
      </c>
      <c r="AE18" s="97">
        <v>2</v>
      </c>
      <c r="AF18" s="100">
        <f t="shared" si="20"/>
        <v>0</v>
      </c>
      <c r="AG18" s="98"/>
      <c r="AH18" s="99">
        <f t="shared" si="21"/>
        <v>2</v>
      </c>
      <c r="AI18" s="97">
        <v>1</v>
      </c>
      <c r="AJ18" s="100">
        <f t="shared" si="22"/>
        <v>1</v>
      </c>
      <c r="AK18" s="98"/>
      <c r="AL18" s="99">
        <f t="shared" si="23"/>
        <v>1</v>
      </c>
      <c r="AM18" s="97">
        <v>1</v>
      </c>
      <c r="AN18" s="100">
        <f t="shared" si="24"/>
        <v>0</v>
      </c>
      <c r="AO18" s="98"/>
      <c r="AP18" s="99">
        <f t="shared" si="25"/>
        <v>1</v>
      </c>
      <c r="AQ18" s="97">
        <v>1</v>
      </c>
      <c r="AR18" s="100">
        <f t="shared" si="26"/>
        <v>0</v>
      </c>
      <c r="AS18" s="98"/>
      <c r="AT18" s="99">
        <f t="shared" si="27"/>
        <v>1</v>
      </c>
      <c r="AU18" s="97">
        <v>1</v>
      </c>
      <c r="AV18" s="100">
        <f t="shared" si="28"/>
        <v>0</v>
      </c>
      <c r="AW18" s="98"/>
      <c r="AX18" s="99">
        <f t="shared" si="29"/>
        <v>1</v>
      </c>
      <c r="AY18" s="97">
        <v>1</v>
      </c>
      <c r="AZ18" s="100">
        <f t="shared" si="30"/>
        <v>0</v>
      </c>
      <c r="BA18" s="98"/>
      <c r="BB18" s="99">
        <f t="shared" si="31"/>
        <v>1</v>
      </c>
      <c r="BC18" s="97">
        <v>1</v>
      </c>
      <c r="BD18" s="100">
        <f t="shared" si="32"/>
        <v>0</v>
      </c>
      <c r="BE18" s="98"/>
      <c r="BF18" s="99">
        <f t="shared" si="33"/>
        <v>1</v>
      </c>
      <c r="BG18" s="97">
        <v>0</v>
      </c>
      <c r="BH18" s="100">
        <f t="shared" si="34"/>
        <v>1</v>
      </c>
      <c r="BI18" s="98">
        <v>1</v>
      </c>
      <c r="BJ18" s="99">
        <f t="shared" si="35"/>
        <v>1</v>
      </c>
      <c r="BK18" s="97">
        <v>1</v>
      </c>
      <c r="BL18" s="100">
        <f t="shared" si="5"/>
        <v>0</v>
      </c>
      <c r="BM18" s="98"/>
      <c r="BN18" s="99">
        <f t="shared" si="36"/>
        <v>1</v>
      </c>
      <c r="BO18" s="97">
        <v>1</v>
      </c>
      <c r="BP18" s="100">
        <f t="shared" si="37"/>
        <v>0</v>
      </c>
      <c r="BQ18" s="98">
        <v>1</v>
      </c>
      <c r="BR18" s="99">
        <f t="shared" si="38"/>
        <v>2</v>
      </c>
      <c r="BS18" s="97">
        <v>1</v>
      </c>
      <c r="BT18" s="100">
        <f t="shared" si="6"/>
        <v>1</v>
      </c>
      <c r="BU18" s="98">
        <v>1</v>
      </c>
      <c r="BV18" s="99">
        <f t="shared" si="39"/>
        <v>2</v>
      </c>
      <c r="BW18" s="97"/>
      <c r="BX18" s="100">
        <f t="shared" si="7"/>
        <v>2</v>
      </c>
      <c r="BY18" s="98"/>
      <c r="BZ18" s="99">
        <f t="shared" si="40"/>
        <v>0</v>
      </c>
      <c r="CA18" s="97"/>
      <c r="CB18" s="100">
        <f t="shared" si="8"/>
        <v>0</v>
      </c>
      <c r="CC18" s="98"/>
      <c r="CD18" s="99">
        <f t="shared" si="41"/>
        <v>0</v>
      </c>
      <c r="CE18" s="97"/>
      <c r="CF18" s="100">
        <f t="shared" si="9"/>
        <v>0</v>
      </c>
      <c r="CG18" s="98"/>
      <c r="CH18" s="99">
        <f t="shared" si="42"/>
        <v>0</v>
      </c>
      <c r="CI18" s="97"/>
      <c r="CJ18" s="100">
        <f t="shared" si="10"/>
        <v>0</v>
      </c>
      <c r="CK18" s="98"/>
      <c r="CL18" s="99">
        <f t="shared" si="43"/>
        <v>0</v>
      </c>
      <c r="CM18" s="97"/>
      <c r="CN18" s="100">
        <f t="shared" si="11"/>
        <v>0</v>
      </c>
      <c r="CO18" s="98"/>
      <c r="CP18" s="99">
        <f t="shared" si="44"/>
        <v>0</v>
      </c>
      <c r="CQ18" s="97"/>
      <c r="CR18" s="100">
        <f t="shared" si="12"/>
        <v>0</v>
      </c>
      <c r="CS18" s="98"/>
      <c r="CT18" s="99">
        <f t="shared" si="45"/>
        <v>0</v>
      </c>
      <c r="CU18" s="97"/>
      <c r="CV18" s="100">
        <f t="shared" si="13"/>
        <v>0</v>
      </c>
      <c r="CW18" s="98"/>
      <c r="CX18" s="99">
        <f t="shared" si="46"/>
        <v>0</v>
      </c>
    </row>
    <row r="19" spans="1:102" ht="20.100000000000001" hidden="1" customHeight="1" x14ac:dyDescent="0.25">
      <c r="A19" s="156" t="s">
        <v>173</v>
      </c>
      <c r="B19" s="156" t="s">
        <v>223</v>
      </c>
      <c r="C19" s="96">
        <v>1</v>
      </c>
      <c r="D19" s="97">
        <v>2</v>
      </c>
      <c r="E19" s="98"/>
      <c r="F19" s="99">
        <f t="shared" si="0"/>
        <v>2</v>
      </c>
      <c r="G19" s="97">
        <v>1</v>
      </c>
      <c r="H19" s="100">
        <f t="shared" si="1"/>
        <v>1</v>
      </c>
      <c r="I19" s="98"/>
      <c r="J19" s="99">
        <f t="shared" si="2"/>
        <v>1</v>
      </c>
      <c r="K19" s="97">
        <v>1</v>
      </c>
      <c r="L19" s="100">
        <f t="shared" si="3"/>
        <v>0</v>
      </c>
      <c r="M19" s="98">
        <v>0</v>
      </c>
      <c r="N19" s="99">
        <f t="shared" si="4"/>
        <v>1</v>
      </c>
      <c r="O19" s="97">
        <v>1</v>
      </c>
      <c r="P19" s="100">
        <v>0</v>
      </c>
      <c r="Q19" s="98"/>
      <c r="R19" s="99">
        <f t="shared" si="14"/>
        <v>1</v>
      </c>
      <c r="S19" s="97">
        <v>1</v>
      </c>
      <c r="T19" s="100">
        <f t="shared" si="15"/>
        <v>0</v>
      </c>
      <c r="U19" s="98"/>
      <c r="V19" s="99">
        <f t="shared" si="16"/>
        <v>1</v>
      </c>
      <c r="W19" s="97">
        <v>1</v>
      </c>
      <c r="X19" s="100">
        <v>0</v>
      </c>
      <c r="Y19" s="98">
        <v>0</v>
      </c>
      <c r="Z19" s="99">
        <f t="shared" si="17"/>
        <v>1</v>
      </c>
      <c r="AA19" s="97">
        <v>1</v>
      </c>
      <c r="AB19" s="100">
        <f t="shared" si="18"/>
        <v>0</v>
      </c>
      <c r="AC19" s="98">
        <v>0</v>
      </c>
      <c r="AD19" s="99">
        <f t="shared" si="19"/>
        <v>1</v>
      </c>
      <c r="AE19" s="97">
        <v>1</v>
      </c>
      <c r="AF19" s="100">
        <f t="shared" si="20"/>
        <v>0</v>
      </c>
      <c r="AG19" s="98"/>
      <c r="AH19" s="99">
        <f t="shared" si="21"/>
        <v>1</v>
      </c>
      <c r="AI19" s="97">
        <v>1</v>
      </c>
      <c r="AJ19" s="100">
        <f t="shared" si="22"/>
        <v>0</v>
      </c>
      <c r="AK19" s="98"/>
      <c r="AL19" s="99">
        <f t="shared" si="23"/>
        <v>1</v>
      </c>
      <c r="AM19" s="97"/>
      <c r="AN19" s="100">
        <f t="shared" si="24"/>
        <v>1</v>
      </c>
      <c r="AO19" s="98">
        <v>1</v>
      </c>
      <c r="AP19" s="99">
        <f t="shared" si="25"/>
        <v>1</v>
      </c>
      <c r="AQ19" s="97">
        <v>1</v>
      </c>
      <c r="AR19" s="100">
        <f t="shared" si="26"/>
        <v>0</v>
      </c>
      <c r="AS19" s="98"/>
      <c r="AT19" s="99">
        <f t="shared" si="27"/>
        <v>1</v>
      </c>
      <c r="AU19" s="97">
        <v>1</v>
      </c>
      <c r="AV19" s="100">
        <f t="shared" si="28"/>
        <v>0</v>
      </c>
      <c r="AW19" s="98"/>
      <c r="AX19" s="99">
        <f t="shared" si="29"/>
        <v>1</v>
      </c>
      <c r="AY19" s="97">
        <v>1</v>
      </c>
      <c r="AZ19" s="100">
        <f t="shared" si="30"/>
        <v>0</v>
      </c>
      <c r="BA19" s="98"/>
      <c r="BB19" s="99">
        <f t="shared" si="31"/>
        <v>1</v>
      </c>
      <c r="BC19" s="97">
        <v>1</v>
      </c>
      <c r="BD19" s="100">
        <f t="shared" si="32"/>
        <v>0</v>
      </c>
      <c r="BE19" s="98"/>
      <c r="BF19" s="99">
        <f t="shared" si="33"/>
        <v>1</v>
      </c>
      <c r="BG19" s="97">
        <v>0</v>
      </c>
      <c r="BH19" s="100">
        <f t="shared" si="34"/>
        <v>1</v>
      </c>
      <c r="BI19" s="98">
        <v>1</v>
      </c>
      <c r="BJ19" s="99">
        <f t="shared" si="35"/>
        <v>1</v>
      </c>
      <c r="BK19" s="97">
        <v>1</v>
      </c>
      <c r="BL19" s="100">
        <f t="shared" si="5"/>
        <v>0</v>
      </c>
      <c r="BM19" s="98"/>
      <c r="BN19" s="99">
        <f t="shared" si="36"/>
        <v>1</v>
      </c>
      <c r="BO19" s="97">
        <v>1</v>
      </c>
      <c r="BP19" s="100">
        <f t="shared" si="37"/>
        <v>0</v>
      </c>
      <c r="BQ19" s="98"/>
      <c r="BR19" s="99">
        <f t="shared" si="38"/>
        <v>1</v>
      </c>
      <c r="BS19" s="97">
        <v>1</v>
      </c>
      <c r="BT19" s="100">
        <f t="shared" si="6"/>
        <v>0</v>
      </c>
      <c r="BU19" s="98"/>
      <c r="BV19" s="99">
        <f t="shared" si="39"/>
        <v>1</v>
      </c>
      <c r="BW19" s="97"/>
      <c r="BX19" s="100">
        <f t="shared" si="7"/>
        <v>1</v>
      </c>
      <c r="BY19" s="98"/>
      <c r="BZ19" s="99">
        <f t="shared" si="40"/>
        <v>0</v>
      </c>
      <c r="CA19" s="97"/>
      <c r="CB19" s="100">
        <f t="shared" si="8"/>
        <v>0</v>
      </c>
      <c r="CC19" s="98"/>
      <c r="CD19" s="99">
        <f t="shared" si="41"/>
        <v>0</v>
      </c>
      <c r="CE19" s="97"/>
      <c r="CF19" s="100">
        <f t="shared" si="9"/>
        <v>0</v>
      </c>
      <c r="CG19" s="98"/>
      <c r="CH19" s="99">
        <f t="shared" si="42"/>
        <v>0</v>
      </c>
      <c r="CI19" s="97"/>
      <c r="CJ19" s="100">
        <f t="shared" si="10"/>
        <v>0</v>
      </c>
      <c r="CK19" s="98"/>
      <c r="CL19" s="99">
        <f t="shared" si="43"/>
        <v>0</v>
      </c>
      <c r="CM19" s="97"/>
      <c r="CN19" s="100">
        <f t="shared" si="11"/>
        <v>0</v>
      </c>
      <c r="CO19" s="98"/>
      <c r="CP19" s="99">
        <f t="shared" si="44"/>
        <v>0</v>
      </c>
      <c r="CQ19" s="97"/>
      <c r="CR19" s="100">
        <f t="shared" si="12"/>
        <v>0</v>
      </c>
      <c r="CS19" s="98"/>
      <c r="CT19" s="99">
        <f t="shared" si="45"/>
        <v>0</v>
      </c>
      <c r="CU19" s="97"/>
      <c r="CV19" s="100">
        <f t="shared" si="13"/>
        <v>0</v>
      </c>
      <c r="CW19" s="98"/>
      <c r="CX19" s="99">
        <f t="shared" si="46"/>
        <v>0</v>
      </c>
    </row>
    <row r="20" spans="1:102" ht="20.100000000000001" customHeight="1" thickBot="1" x14ac:dyDescent="0.3">
      <c r="A20" s="197" t="s">
        <v>174</v>
      </c>
      <c r="B20" s="197" t="s">
        <v>223</v>
      </c>
      <c r="C20" s="102">
        <v>1</v>
      </c>
      <c r="D20" s="103">
        <v>2</v>
      </c>
      <c r="E20" s="107"/>
      <c r="F20" s="105">
        <f t="shared" si="0"/>
        <v>2</v>
      </c>
      <c r="G20" s="103">
        <v>2</v>
      </c>
      <c r="H20" s="106">
        <f t="shared" si="1"/>
        <v>0</v>
      </c>
      <c r="I20" s="107"/>
      <c r="J20" s="105">
        <f t="shared" si="2"/>
        <v>2</v>
      </c>
      <c r="K20" s="103">
        <v>2</v>
      </c>
      <c r="L20" s="106">
        <f t="shared" si="3"/>
        <v>0</v>
      </c>
      <c r="M20" s="107">
        <v>0</v>
      </c>
      <c r="N20" s="105">
        <f t="shared" si="4"/>
        <v>2</v>
      </c>
      <c r="O20" s="103">
        <v>3</v>
      </c>
      <c r="P20" s="106">
        <v>0</v>
      </c>
      <c r="Q20" s="107"/>
      <c r="R20" s="105">
        <f t="shared" si="14"/>
        <v>3</v>
      </c>
      <c r="S20" s="103">
        <v>3</v>
      </c>
      <c r="T20" s="106">
        <f t="shared" si="15"/>
        <v>0</v>
      </c>
      <c r="U20" s="107"/>
      <c r="V20" s="105">
        <f t="shared" si="16"/>
        <v>3</v>
      </c>
      <c r="W20" s="103">
        <v>3</v>
      </c>
      <c r="X20" s="106">
        <v>0</v>
      </c>
      <c r="Y20" s="107">
        <v>0</v>
      </c>
      <c r="Z20" s="105">
        <f t="shared" si="17"/>
        <v>3</v>
      </c>
      <c r="AA20" s="103">
        <v>3</v>
      </c>
      <c r="AB20" s="106">
        <f t="shared" si="18"/>
        <v>0</v>
      </c>
      <c r="AC20" s="107">
        <v>0</v>
      </c>
      <c r="AD20" s="105">
        <f t="shared" si="19"/>
        <v>3</v>
      </c>
      <c r="AE20" s="103">
        <v>3</v>
      </c>
      <c r="AF20" s="106">
        <f t="shared" si="20"/>
        <v>0</v>
      </c>
      <c r="AG20" s="107"/>
      <c r="AH20" s="105">
        <f t="shared" si="21"/>
        <v>3</v>
      </c>
      <c r="AI20" s="103">
        <v>2</v>
      </c>
      <c r="AJ20" s="106">
        <f t="shared" si="22"/>
        <v>1</v>
      </c>
      <c r="AK20" s="107"/>
      <c r="AL20" s="105">
        <f t="shared" si="23"/>
        <v>2</v>
      </c>
      <c r="AM20" s="103">
        <v>2</v>
      </c>
      <c r="AN20" s="106">
        <f t="shared" si="24"/>
        <v>0</v>
      </c>
      <c r="AO20" s="107"/>
      <c r="AP20" s="105">
        <f t="shared" si="25"/>
        <v>2</v>
      </c>
      <c r="AQ20" s="103">
        <v>2</v>
      </c>
      <c r="AR20" s="106">
        <f t="shared" si="26"/>
        <v>0</v>
      </c>
      <c r="AS20" s="107"/>
      <c r="AT20" s="105">
        <f t="shared" si="27"/>
        <v>2</v>
      </c>
      <c r="AU20" s="103">
        <v>2</v>
      </c>
      <c r="AV20" s="106">
        <f t="shared" si="28"/>
        <v>0</v>
      </c>
      <c r="AW20" s="107"/>
      <c r="AX20" s="105">
        <f t="shared" si="29"/>
        <v>2</v>
      </c>
      <c r="AY20" s="103">
        <v>2</v>
      </c>
      <c r="AZ20" s="106">
        <f t="shared" si="30"/>
        <v>0</v>
      </c>
      <c r="BA20" s="107"/>
      <c r="BB20" s="105">
        <f t="shared" si="31"/>
        <v>2</v>
      </c>
      <c r="BC20" s="103">
        <v>2</v>
      </c>
      <c r="BD20" s="106">
        <f t="shared" si="32"/>
        <v>0</v>
      </c>
      <c r="BE20" s="107"/>
      <c r="BF20" s="105">
        <f t="shared" si="33"/>
        <v>2</v>
      </c>
      <c r="BG20" s="103">
        <v>2</v>
      </c>
      <c r="BH20" s="106">
        <f t="shared" si="34"/>
        <v>0</v>
      </c>
      <c r="BI20" s="107"/>
      <c r="BJ20" s="105">
        <f t="shared" si="35"/>
        <v>2</v>
      </c>
      <c r="BK20" s="103">
        <v>2</v>
      </c>
      <c r="BL20" s="106">
        <f t="shared" si="5"/>
        <v>0</v>
      </c>
      <c r="BM20" s="107"/>
      <c r="BN20" s="105">
        <f t="shared" si="36"/>
        <v>2</v>
      </c>
      <c r="BO20" s="103">
        <v>2</v>
      </c>
      <c r="BP20" s="106">
        <f t="shared" si="37"/>
        <v>0</v>
      </c>
      <c r="BQ20" s="107"/>
      <c r="BR20" s="105">
        <f t="shared" si="38"/>
        <v>2</v>
      </c>
      <c r="BS20" s="103">
        <v>1</v>
      </c>
      <c r="BT20" s="106">
        <f t="shared" si="6"/>
        <v>1</v>
      </c>
      <c r="BU20" s="107">
        <v>1</v>
      </c>
      <c r="BV20" s="105">
        <f t="shared" si="39"/>
        <v>2</v>
      </c>
      <c r="BW20" s="103"/>
      <c r="BX20" s="106">
        <f t="shared" si="7"/>
        <v>2</v>
      </c>
      <c r="BY20" s="107"/>
      <c r="BZ20" s="105">
        <f t="shared" si="40"/>
        <v>0</v>
      </c>
      <c r="CA20" s="103"/>
      <c r="CB20" s="106">
        <f t="shared" si="8"/>
        <v>0</v>
      </c>
      <c r="CC20" s="107"/>
      <c r="CD20" s="105">
        <f t="shared" si="41"/>
        <v>0</v>
      </c>
      <c r="CE20" s="103"/>
      <c r="CF20" s="106">
        <f t="shared" si="9"/>
        <v>0</v>
      </c>
      <c r="CG20" s="107"/>
      <c r="CH20" s="105">
        <f t="shared" si="42"/>
        <v>0</v>
      </c>
      <c r="CI20" s="103"/>
      <c r="CJ20" s="106">
        <f t="shared" si="10"/>
        <v>0</v>
      </c>
      <c r="CK20" s="107"/>
      <c r="CL20" s="105">
        <f t="shared" si="43"/>
        <v>0</v>
      </c>
      <c r="CM20" s="103"/>
      <c r="CN20" s="106">
        <f t="shared" si="11"/>
        <v>0</v>
      </c>
      <c r="CO20" s="107"/>
      <c r="CP20" s="105">
        <f t="shared" si="44"/>
        <v>0</v>
      </c>
      <c r="CQ20" s="103"/>
      <c r="CR20" s="106">
        <f t="shared" si="12"/>
        <v>0</v>
      </c>
      <c r="CS20" s="107"/>
      <c r="CT20" s="105">
        <f t="shared" si="45"/>
        <v>0</v>
      </c>
      <c r="CU20" s="103"/>
      <c r="CV20" s="106">
        <f t="shared" si="13"/>
        <v>0</v>
      </c>
      <c r="CW20" s="107"/>
      <c r="CX20" s="105">
        <f t="shared" si="46"/>
        <v>0</v>
      </c>
    </row>
    <row r="21" spans="1:102" ht="20.100000000000001" hidden="1" customHeight="1" thickTop="1" x14ac:dyDescent="0.25">
      <c r="A21" s="196" t="s">
        <v>175</v>
      </c>
      <c r="B21" s="196" t="s">
        <v>223</v>
      </c>
      <c r="C21" s="90">
        <v>1</v>
      </c>
      <c r="D21" s="91">
        <v>1</v>
      </c>
      <c r="E21" s="95">
        <v>1</v>
      </c>
      <c r="F21" s="93">
        <f t="shared" si="0"/>
        <v>2</v>
      </c>
      <c r="G21" s="91">
        <v>2</v>
      </c>
      <c r="H21" s="94">
        <f t="shared" si="1"/>
        <v>0</v>
      </c>
      <c r="I21" s="92"/>
      <c r="J21" s="93">
        <f t="shared" si="2"/>
        <v>2</v>
      </c>
      <c r="K21" s="91">
        <v>1</v>
      </c>
      <c r="L21" s="94">
        <f t="shared" si="3"/>
        <v>1</v>
      </c>
      <c r="M21" s="95">
        <v>1</v>
      </c>
      <c r="N21" s="93">
        <f t="shared" si="4"/>
        <v>2</v>
      </c>
      <c r="O21" s="91">
        <v>6</v>
      </c>
      <c r="P21" s="94">
        <v>0</v>
      </c>
      <c r="Q21" s="92"/>
      <c r="R21" s="93">
        <f t="shared" si="14"/>
        <v>6</v>
      </c>
      <c r="S21" s="91">
        <v>4</v>
      </c>
      <c r="T21" s="94">
        <f t="shared" si="15"/>
        <v>2</v>
      </c>
      <c r="U21" s="92"/>
      <c r="V21" s="93">
        <f t="shared" si="16"/>
        <v>4</v>
      </c>
      <c r="W21" s="91">
        <v>2</v>
      </c>
      <c r="X21" s="94">
        <v>2</v>
      </c>
      <c r="Y21" s="92">
        <v>2</v>
      </c>
      <c r="Z21" s="93">
        <f t="shared" si="17"/>
        <v>4</v>
      </c>
      <c r="AA21" s="91">
        <v>3</v>
      </c>
      <c r="AB21" s="94">
        <f t="shared" si="18"/>
        <v>1</v>
      </c>
      <c r="AC21" s="92">
        <v>1</v>
      </c>
      <c r="AD21" s="93">
        <f t="shared" si="19"/>
        <v>4</v>
      </c>
      <c r="AE21" s="91">
        <v>3</v>
      </c>
      <c r="AF21" s="94">
        <f t="shared" si="20"/>
        <v>1</v>
      </c>
      <c r="AG21" s="95">
        <v>1</v>
      </c>
      <c r="AH21" s="93">
        <f t="shared" si="21"/>
        <v>4</v>
      </c>
      <c r="AI21" s="91">
        <v>4</v>
      </c>
      <c r="AJ21" s="94">
        <f t="shared" si="22"/>
        <v>0</v>
      </c>
      <c r="AK21" s="92"/>
      <c r="AL21" s="93">
        <f t="shared" si="23"/>
        <v>4</v>
      </c>
      <c r="AM21" s="91">
        <v>4</v>
      </c>
      <c r="AN21" s="94">
        <f t="shared" si="24"/>
        <v>0</v>
      </c>
      <c r="AO21" s="92"/>
      <c r="AP21" s="93">
        <f t="shared" si="25"/>
        <v>4</v>
      </c>
      <c r="AQ21" s="91">
        <v>3</v>
      </c>
      <c r="AR21" s="94">
        <f t="shared" si="26"/>
        <v>1</v>
      </c>
      <c r="AS21" s="92">
        <v>1</v>
      </c>
      <c r="AT21" s="93">
        <f t="shared" si="27"/>
        <v>4</v>
      </c>
      <c r="AU21" s="91">
        <v>3</v>
      </c>
      <c r="AV21" s="94">
        <f t="shared" si="28"/>
        <v>1</v>
      </c>
      <c r="AW21" s="92"/>
      <c r="AX21" s="93">
        <f t="shared" si="29"/>
        <v>3</v>
      </c>
      <c r="AY21" s="91">
        <v>1</v>
      </c>
      <c r="AZ21" s="94">
        <f t="shared" si="30"/>
        <v>2</v>
      </c>
      <c r="BA21" s="92">
        <v>3</v>
      </c>
      <c r="BB21" s="93">
        <f t="shared" si="31"/>
        <v>4</v>
      </c>
      <c r="BC21" s="91">
        <v>1</v>
      </c>
      <c r="BD21" s="94">
        <f t="shared" si="32"/>
        <v>3</v>
      </c>
      <c r="BE21" s="92">
        <v>3</v>
      </c>
      <c r="BF21" s="93">
        <f t="shared" si="33"/>
        <v>4</v>
      </c>
      <c r="BG21" s="91">
        <v>2</v>
      </c>
      <c r="BH21" s="94">
        <f t="shared" si="34"/>
        <v>2</v>
      </c>
      <c r="BI21" s="92">
        <v>2</v>
      </c>
      <c r="BJ21" s="93">
        <f t="shared" si="35"/>
        <v>4</v>
      </c>
      <c r="BK21" s="91">
        <v>2</v>
      </c>
      <c r="BL21" s="94">
        <f t="shared" si="5"/>
        <v>2</v>
      </c>
      <c r="BM21" s="92">
        <v>2</v>
      </c>
      <c r="BN21" s="93">
        <f t="shared" si="36"/>
        <v>4</v>
      </c>
      <c r="BO21" s="91">
        <v>2</v>
      </c>
      <c r="BP21" s="94">
        <f t="shared" si="37"/>
        <v>2</v>
      </c>
      <c r="BQ21" s="92">
        <v>2</v>
      </c>
      <c r="BR21" s="93">
        <f t="shared" si="38"/>
        <v>4</v>
      </c>
      <c r="BS21" s="91">
        <v>4</v>
      </c>
      <c r="BT21" s="94">
        <f t="shared" si="6"/>
        <v>0</v>
      </c>
      <c r="BU21" s="92"/>
      <c r="BV21" s="93">
        <f t="shared" si="39"/>
        <v>4</v>
      </c>
      <c r="BW21" s="91"/>
      <c r="BX21" s="94">
        <f t="shared" si="7"/>
        <v>4</v>
      </c>
      <c r="BY21" s="92"/>
      <c r="BZ21" s="93">
        <f t="shared" si="40"/>
        <v>0</v>
      </c>
      <c r="CA21" s="91"/>
      <c r="CB21" s="94">
        <f t="shared" si="8"/>
        <v>0</v>
      </c>
      <c r="CC21" s="92"/>
      <c r="CD21" s="93">
        <f t="shared" si="41"/>
        <v>0</v>
      </c>
      <c r="CE21" s="91"/>
      <c r="CF21" s="94">
        <f t="shared" si="9"/>
        <v>0</v>
      </c>
      <c r="CG21" s="92"/>
      <c r="CH21" s="93">
        <f t="shared" si="42"/>
        <v>0</v>
      </c>
      <c r="CI21" s="91"/>
      <c r="CJ21" s="94">
        <f t="shared" si="10"/>
        <v>0</v>
      </c>
      <c r="CK21" s="92"/>
      <c r="CL21" s="93">
        <f t="shared" si="43"/>
        <v>0</v>
      </c>
      <c r="CM21" s="91"/>
      <c r="CN21" s="94">
        <f t="shared" si="11"/>
        <v>0</v>
      </c>
      <c r="CO21" s="92"/>
      <c r="CP21" s="93">
        <f t="shared" si="44"/>
        <v>0</v>
      </c>
      <c r="CQ21" s="91"/>
      <c r="CR21" s="94">
        <f t="shared" si="12"/>
        <v>0</v>
      </c>
      <c r="CS21" s="92"/>
      <c r="CT21" s="93">
        <f t="shared" si="45"/>
        <v>0</v>
      </c>
      <c r="CU21" s="91"/>
      <c r="CV21" s="94">
        <f t="shared" si="13"/>
        <v>0</v>
      </c>
      <c r="CW21" s="92"/>
      <c r="CX21" s="93">
        <f t="shared" si="46"/>
        <v>0</v>
      </c>
    </row>
    <row r="22" spans="1:102" ht="20.100000000000001" customHeight="1" thickTop="1" x14ac:dyDescent="0.25">
      <c r="A22" s="156" t="s">
        <v>176</v>
      </c>
      <c r="B22" s="156" t="s">
        <v>223</v>
      </c>
      <c r="C22" s="96">
        <v>1</v>
      </c>
      <c r="D22" s="97">
        <v>2</v>
      </c>
      <c r="E22" s="98"/>
      <c r="F22" s="99">
        <f t="shared" si="0"/>
        <v>2</v>
      </c>
      <c r="G22" s="97">
        <v>0</v>
      </c>
      <c r="H22" s="100">
        <f t="shared" si="1"/>
        <v>2</v>
      </c>
      <c r="I22" s="101">
        <v>2</v>
      </c>
      <c r="J22" s="99">
        <f t="shared" si="2"/>
        <v>2</v>
      </c>
      <c r="K22" s="97">
        <v>1</v>
      </c>
      <c r="L22" s="100">
        <f t="shared" si="3"/>
        <v>1</v>
      </c>
      <c r="M22" s="101">
        <v>1</v>
      </c>
      <c r="N22" s="99">
        <f t="shared" si="4"/>
        <v>2</v>
      </c>
      <c r="O22" s="97">
        <v>5</v>
      </c>
      <c r="P22" s="100">
        <v>1</v>
      </c>
      <c r="Q22" s="98"/>
      <c r="R22" s="99">
        <f t="shared" si="14"/>
        <v>5</v>
      </c>
      <c r="S22" s="97">
        <v>5</v>
      </c>
      <c r="T22" s="100">
        <f t="shared" si="15"/>
        <v>0</v>
      </c>
      <c r="U22" s="98"/>
      <c r="V22" s="99">
        <f t="shared" si="16"/>
        <v>5</v>
      </c>
      <c r="W22" s="97">
        <v>4</v>
      </c>
      <c r="X22" s="100">
        <v>1</v>
      </c>
      <c r="Y22" s="98">
        <v>0</v>
      </c>
      <c r="Z22" s="99">
        <f t="shared" si="17"/>
        <v>4</v>
      </c>
      <c r="AA22" s="97">
        <v>2</v>
      </c>
      <c r="AB22" s="100">
        <f t="shared" si="18"/>
        <v>2</v>
      </c>
      <c r="AC22" s="98">
        <v>1</v>
      </c>
      <c r="AD22" s="99">
        <f t="shared" si="19"/>
        <v>3</v>
      </c>
      <c r="AE22" s="97"/>
      <c r="AF22" s="100">
        <f t="shared" si="20"/>
        <v>3</v>
      </c>
      <c r="AG22" s="101">
        <v>5</v>
      </c>
      <c r="AH22" s="99">
        <f t="shared" si="21"/>
        <v>5</v>
      </c>
      <c r="AI22" s="97">
        <v>4</v>
      </c>
      <c r="AJ22" s="100">
        <f t="shared" si="22"/>
        <v>1</v>
      </c>
      <c r="AK22" s="98"/>
      <c r="AL22" s="99">
        <f t="shared" si="23"/>
        <v>4</v>
      </c>
      <c r="AM22" s="97">
        <v>2</v>
      </c>
      <c r="AN22" s="100">
        <f t="shared" si="24"/>
        <v>2</v>
      </c>
      <c r="AO22" s="98">
        <v>2</v>
      </c>
      <c r="AP22" s="99">
        <f t="shared" si="25"/>
        <v>4</v>
      </c>
      <c r="AQ22" s="97">
        <v>2</v>
      </c>
      <c r="AR22" s="100">
        <f t="shared" si="26"/>
        <v>2</v>
      </c>
      <c r="AS22" s="98">
        <v>2</v>
      </c>
      <c r="AT22" s="99">
        <f t="shared" si="27"/>
        <v>4</v>
      </c>
      <c r="AU22" s="97">
        <v>3</v>
      </c>
      <c r="AV22" s="100">
        <f t="shared" si="28"/>
        <v>1</v>
      </c>
      <c r="AW22" s="98"/>
      <c r="AX22" s="99">
        <f t="shared" si="29"/>
        <v>3</v>
      </c>
      <c r="AY22" s="97">
        <v>1</v>
      </c>
      <c r="AZ22" s="100">
        <f t="shared" si="30"/>
        <v>2</v>
      </c>
      <c r="BA22" s="98">
        <v>3</v>
      </c>
      <c r="BB22" s="99">
        <f t="shared" si="31"/>
        <v>4</v>
      </c>
      <c r="BC22" s="97">
        <v>2</v>
      </c>
      <c r="BD22" s="100">
        <f t="shared" si="32"/>
        <v>2</v>
      </c>
      <c r="BE22" s="98">
        <v>2</v>
      </c>
      <c r="BF22" s="99">
        <f t="shared" si="33"/>
        <v>4</v>
      </c>
      <c r="BG22" s="97">
        <v>2</v>
      </c>
      <c r="BH22" s="100">
        <f t="shared" si="34"/>
        <v>2</v>
      </c>
      <c r="BI22" s="98">
        <v>2</v>
      </c>
      <c r="BJ22" s="99">
        <f t="shared" si="35"/>
        <v>4</v>
      </c>
      <c r="BK22" s="97">
        <v>2</v>
      </c>
      <c r="BL22" s="100">
        <f t="shared" si="5"/>
        <v>2</v>
      </c>
      <c r="BM22" s="98">
        <v>2</v>
      </c>
      <c r="BN22" s="99">
        <f t="shared" si="36"/>
        <v>4</v>
      </c>
      <c r="BO22" s="97">
        <v>2</v>
      </c>
      <c r="BP22" s="100">
        <f t="shared" si="37"/>
        <v>2</v>
      </c>
      <c r="BQ22" s="98">
        <v>2</v>
      </c>
      <c r="BR22" s="99">
        <f t="shared" si="38"/>
        <v>4</v>
      </c>
      <c r="BS22" s="97">
        <v>3</v>
      </c>
      <c r="BT22" s="100">
        <f t="shared" si="6"/>
        <v>1</v>
      </c>
      <c r="BU22" s="98">
        <v>2</v>
      </c>
      <c r="BV22" s="99">
        <f t="shared" si="39"/>
        <v>5</v>
      </c>
      <c r="BW22" s="97"/>
      <c r="BX22" s="100">
        <f t="shared" si="7"/>
        <v>5</v>
      </c>
      <c r="BY22" s="98"/>
      <c r="BZ22" s="99">
        <f t="shared" si="40"/>
        <v>0</v>
      </c>
      <c r="CA22" s="97"/>
      <c r="CB22" s="100">
        <f t="shared" si="8"/>
        <v>0</v>
      </c>
      <c r="CC22" s="98"/>
      <c r="CD22" s="99">
        <f t="shared" si="41"/>
        <v>0</v>
      </c>
      <c r="CE22" s="97"/>
      <c r="CF22" s="100">
        <f t="shared" si="9"/>
        <v>0</v>
      </c>
      <c r="CG22" s="98"/>
      <c r="CH22" s="99">
        <f t="shared" si="42"/>
        <v>0</v>
      </c>
      <c r="CI22" s="97"/>
      <c r="CJ22" s="100">
        <f t="shared" si="10"/>
        <v>0</v>
      </c>
      <c r="CK22" s="98"/>
      <c r="CL22" s="99">
        <f t="shared" si="43"/>
        <v>0</v>
      </c>
      <c r="CM22" s="97"/>
      <c r="CN22" s="100">
        <f t="shared" si="11"/>
        <v>0</v>
      </c>
      <c r="CO22" s="98"/>
      <c r="CP22" s="99">
        <f t="shared" si="44"/>
        <v>0</v>
      </c>
      <c r="CQ22" s="97"/>
      <c r="CR22" s="100">
        <f t="shared" si="12"/>
        <v>0</v>
      </c>
      <c r="CS22" s="98"/>
      <c r="CT22" s="99">
        <f t="shared" si="45"/>
        <v>0</v>
      </c>
      <c r="CU22" s="97"/>
      <c r="CV22" s="100">
        <f t="shared" si="13"/>
        <v>0</v>
      </c>
      <c r="CW22" s="98"/>
      <c r="CX22" s="99">
        <f t="shared" si="46"/>
        <v>0</v>
      </c>
    </row>
    <row r="23" spans="1:102" ht="20.100000000000001" hidden="1" customHeight="1" x14ac:dyDescent="0.25">
      <c r="A23" s="156" t="s">
        <v>177</v>
      </c>
      <c r="B23" s="156" t="s">
        <v>223</v>
      </c>
      <c r="C23" s="96">
        <v>1</v>
      </c>
      <c r="D23" s="97">
        <v>2</v>
      </c>
      <c r="E23" s="98"/>
      <c r="F23" s="99">
        <f t="shared" si="0"/>
        <v>2</v>
      </c>
      <c r="G23" s="97">
        <v>1</v>
      </c>
      <c r="H23" s="100">
        <f t="shared" si="1"/>
        <v>1</v>
      </c>
      <c r="I23" s="101">
        <v>1</v>
      </c>
      <c r="J23" s="99">
        <f t="shared" si="2"/>
        <v>2</v>
      </c>
      <c r="K23" s="97">
        <v>0</v>
      </c>
      <c r="L23" s="100">
        <f t="shared" si="3"/>
        <v>2</v>
      </c>
      <c r="M23" s="101">
        <v>2</v>
      </c>
      <c r="N23" s="99">
        <f t="shared" si="4"/>
        <v>2</v>
      </c>
      <c r="O23" s="97">
        <v>3</v>
      </c>
      <c r="P23" s="100">
        <v>2</v>
      </c>
      <c r="Q23" s="98">
        <v>1</v>
      </c>
      <c r="R23" s="99">
        <f t="shared" si="14"/>
        <v>4</v>
      </c>
      <c r="S23" s="97">
        <v>3</v>
      </c>
      <c r="T23" s="100">
        <f t="shared" si="15"/>
        <v>1</v>
      </c>
      <c r="U23" s="98"/>
      <c r="V23" s="99">
        <f t="shared" si="16"/>
        <v>3</v>
      </c>
      <c r="W23" s="97">
        <v>2</v>
      </c>
      <c r="X23" s="100">
        <v>1</v>
      </c>
      <c r="Y23" s="98">
        <v>1</v>
      </c>
      <c r="Z23" s="99">
        <f t="shared" si="17"/>
        <v>3</v>
      </c>
      <c r="AA23" s="97">
        <v>2</v>
      </c>
      <c r="AB23" s="100">
        <f t="shared" si="18"/>
        <v>1</v>
      </c>
      <c r="AC23" s="98">
        <v>1</v>
      </c>
      <c r="AD23" s="99">
        <f t="shared" si="19"/>
        <v>3</v>
      </c>
      <c r="AE23" s="97">
        <v>2</v>
      </c>
      <c r="AF23" s="100">
        <f t="shared" si="20"/>
        <v>1</v>
      </c>
      <c r="AG23" s="101">
        <v>1</v>
      </c>
      <c r="AH23" s="99">
        <f t="shared" si="21"/>
        <v>3</v>
      </c>
      <c r="AI23" s="97">
        <v>2</v>
      </c>
      <c r="AJ23" s="100">
        <f t="shared" si="22"/>
        <v>1</v>
      </c>
      <c r="AK23" s="101">
        <v>1</v>
      </c>
      <c r="AL23" s="99">
        <f t="shared" si="23"/>
        <v>3</v>
      </c>
      <c r="AM23" s="97">
        <v>3</v>
      </c>
      <c r="AN23" s="100">
        <f t="shared" si="24"/>
        <v>0</v>
      </c>
      <c r="AO23" s="98"/>
      <c r="AP23" s="99">
        <f t="shared" si="25"/>
        <v>3</v>
      </c>
      <c r="AQ23" s="97">
        <v>2</v>
      </c>
      <c r="AR23" s="100">
        <f t="shared" si="26"/>
        <v>1</v>
      </c>
      <c r="AS23" s="98">
        <v>1</v>
      </c>
      <c r="AT23" s="99">
        <f t="shared" si="27"/>
        <v>3</v>
      </c>
      <c r="AU23" s="97">
        <v>3</v>
      </c>
      <c r="AV23" s="100">
        <f t="shared" si="28"/>
        <v>0</v>
      </c>
      <c r="AW23" s="98"/>
      <c r="AX23" s="99">
        <f t="shared" si="29"/>
        <v>3</v>
      </c>
      <c r="AY23" s="97">
        <v>2</v>
      </c>
      <c r="AZ23" s="100">
        <f t="shared" si="30"/>
        <v>1</v>
      </c>
      <c r="BA23" s="98">
        <v>1</v>
      </c>
      <c r="BB23" s="99">
        <f t="shared" si="31"/>
        <v>3</v>
      </c>
      <c r="BC23" s="97">
        <v>2</v>
      </c>
      <c r="BD23" s="100">
        <f t="shared" si="32"/>
        <v>1</v>
      </c>
      <c r="BE23" s="98">
        <v>1</v>
      </c>
      <c r="BF23" s="99">
        <f t="shared" si="33"/>
        <v>3</v>
      </c>
      <c r="BG23" s="97">
        <v>2</v>
      </c>
      <c r="BH23" s="100">
        <f t="shared" si="34"/>
        <v>1</v>
      </c>
      <c r="BI23" s="98">
        <v>1</v>
      </c>
      <c r="BJ23" s="99">
        <f t="shared" si="35"/>
        <v>3</v>
      </c>
      <c r="BK23" s="97">
        <v>2</v>
      </c>
      <c r="BL23" s="100">
        <f t="shared" si="5"/>
        <v>1</v>
      </c>
      <c r="BM23" s="98">
        <v>1</v>
      </c>
      <c r="BN23" s="99">
        <f t="shared" si="36"/>
        <v>3</v>
      </c>
      <c r="BO23" s="97">
        <v>2</v>
      </c>
      <c r="BP23" s="100">
        <f t="shared" si="37"/>
        <v>1</v>
      </c>
      <c r="BQ23" s="98">
        <v>1</v>
      </c>
      <c r="BR23" s="99">
        <f t="shared" si="38"/>
        <v>3</v>
      </c>
      <c r="BS23" s="97">
        <v>3</v>
      </c>
      <c r="BT23" s="100">
        <f t="shared" si="6"/>
        <v>0</v>
      </c>
      <c r="BU23" s="98"/>
      <c r="BV23" s="99">
        <f t="shared" si="39"/>
        <v>3</v>
      </c>
      <c r="BW23" s="97"/>
      <c r="BX23" s="100">
        <f t="shared" si="7"/>
        <v>3</v>
      </c>
      <c r="BY23" s="98"/>
      <c r="BZ23" s="99">
        <f t="shared" si="40"/>
        <v>0</v>
      </c>
      <c r="CA23" s="97"/>
      <c r="CB23" s="100">
        <f t="shared" si="8"/>
        <v>0</v>
      </c>
      <c r="CC23" s="98"/>
      <c r="CD23" s="99">
        <f t="shared" si="41"/>
        <v>0</v>
      </c>
      <c r="CE23" s="97"/>
      <c r="CF23" s="100">
        <f t="shared" si="9"/>
        <v>0</v>
      </c>
      <c r="CG23" s="98"/>
      <c r="CH23" s="99">
        <f t="shared" si="42"/>
        <v>0</v>
      </c>
      <c r="CI23" s="97"/>
      <c r="CJ23" s="100">
        <f t="shared" si="10"/>
        <v>0</v>
      </c>
      <c r="CK23" s="98"/>
      <c r="CL23" s="99">
        <f t="shared" si="43"/>
        <v>0</v>
      </c>
      <c r="CM23" s="97"/>
      <c r="CN23" s="100">
        <f t="shared" si="11"/>
        <v>0</v>
      </c>
      <c r="CO23" s="98"/>
      <c r="CP23" s="99">
        <f t="shared" si="44"/>
        <v>0</v>
      </c>
      <c r="CQ23" s="97"/>
      <c r="CR23" s="100">
        <f t="shared" si="12"/>
        <v>0</v>
      </c>
      <c r="CS23" s="98"/>
      <c r="CT23" s="99">
        <f t="shared" si="45"/>
        <v>0</v>
      </c>
      <c r="CU23" s="97"/>
      <c r="CV23" s="100">
        <f t="shared" si="13"/>
        <v>0</v>
      </c>
      <c r="CW23" s="98"/>
      <c r="CX23" s="99">
        <f t="shared" si="46"/>
        <v>0</v>
      </c>
    </row>
    <row r="24" spans="1:102" ht="20.100000000000001" customHeight="1" thickBot="1" x14ac:dyDescent="0.3">
      <c r="A24" s="156" t="s">
        <v>178</v>
      </c>
      <c r="B24" s="156" t="s">
        <v>223</v>
      </c>
      <c r="C24" s="96">
        <v>1</v>
      </c>
      <c r="D24" s="97">
        <v>1</v>
      </c>
      <c r="E24" s="98"/>
      <c r="F24" s="99">
        <f t="shared" si="0"/>
        <v>1</v>
      </c>
      <c r="G24" s="97">
        <v>0</v>
      </c>
      <c r="H24" s="100">
        <f t="shared" si="1"/>
        <v>1</v>
      </c>
      <c r="I24" s="101">
        <v>1</v>
      </c>
      <c r="J24" s="99">
        <f t="shared" si="2"/>
        <v>1</v>
      </c>
      <c r="K24" s="97">
        <v>1</v>
      </c>
      <c r="L24" s="100">
        <f t="shared" si="3"/>
        <v>0</v>
      </c>
      <c r="M24" s="98"/>
      <c r="N24" s="99">
        <f t="shared" si="4"/>
        <v>1</v>
      </c>
      <c r="O24" s="97">
        <v>4</v>
      </c>
      <c r="P24" s="100">
        <v>1</v>
      </c>
      <c r="Q24" s="98"/>
      <c r="R24" s="99">
        <f t="shared" si="14"/>
        <v>4</v>
      </c>
      <c r="S24" s="97">
        <v>3</v>
      </c>
      <c r="T24" s="100">
        <f t="shared" si="15"/>
        <v>1</v>
      </c>
      <c r="U24" s="98"/>
      <c r="V24" s="99">
        <f t="shared" si="16"/>
        <v>3</v>
      </c>
      <c r="W24" s="97">
        <v>1</v>
      </c>
      <c r="X24" s="100">
        <v>2</v>
      </c>
      <c r="Y24" s="98">
        <v>2</v>
      </c>
      <c r="Z24" s="99">
        <f t="shared" si="17"/>
        <v>3</v>
      </c>
      <c r="AA24" s="97">
        <v>2</v>
      </c>
      <c r="AB24" s="100">
        <f t="shared" si="18"/>
        <v>1</v>
      </c>
      <c r="AC24" s="98">
        <v>1</v>
      </c>
      <c r="AD24" s="99">
        <f t="shared" si="19"/>
        <v>3</v>
      </c>
      <c r="AE24" s="97">
        <v>1</v>
      </c>
      <c r="AF24" s="100">
        <f t="shared" si="20"/>
        <v>2</v>
      </c>
      <c r="AG24" s="101">
        <v>1</v>
      </c>
      <c r="AH24" s="99">
        <f t="shared" si="21"/>
        <v>2</v>
      </c>
      <c r="AI24" s="97"/>
      <c r="AJ24" s="100">
        <f t="shared" si="22"/>
        <v>2</v>
      </c>
      <c r="AK24" s="101">
        <v>2</v>
      </c>
      <c r="AL24" s="99">
        <f t="shared" si="23"/>
        <v>2</v>
      </c>
      <c r="AM24" s="97">
        <v>2</v>
      </c>
      <c r="AN24" s="100">
        <f t="shared" si="24"/>
        <v>0</v>
      </c>
      <c r="AO24" s="98"/>
      <c r="AP24" s="99">
        <f t="shared" si="25"/>
        <v>2</v>
      </c>
      <c r="AQ24" s="97">
        <v>0</v>
      </c>
      <c r="AR24" s="100">
        <f t="shared" si="26"/>
        <v>2</v>
      </c>
      <c r="AS24" s="98">
        <v>3</v>
      </c>
      <c r="AT24" s="99">
        <f t="shared" si="27"/>
        <v>3</v>
      </c>
      <c r="AU24" s="97">
        <v>3</v>
      </c>
      <c r="AV24" s="100">
        <f t="shared" si="28"/>
        <v>0</v>
      </c>
      <c r="AW24" s="98"/>
      <c r="AX24" s="99">
        <f t="shared" si="29"/>
        <v>3</v>
      </c>
      <c r="AY24" s="97">
        <v>2</v>
      </c>
      <c r="AZ24" s="100">
        <f t="shared" si="30"/>
        <v>1</v>
      </c>
      <c r="BA24" s="98">
        <v>1</v>
      </c>
      <c r="BB24" s="99">
        <f t="shared" si="31"/>
        <v>3</v>
      </c>
      <c r="BC24" s="97">
        <v>2</v>
      </c>
      <c r="BD24" s="100">
        <f t="shared" si="32"/>
        <v>1</v>
      </c>
      <c r="BE24" s="98">
        <v>1</v>
      </c>
      <c r="BF24" s="99">
        <f t="shared" si="33"/>
        <v>3</v>
      </c>
      <c r="BG24" s="97">
        <v>1</v>
      </c>
      <c r="BH24" s="100">
        <f t="shared" si="34"/>
        <v>2</v>
      </c>
      <c r="BI24" s="98">
        <v>2</v>
      </c>
      <c r="BJ24" s="99">
        <f t="shared" si="35"/>
        <v>3</v>
      </c>
      <c r="BK24" s="97">
        <v>2</v>
      </c>
      <c r="BL24" s="100">
        <f t="shared" si="5"/>
        <v>1</v>
      </c>
      <c r="BM24" s="98">
        <v>1</v>
      </c>
      <c r="BN24" s="99">
        <f t="shared" si="36"/>
        <v>3</v>
      </c>
      <c r="BO24" s="97">
        <v>1</v>
      </c>
      <c r="BP24" s="100">
        <f t="shared" si="37"/>
        <v>2</v>
      </c>
      <c r="BQ24" s="98">
        <v>2</v>
      </c>
      <c r="BR24" s="99">
        <f t="shared" si="38"/>
        <v>3</v>
      </c>
      <c r="BS24" s="97">
        <v>2</v>
      </c>
      <c r="BT24" s="100">
        <f t="shared" si="6"/>
        <v>1</v>
      </c>
      <c r="BU24" s="98">
        <v>2</v>
      </c>
      <c r="BV24" s="99">
        <f t="shared" si="39"/>
        <v>4</v>
      </c>
      <c r="BW24" s="97"/>
      <c r="BX24" s="100">
        <f t="shared" si="7"/>
        <v>4</v>
      </c>
      <c r="BY24" s="98"/>
      <c r="BZ24" s="99">
        <f t="shared" si="40"/>
        <v>0</v>
      </c>
      <c r="CA24" s="97"/>
      <c r="CB24" s="100">
        <f t="shared" si="8"/>
        <v>0</v>
      </c>
      <c r="CC24" s="98"/>
      <c r="CD24" s="99">
        <f t="shared" si="41"/>
        <v>0</v>
      </c>
      <c r="CE24" s="97"/>
      <c r="CF24" s="100">
        <f t="shared" si="9"/>
        <v>0</v>
      </c>
      <c r="CG24" s="98"/>
      <c r="CH24" s="99">
        <f t="shared" si="42"/>
        <v>0</v>
      </c>
      <c r="CI24" s="97"/>
      <c r="CJ24" s="100">
        <f t="shared" si="10"/>
        <v>0</v>
      </c>
      <c r="CK24" s="98"/>
      <c r="CL24" s="99">
        <f t="shared" si="43"/>
        <v>0</v>
      </c>
      <c r="CM24" s="97"/>
      <c r="CN24" s="100">
        <f t="shared" si="11"/>
        <v>0</v>
      </c>
      <c r="CO24" s="98"/>
      <c r="CP24" s="99">
        <f t="shared" si="44"/>
        <v>0</v>
      </c>
      <c r="CQ24" s="97"/>
      <c r="CR24" s="100">
        <f t="shared" si="12"/>
        <v>0</v>
      </c>
      <c r="CS24" s="98"/>
      <c r="CT24" s="99">
        <f t="shared" si="45"/>
        <v>0</v>
      </c>
      <c r="CU24" s="97"/>
      <c r="CV24" s="100">
        <f t="shared" si="13"/>
        <v>0</v>
      </c>
      <c r="CW24" s="98"/>
      <c r="CX24" s="99">
        <f t="shared" si="46"/>
        <v>0</v>
      </c>
    </row>
    <row r="25" spans="1:102" ht="20.100000000000001" hidden="1" customHeight="1" x14ac:dyDescent="0.25">
      <c r="A25" s="154" t="s">
        <v>179</v>
      </c>
      <c r="B25" s="156" t="s">
        <v>223</v>
      </c>
      <c r="C25" s="96">
        <v>1</v>
      </c>
      <c r="D25" s="97">
        <v>1</v>
      </c>
      <c r="E25" s="101">
        <v>1</v>
      </c>
      <c r="F25" s="99">
        <f t="shared" si="0"/>
        <v>2</v>
      </c>
      <c r="G25" s="97">
        <v>2</v>
      </c>
      <c r="H25" s="100">
        <f t="shared" si="1"/>
        <v>0</v>
      </c>
      <c r="I25" s="98"/>
      <c r="J25" s="99">
        <f t="shared" si="2"/>
        <v>2</v>
      </c>
      <c r="K25" s="97">
        <v>1</v>
      </c>
      <c r="L25" s="100">
        <f t="shared" si="3"/>
        <v>1</v>
      </c>
      <c r="M25" s="101">
        <v>1</v>
      </c>
      <c r="N25" s="99">
        <f t="shared" si="4"/>
        <v>2</v>
      </c>
      <c r="O25" s="97">
        <v>2</v>
      </c>
      <c r="P25" s="100">
        <v>0</v>
      </c>
      <c r="Q25" s="98"/>
      <c r="R25" s="99">
        <f t="shared" si="14"/>
        <v>2</v>
      </c>
      <c r="S25" s="97">
        <v>2</v>
      </c>
      <c r="T25" s="100">
        <f t="shared" si="15"/>
        <v>0</v>
      </c>
      <c r="U25" s="98"/>
      <c r="V25" s="99">
        <f t="shared" si="16"/>
        <v>2</v>
      </c>
      <c r="W25" s="97">
        <v>1</v>
      </c>
      <c r="X25" s="100">
        <v>1</v>
      </c>
      <c r="Y25" s="98">
        <v>1</v>
      </c>
      <c r="Z25" s="99">
        <f t="shared" si="17"/>
        <v>2</v>
      </c>
      <c r="AA25" s="97">
        <v>2</v>
      </c>
      <c r="AB25" s="100">
        <f t="shared" si="18"/>
        <v>0</v>
      </c>
      <c r="AC25" s="98">
        <v>0</v>
      </c>
      <c r="AD25" s="99">
        <f t="shared" si="19"/>
        <v>2</v>
      </c>
      <c r="AE25" s="97">
        <v>1</v>
      </c>
      <c r="AF25" s="100">
        <f t="shared" si="20"/>
        <v>1</v>
      </c>
      <c r="AG25" s="101">
        <v>1</v>
      </c>
      <c r="AH25" s="99">
        <f t="shared" si="21"/>
        <v>2</v>
      </c>
      <c r="AI25" s="97">
        <v>2</v>
      </c>
      <c r="AJ25" s="100">
        <f t="shared" si="22"/>
        <v>0</v>
      </c>
      <c r="AK25" s="98"/>
      <c r="AL25" s="99">
        <f t="shared" si="23"/>
        <v>2</v>
      </c>
      <c r="AM25" s="97">
        <v>2</v>
      </c>
      <c r="AN25" s="100">
        <f t="shared" si="24"/>
        <v>0</v>
      </c>
      <c r="AO25" s="98"/>
      <c r="AP25" s="99">
        <f t="shared" si="25"/>
        <v>2</v>
      </c>
      <c r="AQ25" s="97">
        <v>2</v>
      </c>
      <c r="AR25" s="100">
        <f t="shared" si="26"/>
        <v>0</v>
      </c>
      <c r="AS25" s="98"/>
      <c r="AT25" s="99">
        <f t="shared" si="27"/>
        <v>2</v>
      </c>
      <c r="AU25" s="97">
        <v>1</v>
      </c>
      <c r="AV25" s="100">
        <f t="shared" si="28"/>
        <v>1</v>
      </c>
      <c r="AW25" s="98">
        <v>1</v>
      </c>
      <c r="AX25" s="99">
        <f t="shared" si="29"/>
        <v>2</v>
      </c>
      <c r="AY25" s="97">
        <v>2</v>
      </c>
      <c r="AZ25" s="100">
        <f t="shared" si="30"/>
        <v>0</v>
      </c>
      <c r="BA25" s="98"/>
      <c r="BB25" s="99">
        <f t="shared" si="31"/>
        <v>2</v>
      </c>
      <c r="BC25" s="97">
        <v>2</v>
      </c>
      <c r="BD25" s="100">
        <f t="shared" si="32"/>
        <v>0</v>
      </c>
      <c r="BE25" s="98"/>
      <c r="BF25" s="99">
        <f t="shared" si="33"/>
        <v>2</v>
      </c>
      <c r="BG25" s="97">
        <v>1</v>
      </c>
      <c r="BH25" s="100">
        <f t="shared" si="34"/>
        <v>1</v>
      </c>
      <c r="BI25" s="98">
        <v>1</v>
      </c>
      <c r="BJ25" s="99">
        <f t="shared" si="35"/>
        <v>2</v>
      </c>
      <c r="BK25" s="97">
        <v>2</v>
      </c>
      <c r="BL25" s="100">
        <f t="shared" si="5"/>
        <v>0</v>
      </c>
      <c r="BM25" s="98"/>
      <c r="BN25" s="99">
        <f t="shared" si="36"/>
        <v>2</v>
      </c>
      <c r="BO25" s="97">
        <v>1</v>
      </c>
      <c r="BP25" s="100">
        <f t="shared" si="37"/>
        <v>1</v>
      </c>
      <c r="BQ25" s="98">
        <v>1</v>
      </c>
      <c r="BR25" s="99">
        <f t="shared" si="38"/>
        <v>2</v>
      </c>
      <c r="BS25" s="97">
        <v>2</v>
      </c>
      <c r="BT25" s="100">
        <f t="shared" si="6"/>
        <v>0</v>
      </c>
      <c r="BU25" s="98"/>
      <c r="BV25" s="99">
        <f t="shared" si="39"/>
        <v>2</v>
      </c>
      <c r="BW25" s="97"/>
      <c r="BX25" s="100">
        <f t="shared" si="7"/>
        <v>2</v>
      </c>
      <c r="BY25" s="98"/>
      <c r="BZ25" s="99">
        <f t="shared" si="40"/>
        <v>0</v>
      </c>
      <c r="CA25" s="97"/>
      <c r="CB25" s="100">
        <f t="shared" si="8"/>
        <v>0</v>
      </c>
      <c r="CC25" s="98"/>
      <c r="CD25" s="99">
        <f t="shared" si="41"/>
        <v>0</v>
      </c>
      <c r="CE25" s="97"/>
      <c r="CF25" s="100">
        <f t="shared" si="9"/>
        <v>0</v>
      </c>
      <c r="CG25" s="98"/>
      <c r="CH25" s="99">
        <f t="shared" si="42"/>
        <v>0</v>
      </c>
      <c r="CI25" s="97"/>
      <c r="CJ25" s="100">
        <f t="shared" si="10"/>
        <v>0</v>
      </c>
      <c r="CK25" s="98"/>
      <c r="CL25" s="99">
        <f t="shared" si="43"/>
        <v>0</v>
      </c>
      <c r="CM25" s="97"/>
      <c r="CN25" s="100">
        <f t="shared" si="11"/>
        <v>0</v>
      </c>
      <c r="CO25" s="98"/>
      <c r="CP25" s="99">
        <f t="shared" si="44"/>
        <v>0</v>
      </c>
      <c r="CQ25" s="97"/>
      <c r="CR25" s="100">
        <f t="shared" si="12"/>
        <v>0</v>
      </c>
      <c r="CS25" s="98"/>
      <c r="CT25" s="99">
        <f t="shared" si="45"/>
        <v>0</v>
      </c>
      <c r="CU25" s="97"/>
      <c r="CV25" s="100">
        <f t="shared" si="13"/>
        <v>0</v>
      </c>
      <c r="CW25" s="98"/>
      <c r="CX25" s="99">
        <f t="shared" si="46"/>
        <v>0</v>
      </c>
    </row>
    <row r="26" spans="1:102" ht="20.100000000000001" hidden="1" customHeight="1" thickBot="1" x14ac:dyDescent="0.3">
      <c r="A26" s="198" t="s">
        <v>180</v>
      </c>
      <c r="B26" s="197" t="s">
        <v>223</v>
      </c>
      <c r="C26" s="102">
        <v>1</v>
      </c>
      <c r="D26" s="103">
        <v>0</v>
      </c>
      <c r="E26" s="107"/>
      <c r="F26" s="105">
        <f t="shared" si="0"/>
        <v>0</v>
      </c>
      <c r="G26" s="103">
        <v>0</v>
      </c>
      <c r="H26" s="106">
        <f t="shared" si="1"/>
        <v>0</v>
      </c>
      <c r="I26" s="107"/>
      <c r="J26" s="105">
        <f t="shared" si="2"/>
        <v>0</v>
      </c>
      <c r="K26" s="103">
        <v>0</v>
      </c>
      <c r="L26" s="106">
        <f t="shared" si="3"/>
        <v>0</v>
      </c>
      <c r="M26" s="104">
        <v>1</v>
      </c>
      <c r="N26" s="105">
        <f t="shared" si="4"/>
        <v>1</v>
      </c>
      <c r="O26" s="103">
        <v>2</v>
      </c>
      <c r="P26" s="106">
        <v>0</v>
      </c>
      <c r="Q26" s="107"/>
      <c r="R26" s="105">
        <f t="shared" si="14"/>
        <v>2</v>
      </c>
      <c r="S26" s="103">
        <v>2</v>
      </c>
      <c r="T26" s="106">
        <f t="shared" si="15"/>
        <v>0</v>
      </c>
      <c r="U26" s="107"/>
      <c r="V26" s="105">
        <f t="shared" si="16"/>
        <v>2</v>
      </c>
      <c r="W26" s="103">
        <v>2</v>
      </c>
      <c r="X26" s="106">
        <v>0</v>
      </c>
      <c r="Y26" s="107">
        <v>0</v>
      </c>
      <c r="Z26" s="105">
        <f t="shared" si="17"/>
        <v>2</v>
      </c>
      <c r="AA26" s="103">
        <v>2</v>
      </c>
      <c r="AB26" s="106">
        <f t="shared" si="18"/>
        <v>0</v>
      </c>
      <c r="AC26" s="107">
        <v>0</v>
      </c>
      <c r="AD26" s="105">
        <f t="shared" si="19"/>
        <v>2</v>
      </c>
      <c r="AE26" s="103">
        <v>2</v>
      </c>
      <c r="AF26" s="106">
        <f t="shared" si="20"/>
        <v>0</v>
      </c>
      <c r="AG26" s="107"/>
      <c r="AH26" s="105">
        <f t="shared" si="21"/>
        <v>2</v>
      </c>
      <c r="AI26" s="103">
        <v>2</v>
      </c>
      <c r="AJ26" s="106">
        <f t="shared" si="22"/>
        <v>0</v>
      </c>
      <c r="AK26" s="107"/>
      <c r="AL26" s="105">
        <f t="shared" si="23"/>
        <v>2</v>
      </c>
      <c r="AM26" s="103">
        <v>2</v>
      </c>
      <c r="AN26" s="106">
        <f t="shared" si="24"/>
        <v>0</v>
      </c>
      <c r="AO26" s="107"/>
      <c r="AP26" s="105">
        <f t="shared" si="25"/>
        <v>2</v>
      </c>
      <c r="AQ26" s="103">
        <v>2</v>
      </c>
      <c r="AR26" s="106">
        <f t="shared" si="26"/>
        <v>0</v>
      </c>
      <c r="AS26" s="107"/>
      <c r="AT26" s="105">
        <f t="shared" si="27"/>
        <v>2</v>
      </c>
      <c r="AU26" s="103">
        <v>2</v>
      </c>
      <c r="AV26" s="106">
        <f t="shared" si="28"/>
        <v>0</v>
      </c>
      <c r="AW26" s="107"/>
      <c r="AX26" s="105">
        <f t="shared" si="29"/>
        <v>2</v>
      </c>
      <c r="AY26" s="103">
        <v>1</v>
      </c>
      <c r="AZ26" s="106">
        <f t="shared" si="30"/>
        <v>1</v>
      </c>
      <c r="BA26" s="107"/>
      <c r="BB26" s="105">
        <f t="shared" si="31"/>
        <v>1</v>
      </c>
      <c r="BC26" s="103">
        <v>1</v>
      </c>
      <c r="BD26" s="106">
        <f t="shared" si="32"/>
        <v>0</v>
      </c>
      <c r="BE26" s="107"/>
      <c r="BF26" s="105">
        <f t="shared" si="33"/>
        <v>1</v>
      </c>
      <c r="BG26" s="103">
        <v>1</v>
      </c>
      <c r="BH26" s="106">
        <f t="shared" si="34"/>
        <v>0</v>
      </c>
      <c r="BI26" s="107"/>
      <c r="BJ26" s="105">
        <f t="shared" si="35"/>
        <v>1</v>
      </c>
      <c r="BK26" s="103">
        <v>1</v>
      </c>
      <c r="BL26" s="106">
        <f t="shared" si="5"/>
        <v>0</v>
      </c>
      <c r="BM26" s="107"/>
      <c r="BN26" s="105">
        <f t="shared" si="36"/>
        <v>1</v>
      </c>
      <c r="BO26" s="103">
        <v>1</v>
      </c>
      <c r="BP26" s="106">
        <f t="shared" si="37"/>
        <v>0</v>
      </c>
      <c r="BQ26" s="107"/>
      <c r="BR26" s="105">
        <f t="shared" si="38"/>
        <v>1</v>
      </c>
      <c r="BS26" s="103">
        <v>1</v>
      </c>
      <c r="BT26" s="106">
        <f t="shared" si="6"/>
        <v>0</v>
      </c>
      <c r="BU26" s="107"/>
      <c r="BV26" s="105">
        <f t="shared" si="39"/>
        <v>1</v>
      </c>
      <c r="BW26" s="103"/>
      <c r="BX26" s="106">
        <f t="shared" si="7"/>
        <v>1</v>
      </c>
      <c r="BY26" s="107"/>
      <c r="BZ26" s="105">
        <f t="shared" si="40"/>
        <v>0</v>
      </c>
      <c r="CA26" s="103"/>
      <c r="CB26" s="106">
        <f t="shared" si="8"/>
        <v>0</v>
      </c>
      <c r="CC26" s="107"/>
      <c r="CD26" s="105">
        <f t="shared" si="41"/>
        <v>0</v>
      </c>
      <c r="CE26" s="103"/>
      <c r="CF26" s="106">
        <f t="shared" si="9"/>
        <v>0</v>
      </c>
      <c r="CG26" s="107"/>
      <c r="CH26" s="105">
        <f t="shared" si="42"/>
        <v>0</v>
      </c>
      <c r="CI26" s="103"/>
      <c r="CJ26" s="106">
        <f t="shared" si="10"/>
        <v>0</v>
      </c>
      <c r="CK26" s="107"/>
      <c r="CL26" s="105">
        <f t="shared" si="43"/>
        <v>0</v>
      </c>
      <c r="CM26" s="103"/>
      <c r="CN26" s="106">
        <f t="shared" si="11"/>
        <v>0</v>
      </c>
      <c r="CO26" s="107"/>
      <c r="CP26" s="105">
        <f t="shared" si="44"/>
        <v>0</v>
      </c>
      <c r="CQ26" s="103"/>
      <c r="CR26" s="106">
        <f t="shared" si="12"/>
        <v>0</v>
      </c>
      <c r="CS26" s="107"/>
      <c r="CT26" s="105">
        <f t="shared" si="45"/>
        <v>0</v>
      </c>
      <c r="CU26" s="103"/>
      <c r="CV26" s="106">
        <f t="shared" si="13"/>
        <v>0</v>
      </c>
      <c r="CW26" s="107"/>
      <c r="CX26" s="105">
        <f t="shared" si="46"/>
        <v>0</v>
      </c>
    </row>
    <row r="27" spans="1:102" ht="20.100000000000001" customHeight="1" thickTop="1" x14ac:dyDescent="0.25">
      <c r="A27" s="199" t="s">
        <v>181</v>
      </c>
      <c r="B27" s="196" t="s">
        <v>182</v>
      </c>
      <c r="C27" s="90">
        <v>24</v>
      </c>
      <c r="D27" s="91">
        <v>39</v>
      </c>
      <c r="E27" s="95">
        <v>1</v>
      </c>
      <c r="F27" s="93">
        <f t="shared" si="0"/>
        <v>63</v>
      </c>
      <c r="G27" s="91">
        <v>38</v>
      </c>
      <c r="H27" s="94">
        <f t="shared" si="1"/>
        <v>25</v>
      </c>
      <c r="I27" s="95">
        <v>1</v>
      </c>
      <c r="J27" s="93">
        <f t="shared" si="2"/>
        <v>62</v>
      </c>
      <c r="K27" s="91">
        <v>34</v>
      </c>
      <c r="L27" s="94">
        <f t="shared" si="3"/>
        <v>28</v>
      </c>
      <c r="M27" s="95">
        <v>1</v>
      </c>
      <c r="N27" s="93">
        <f t="shared" si="4"/>
        <v>58</v>
      </c>
      <c r="O27" s="91">
        <v>0</v>
      </c>
      <c r="P27" s="94">
        <v>51</v>
      </c>
      <c r="Q27" s="92">
        <v>2</v>
      </c>
      <c r="R27" s="93">
        <f t="shared" si="14"/>
        <v>48</v>
      </c>
      <c r="S27" s="91">
        <v>22</v>
      </c>
      <c r="T27" s="94">
        <f t="shared" si="15"/>
        <v>26</v>
      </c>
      <c r="U27" s="92">
        <v>1</v>
      </c>
      <c r="V27" s="93">
        <f t="shared" si="16"/>
        <v>46</v>
      </c>
      <c r="W27" s="91">
        <v>15</v>
      </c>
      <c r="X27" s="94">
        <v>31</v>
      </c>
      <c r="Y27" s="92">
        <v>2</v>
      </c>
      <c r="Z27" s="93">
        <f t="shared" si="17"/>
        <v>63</v>
      </c>
      <c r="AA27" s="91">
        <v>41</v>
      </c>
      <c r="AB27" s="94">
        <f t="shared" si="18"/>
        <v>22</v>
      </c>
      <c r="AC27" s="92">
        <v>1</v>
      </c>
      <c r="AD27" s="93">
        <f t="shared" si="19"/>
        <v>65</v>
      </c>
      <c r="AE27" s="91">
        <v>20</v>
      </c>
      <c r="AF27" s="94">
        <f t="shared" si="20"/>
        <v>45</v>
      </c>
      <c r="AG27" s="95">
        <v>2</v>
      </c>
      <c r="AH27" s="93">
        <f t="shared" si="21"/>
        <v>68</v>
      </c>
      <c r="AI27" s="91">
        <v>45</v>
      </c>
      <c r="AJ27" s="94">
        <f t="shared" si="22"/>
        <v>23</v>
      </c>
      <c r="AK27" s="92"/>
      <c r="AL27" s="93">
        <f t="shared" si="23"/>
        <v>45</v>
      </c>
      <c r="AM27" s="91">
        <v>10</v>
      </c>
      <c r="AN27" s="94">
        <f t="shared" si="24"/>
        <v>35</v>
      </c>
      <c r="AO27" s="92">
        <v>2</v>
      </c>
      <c r="AP27" s="93">
        <f t="shared" si="25"/>
        <v>58</v>
      </c>
      <c r="AQ27" s="91">
        <v>18</v>
      </c>
      <c r="AR27" s="94">
        <f t="shared" si="26"/>
        <v>40</v>
      </c>
      <c r="AS27" s="92">
        <v>2</v>
      </c>
      <c r="AT27" s="93">
        <f t="shared" si="27"/>
        <v>66</v>
      </c>
      <c r="AU27" s="91">
        <v>27</v>
      </c>
      <c r="AV27" s="94">
        <f t="shared" si="28"/>
        <v>39</v>
      </c>
      <c r="AW27" s="92">
        <v>2</v>
      </c>
      <c r="AX27" s="93">
        <f t="shared" si="29"/>
        <v>75</v>
      </c>
      <c r="AY27" s="91">
        <f>24+18</f>
        <v>42</v>
      </c>
      <c r="AZ27" s="94">
        <f t="shared" si="30"/>
        <v>33</v>
      </c>
      <c r="BA27" s="92">
        <v>1</v>
      </c>
      <c r="BB27" s="93">
        <f t="shared" si="31"/>
        <v>66</v>
      </c>
      <c r="BC27" s="91">
        <v>34</v>
      </c>
      <c r="BD27" s="94">
        <f t="shared" si="32"/>
        <v>32</v>
      </c>
      <c r="BE27" s="92">
        <v>2</v>
      </c>
      <c r="BF27" s="93">
        <f t="shared" si="33"/>
        <v>82</v>
      </c>
      <c r="BG27" s="91">
        <v>49</v>
      </c>
      <c r="BH27" s="94">
        <f t="shared" si="34"/>
        <v>33</v>
      </c>
      <c r="BI27" s="92"/>
      <c r="BJ27" s="93">
        <f t="shared" si="35"/>
        <v>49</v>
      </c>
      <c r="BK27" s="91">
        <v>5</v>
      </c>
      <c r="BL27" s="94">
        <f t="shared" si="5"/>
        <v>44</v>
      </c>
      <c r="BM27" s="92">
        <v>2</v>
      </c>
      <c r="BN27" s="93">
        <f t="shared" si="36"/>
        <v>53</v>
      </c>
      <c r="BO27" s="91">
        <v>17</v>
      </c>
      <c r="BP27" s="94">
        <f t="shared" si="37"/>
        <v>36</v>
      </c>
      <c r="BQ27" s="92">
        <v>2</v>
      </c>
      <c r="BR27" s="93">
        <f t="shared" si="38"/>
        <v>65</v>
      </c>
      <c r="BS27" s="91">
        <v>50</v>
      </c>
      <c r="BT27" s="94">
        <f t="shared" si="6"/>
        <v>15</v>
      </c>
      <c r="BU27" s="92">
        <v>1</v>
      </c>
      <c r="BV27" s="93">
        <f t="shared" si="39"/>
        <v>74</v>
      </c>
      <c r="BW27" s="91"/>
      <c r="BX27" s="94">
        <f t="shared" si="7"/>
        <v>74</v>
      </c>
      <c r="BY27" s="92"/>
      <c r="BZ27" s="93">
        <f t="shared" si="40"/>
        <v>0</v>
      </c>
      <c r="CA27" s="91"/>
      <c r="CB27" s="94">
        <f t="shared" si="8"/>
        <v>0</v>
      </c>
      <c r="CC27" s="92"/>
      <c r="CD27" s="93">
        <f t="shared" si="41"/>
        <v>0</v>
      </c>
      <c r="CE27" s="91"/>
      <c r="CF27" s="94">
        <f t="shared" si="9"/>
        <v>0</v>
      </c>
      <c r="CG27" s="92"/>
      <c r="CH27" s="93">
        <f t="shared" si="42"/>
        <v>0</v>
      </c>
      <c r="CI27" s="91"/>
      <c r="CJ27" s="94">
        <f t="shared" si="10"/>
        <v>0</v>
      </c>
      <c r="CK27" s="92"/>
      <c r="CL27" s="93">
        <f t="shared" si="43"/>
        <v>0</v>
      </c>
      <c r="CM27" s="91"/>
      <c r="CN27" s="94">
        <f t="shared" si="11"/>
        <v>0</v>
      </c>
      <c r="CO27" s="92"/>
      <c r="CP27" s="93">
        <f t="shared" si="44"/>
        <v>0</v>
      </c>
      <c r="CQ27" s="91"/>
      <c r="CR27" s="94">
        <f t="shared" si="12"/>
        <v>0</v>
      </c>
      <c r="CS27" s="92"/>
      <c r="CT27" s="93">
        <f t="shared" si="45"/>
        <v>0</v>
      </c>
      <c r="CU27" s="91"/>
      <c r="CV27" s="94">
        <f t="shared" si="13"/>
        <v>0</v>
      </c>
      <c r="CW27" s="92"/>
      <c r="CX27" s="93">
        <f t="shared" si="46"/>
        <v>0</v>
      </c>
    </row>
    <row r="28" spans="1:102" ht="20.100000000000001" customHeight="1" thickBot="1" x14ac:dyDescent="0.3">
      <c r="A28" s="154" t="s">
        <v>183</v>
      </c>
      <c r="B28" s="156" t="s">
        <v>182</v>
      </c>
      <c r="C28" s="96">
        <v>24</v>
      </c>
      <c r="D28" s="97">
        <v>49</v>
      </c>
      <c r="E28" s="101">
        <v>1</v>
      </c>
      <c r="F28" s="99">
        <f t="shared" si="0"/>
        <v>73</v>
      </c>
      <c r="G28" s="97">
        <v>59</v>
      </c>
      <c r="H28" s="100">
        <f t="shared" si="1"/>
        <v>14</v>
      </c>
      <c r="I28" s="98"/>
      <c r="J28" s="99">
        <f t="shared" si="2"/>
        <v>59</v>
      </c>
      <c r="K28" s="97">
        <v>40</v>
      </c>
      <c r="L28" s="100">
        <f t="shared" si="3"/>
        <v>19</v>
      </c>
      <c r="M28" s="98"/>
      <c r="N28" s="99">
        <f t="shared" si="4"/>
        <v>40</v>
      </c>
      <c r="O28" s="97">
        <f>24*2+3</f>
        <v>51</v>
      </c>
      <c r="P28" s="100">
        <v>5</v>
      </c>
      <c r="Q28" s="98"/>
      <c r="R28" s="99">
        <f t="shared" si="14"/>
        <v>51</v>
      </c>
      <c r="S28" s="97">
        <v>39</v>
      </c>
      <c r="T28" s="100">
        <f t="shared" si="15"/>
        <v>12</v>
      </c>
      <c r="U28" s="98"/>
      <c r="V28" s="99">
        <f t="shared" si="16"/>
        <v>39</v>
      </c>
      <c r="W28" s="97">
        <v>31</v>
      </c>
      <c r="X28" s="100">
        <v>8</v>
      </c>
      <c r="Y28" s="98">
        <v>0</v>
      </c>
      <c r="Z28" s="99">
        <f t="shared" si="17"/>
        <v>31</v>
      </c>
      <c r="AA28" s="97">
        <v>18</v>
      </c>
      <c r="AB28" s="100">
        <f t="shared" si="18"/>
        <v>13</v>
      </c>
      <c r="AC28" s="98">
        <v>5</v>
      </c>
      <c r="AD28" s="99">
        <f t="shared" si="19"/>
        <v>138</v>
      </c>
      <c r="AE28" s="97">
        <f>4*24+1</f>
        <v>97</v>
      </c>
      <c r="AF28" s="100">
        <f t="shared" si="20"/>
        <v>41</v>
      </c>
      <c r="AG28" s="98"/>
      <c r="AH28" s="99">
        <f t="shared" si="21"/>
        <v>97</v>
      </c>
      <c r="AI28" s="97">
        <f>24*3+15</f>
        <v>87</v>
      </c>
      <c r="AJ28" s="100">
        <f t="shared" si="22"/>
        <v>10</v>
      </c>
      <c r="AK28" s="98"/>
      <c r="AL28" s="99">
        <f t="shared" si="23"/>
        <v>87</v>
      </c>
      <c r="AM28" s="97">
        <f>48+14</f>
        <v>62</v>
      </c>
      <c r="AN28" s="100">
        <f t="shared" si="24"/>
        <v>25</v>
      </c>
      <c r="AO28" s="98"/>
      <c r="AP28" s="99">
        <f t="shared" si="25"/>
        <v>62</v>
      </c>
      <c r="AQ28" s="97">
        <v>46</v>
      </c>
      <c r="AR28" s="100">
        <f t="shared" si="26"/>
        <v>16</v>
      </c>
      <c r="AS28" s="98"/>
      <c r="AT28" s="99">
        <f t="shared" si="27"/>
        <v>46</v>
      </c>
      <c r="AU28" s="97">
        <v>33</v>
      </c>
      <c r="AV28" s="100">
        <f t="shared" si="28"/>
        <v>13</v>
      </c>
      <c r="AW28" s="98">
        <v>1</v>
      </c>
      <c r="AX28" s="99">
        <f t="shared" si="29"/>
        <v>57</v>
      </c>
      <c r="AY28" s="97">
        <v>44</v>
      </c>
      <c r="AZ28" s="100">
        <f t="shared" si="30"/>
        <v>13</v>
      </c>
      <c r="BA28" s="98"/>
      <c r="BB28" s="99">
        <f t="shared" si="31"/>
        <v>44</v>
      </c>
      <c r="BC28" s="97">
        <v>28</v>
      </c>
      <c r="BD28" s="100">
        <f t="shared" si="32"/>
        <v>16</v>
      </c>
      <c r="BE28" s="98">
        <v>1</v>
      </c>
      <c r="BF28" s="99">
        <f t="shared" si="33"/>
        <v>52</v>
      </c>
      <c r="BG28" s="97">
        <f>48-6</f>
        <v>42</v>
      </c>
      <c r="BH28" s="100">
        <f t="shared" si="34"/>
        <v>10</v>
      </c>
      <c r="BI28" s="98"/>
      <c r="BJ28" s="99">
        <f t="shared" si="35"/>
        <v>42</v>
      </c>
      <c r="BK28" s="97">
        <v>27</v>
      </c>
      <c r="BL28" s="100">
        <f t="shared" si="5"/>
        <v>15</v>
      </c>
      <c r="BM28" s="98"/>
      <c r="BN28" s="99">
        <f t="shared" si="36"/>
        <v>27</v>
      </c>
      <c r="BO28" s="97">
        <v>8</v>
      </c>
      <c r="BP28" s="100">
        <f t="shared" si="37"/>
        <v>19</v>
      </c>
      <c r="BQ28" s="98">
        <v>1</v>
      </c>
      <c r="BR28" s="99">
        <f t="shared" si="38"/>
        <v>32</v>
      </c>
      <c r="BS28" s="97">
        <v>22</v>
      </c>
      <c r="BT28" s="100">
        <f t="shared" si="6"/>
        <v>10</v>
      </c>
      <c r="BU28" s="98">
        <v>1</v>
      </c>
      <c r="BV28" s="99">
        <f t="shared" si="39"/>
        <v>46</v>
      </c>
      <c r="BW28" s="97"/>
      <c r="BX28" s="100">
        <f t="shared" si="7"/>
        <v>46</v>
      </c>
      <c r="BY28" s="98"/>
      <c r="BZ28" s="99">
        <f t="shared" si="40"/>
        <v>0</v>
      </c>
      <c r="CA28" s="97"/>
      <c r="CB28" s="100">
        <f t="shared" si="8"/>
        <v>0</v>
      </c>
      <c r="CC28" s="98"/>
      <c r="CD28" s="99">
        <f t="shared" si="41"/>
        <v>0</v>
      </c>
      <c r="CE28" s="97"/>
      <c r="CF28" s="100">
        <f t="shared" si="9"/>
        <v>0</v>
      </c>
      <c r="CG28" s="98"/>
      <c r="CH28" s="99">
        <f t="shared" si="42"/>
        <v>0</v>
      </c>
      <c r="CI28" s="97"/>
      <c r="CJ28" s="100">
        <f t="shared" si="10"/>
        <v>0</v>
      </c>
      <c r="CK28" s="98"/>
      <c r="CL28" s="99">
        <f t="shared" si="43"/>
        <v>0</v>
      </c>
      <c r="CM28" s="97"/>
      <c r="CN28" s="100">
        <f t="shared" si="11"/>
        <v>0</v>
      </c>
      <c r="CO28" s="98"/>
      <c r="CP28" s="99">
        <f t="shared" si="44"/>
        <v>0</v>
      </c>
      <c r="CQ28" s="97"/>
      <c r="CR28" s="100">
        <f t="shared" si="12"/>
        <v>0</v>
      </c>
      <c r="CS28" s="98"/>
      <c r="CT28" s="99">
        <f t="shared" si="45"/>
        <v>0</v>
      </c>
      <c r="CU28" s="97"/>
      <c r="CV28" s="100">
        <f t="shared" si="13"/>
        <v>0</v>
      </c>
      <c r="CW28" s="98"/>
      <c r="CX28" s="99">
        <f t="shared" si="46"/>
        <v>0</v>
      </c>
    </row>
    <row r="29" spans="1:102" ht="20.100000000000001" hidden="1" customHeight="1" x14ac:dyDescent="0.25">
      <c r="A29" s="154" t="s">
        <v>184</v>
      </c>
      <c r="B29" s="156" t="s">
        <v>182</v>
      </c>
      <c r="C29" s="96">
        <v>24</v>
      </c>
      <c r="D29" s="97">
        <v>15</v>
      </c>
      <c r="E29" s="101">
        <v>1</v>
      </c>
      <c r="F29" s="99">
        <f t="shared" si="0"/>
        <v>39</v>
      </c>
      <c r="G29" s="97">
        <v>28</v>
      </c>
      <c r="H29" s="100">
        <f t="shared" si="1"/>
        <v>11</v>
      </c>
      <c r="I29" s="101">
        <v>1</v>
      </c>
      <c r="J29" s="99">
        <f t="shared" si="2"/>
        <v>52</v>
      </c>
      <c r="K29" s="97">
        <v>37</v>
      </c>
      <c r="L29" s="100">
        <f t="shared" si="3"/>
        <v>15</v>
      </c>
      <c r="M29" s="98"/>
      <c r="N29" s="99">
        <f t="shared" si="4"/>
        <v>37</v>
      </c>
      <c r="O29" s="97">
        <f>24+4</f>
        <v>28</v>
      </c>
      <c r="P29" s="100">
        <v>14</v>
      </c>
      <c r="Q29" s="98">
        <v>1</v>
      </c>
      <c r="R29" s="99">
        <f t="shared" si="14"/>
        <v>52</v>
      </c>
      <c r="S29" s="97">
        <f>17+24</f>
        <v>41</v>
      </c>
      <c r="T29" s="100">
        <f t="shared" si="15"/>
        <v>11</v>
      </c>
      <c r="U29" s="98"/>
      <c r="V29" s="99">
        <f t="shared" si="16"/>
        <v>41</v>
      </c>
      <c r="W29" s="97">
        <v>19</v>
      </c>
      <c r="X29" s="100">
        <v>22</v>
      </c>
      <c r="Y29" s="98">
        <v>1</v>
      </c>
      <c r="Z29" s="99">
        <f t="shared" si="17"/>
        <v>43</v>
      </c>
      <c r="AA29" s="97">
        <v>24</v>
      </c>
      <c r="AB29" s="100">
        <f t="shared" si="18"/>
        <v>19</v>
      </c>
      <c r="AC29" s="98">
        <v>1</v>
      </c>
      <c r="AD29" s="99">
        <f t="shared" si="19"/>
        <v>48</v>
      </c>
      <c r="AE29" s="97">
        <v>25</v>
      </c>
      <c r="AF29" s="100">
        <f t="shared" si="20"/>
        <v>23</v>
      </c>
      <c r="AG29" s="101">
        <v>1</v>
      </c>
      <c r="AH29" s="99">
        <f t="shared" si="21"/>
        <v>49</v>
      </c>
      <c r="AI29" s="97">
        <f>24+18</f>
        <v>42</v>
      </c>
      <c r="AJ29" s="100">
        <f t="shared" si="22"/>
        <v>7</v>
      </c>
      <c r="AK29" s="98"/>
      <c r="AL29" s="99">
        <f t="shared" si="23"/>
        <v>42</v>
      </c>
      <c r="AM29" s="97">
        <v>26</v>
      </c>
      <c r="AN29" s="100">
        <f t="shared" si="24"/>
        <v>16</v>
      </c>
      <c r="AO29" s="98">
        <v>1</v>
      </c>
      <c r="AP29" s="99">
        <f t="shared" si="25"/>
        <v>50</v>
      </c>
      <c r="AQ29" s="97">
        <v>23</v>
      </c>
      <c r="AR29" s="100">
        <f t="shared" si="26"/>
        <v>27</v>
      </c>
      <c r="AS29" s="98">
        <v>1</v>
      </c>
      <c r="AT29" s="99">
        <f t="shared" si="27"/>
        <v>47</v>
      </c>
      <c r="AU29" s="97">
        <v>33</v>
      </c>
      <c r="AV29" s="100">
        <f t="shared" si="28"/>
        <v>14</v>
      </c>
      <c r="AW29" s="98">
        <v>1</v>
      </c>
      <c r="AX29" s="99">
        <f t="shared" si="29"/>
        <v>57</v>
      </c>
      <c r="AY29" s="97">
        <f>24+9</f>
        <v>33</v>
      </c>
      <c r="AZ29" s="100">
        <f t="shared" si="30"/>
        <v>24</v>
      </c>
      <c r="BA29" s="98"/>
      <c r="BB29" s="99">
        <f t="shared" si="31"/>
        <v>33</v>
      </c>
      <c r="BC29" s="97">
        <v>2</v>
      </c>
      <c r="BD29" s="100">
        <f t="shared" si="32"/>
        <v>31</v>
      </c>
      <c r="BE29" s="98">
        <v>2</v>
      </c>
      <c r="BF29" s="99">
        <f t="shared" si="33"/>
        <v>50</v>
      </c>
      <c r="BG29" s="97">
        <v>25</v>
      </c>
      <c r="BH29" s="100">
        <f t="shared" si="34"/>
        <v>25</v>
      </c>
      <c r="BI29" s="98">
        <v>1</v>
      </c>
      <c r="BJ29" s="99">
        <f t="shared" si="35"/>
        <v>49</v>
      </c>
      <c r="BK29" s="97">
        <v>30</v>
      </c>
      <c r="BL29" s="100">
        <f t="shared" si="5"/>
        <v>19</v>
      </c>
      <c r="BM29" s="98"/>
      <c r="BN29" s="99">
        <f t="shared" si="36"/>
        <v>30</v>
      </c>
      <c r="BO29" s="97">
        <v>14</v>
      </c>
      <c r="BP29" s="100">
        <f t="shared" si="37"/>
        <v>16</v>
      </c>
      <c r="BQ29" s="98">
        <v>1</v>
      </c>
      <c r="BR29" s="99">
        <f t="shared" si="38"/>
        <v>38</v>
      </c>
      <c r="BS29" s="97">
        <v>31</v>
      </c>
      <c r="BT29" s="100">
        <f t="shared" si="6"/>
        <v>7</v>
      </c>
      <c r="BU29" s="98"/>
      <c r="BV29" s="99">
        <f t="shared" si="39"/>
        <v>31</v>
      </c>
      <c r="BW29" s="97"/>
      <c r="BX29" s="100">
        <f t="shared" si="7"/>
        <v>31</v>
      </c>
      <c r="BY29" s="98"/>
      <c r="BZ29" s="99">
        <f t="shared" si="40"/>
        <v>0</v>
      </c>
      <c r="CA29" s="97"/>
      <c r="CB29" s="100">
        <f t="shared" si="8"/>
        <v>0</v>
      </c>
      <c r="CC29" s="98"/>
      <c r="CD29" s="99">
        <f t="shared" si="41"/>
        <v>0</v>
      </c>
      <c r="CE29" s="97"/>
      <c r="CF29" s="100">
        <f t="shared" si="9"/>
        <v>0</v>
      </c>
      <c r="CG29" s="98"/>
      <c r="CH29" s="99">
        <f t="shared" si="42"/>
        <v>0</v>
      </c>
      <c r="CI29" s="97"/>
      <c r="CJ29" s="100">
        <f t="shared" si="10"/>
        <v>0</v>
      </c>
      <c r="CK29" s="98"/>
      <c r="CL29" s="99">
        <f t="shared" si="43"/>
        <v>0</v>
      </c>
      <c r="CM29" s="97"/>
      <c r="CN29" s="100">
        <f t="shared" si="11"/>
        <v>0</v>
      </c>
      <c r="CO29" s="98"/>
      <c r="CP29" s="99">
        <f t="shared" si="44"/>
        <v>0</v>
      </c>
      <c r="CQ29" s="97"/>
      <c r="CR29" s="100">
        <f t="shared" si="12"/>
        <v>0</v>
      </c>
      <c r="CS29" s="98"/>
      <c r="CT29" s="99">
        <f t="shared" si="45"/>
        <v>0</v>
      </c>
      <c r="CU29" s="97"/>
      <c r="CV29" s="100">
        <f t="shared" si="13"/>
        <v>0</v>
      </c>
      <c r="CW29" s="98"/>
      <c r="CX29" s="99">
        <f t="shared" si="46"/>
        <v>0</v>
      </c>
    </row>
    <row r="30" spans="1:102" ht="20.100000000000001" hidden="1" customHeight="1" x14ac:dyDescent="0.25">
      <c r="A30" s="154" t="s">
        <v>185</v>
      </c>
      <c r="B30" s="156" t="s">
        <v>182</v>
      </c>
      <c r="C30" s="96">
        <v>24</v>
      </c>
      <c r="D30" s="97">
        <v>2</v>
      </c>
      <c r="E30" s="101">
        <v>1</v>
      </c>
      <c r="F30" s="99">
        <f t="shared" si="0"/>
        <v>26</v>
      </c>
      <c r="G30" s="97">
        <v>21</v>
      </c>
      <c r="H30" s="100">
        <f t="shared" si="1"/>
        <v>5</v>
      </c>
      <c r="I30" s="98"/>
      <c r="J30" s="99">
        <f t="shared" si="2"/>
        <v>21</v>
      </c>
      <c r="K30" s="97">
        <v>13</v>
      </c>
      <c r="L30" s="100">
        <f t="shared" si="3"/>
        <v>8</v>
      </c>
      <c r="M30" s="101">
        <v>1</v>
      </c>
      <c r="N30" s="99">
        <f t="shared" si="4"/>
        <v>37</v>
      </c>
      <c r="O30" s="97">
        <f>2*24+5</f>
        <v>53</v>
      </c>
      <c r="P30" s="100">
        <v>27</v>
      </c>
      <c r="Q30" s="98">
        <v>2</v>
      </c>
      <c r="R30" s="99">
        <f t="shared" si="14"/>
        <v>101</v>
      </c>
      <c r="S30" s="97">
        <f>24*3+2</f>
        <v>74</v>
      </c>
      <c r="T30" s="100">
        <f t="shared" si="15"/>
        <v>27</v>
      </c>
      <c r="U30" s="98">
        <v>1</v>
      </c>
      <c r="V30" s="99">
        <f t="shared" si="16"/>
        <v>98</v>
      </c>
      <c r="W30" s="97">
        <v>69</v>
      </c>
      <c r="X30" s="100">
        <v>29</v>
      </c>
      <c r="Y30" s="98">
        <v>0</v>
      </c>
      <c r="Z30" s="99">
        <f t="shared" si="17"/>
        <v>69</v>
      </c>
      <c r="AA30" s="97">
        <f>24*2+8</f>
        <v>56</v>
      </c>
      <c r="AB30" s="100">
        <f t="shared" si="18"/>
        <v>13</v>
      </c>
      <c r="AC30" s="98">
        <v>0</v>
      </c>
      <c r="AD30" s="99">
        <f t="shared" si="19"/>
        <v>56</v>
      </c>
      <c r="AE30" s="97">
        <v>44</v>
      </c>
      <c r="AF30" s="100">
        <f t="shared" si="20"/>
        <v>12</v>
      </c>
      <c r="AG30" s="101">
        <v>1</v>
      </c>
      <c r="AH30" s="99">
        <f t="shared" si="21"/>
        <v>68</v>
      </c>
      <c r="AI30" s="97">
        <f>48+14</f>
        <v>62</v>
      </c>
      <c r="AJ30" s="100">
        <f t="shared" si="22"/>
        <v>6</v>
      </c>
      <c r="AK30" s="98"/>
      <c r="AL30" s="99">
        <f t="shared" si="23"/>
        <v>62</v>
      </c>
      <c r="AM30" s="97">
        <v>54</v>
      </c>
      <c r="AN30" s="100">
        <f t="shared" si="24"/>
        <v>8</v>
      </c>
      <c r="AO30" s="98"/>
      <c r="AP30" s="99">
        <f t="shared" si="25"/>
        <v>54</v>
      </c>
      <c r="AQ30" s="97">
        <v>49</v>
      </c>
      <c r="AR30" s="100">
        <f t="shared" si="26"/>
        <v>5</v>
      </c>
      <c r="AS30" s="98"/>
      <c r="AT30" s="99">
        <f t="shared" si="27"/>
        <v>49</v>
      </c>
      <c r="AU30" s="97">
        <v>40</v>
      </c>
      <c r="AV30" s="100">
        <f t="shared" si="28"/>
        <v>9</v>
      </c>
      <c r="AW30" s="98">
        <v>1</v>
      </c>
      <c r="AX30" s="99">
        <f t="shared" si="29"/>
        <v>64</v>
      </c>
      <c r="AY30" s="97">
        <f>24+24+13</f>
        <v>61</v>
      </c>
      <c r="AZ30" s="100">
        <f t="shared" si="30"/>
        <v>3</v>
      </c>
      <c r="BA30" s="98"/>
      <c r="BB30" s="99">
        <f t="shared" si="31"/>
        <v>61</v>
      </c>
      <c r="BC30" s="97">
        <v>50</v>
      </c>
      <c r="BD30" s="100">
        <f t="shared" si="32"/>
        <v>11</v>
      </c>
      <c r="BE30" s="98">
        <v>1</v>
      </c>
      <c r="BF30" s="99">
        <f t="shared" si="33"/>
        <v>74</v>
      </c>
      <c r="BG30" s="97">
        <f>24*3-3</f>
        <v>69</v>
      </c>
      <c r="BH30" s="100">
        <f t="shared" si="34"/>
        <v>5</v>
      </c>
      <c r="BI30" s="98">
        <v>1</v>
      </c>
      <c r="BJ30" s="99">
        <f t="shared" si="35"/>
        <v>93</v>
      </c>
      <c r="BK30" s="97">
        <f>24*3+14</f>
        <v>86</v>
      </c>
      <c r="BL30" s="100">
        <f t="shared" si="5"/>
        <v>7</v>
      </c>
      <c r="BM30" s="98"/>
      <c r="BN30" s="99">
        <f t="shared" si="36"/>
        <v>86</v>
      </c>
      <c r="BO30" s="97">
        <f>24*3+12</f>
        <v>84</v>
      </c>
      <c r="BP30" s="100">
        <f t="shared" si="37"/>
        <v>2</v>
      </c>
      <c r="BQ30" s="98"/>
      <c r="BR30" s="99">
        <f t="shared" si="38"/>
        <v>84</v>
      </c>
      <c r="BS30" s="97">
        <v>69</v>
      </c>
      <c r="BT30" s="100">
        <f t="shared" si="6"/>
        <v>15</v>
      </c>
      <c r="BU30" s="98"/>
      <c r="BV30" s="99">
        <f t="shared" si="39"/>
        <v>69</v>
      </c>
      <c r="BW30" s="97"/>
      <c r="BX30" s="100">
        <f t="shared" si="7"/>
        <v>69</v>
      </c>
      <c r="BY30" s="98"/>
      <c r="BZ30" s="99">
        <f t="shared" si="40"/>
        <v>0</v>
      </c>
      <c r="CA30" s="97"/>
      <c r="CB30" s="100">
        <f t="shared" si="8"/>
        <v>0</v>
      </c>
      <c r="CC30" s="98"/>
      <c r="CD30" s="99">
        <f t="shared" si="41"/>
        <v>0</v>
      </c>
      <c r="CE30" s="97"/>
      <c r="CF30" s="100">
        <f t="shared" si="9"/>
        <v>0</v>
      </c>
      <c r="CG30" s="98"/>
      <c r="CH30" s="99">
        <f t="shared" si="42"/>
        <v>0</v>
      </c>
      <c r="CI30" s="97"/>
      <c r="CJ30" s="100">
        <f t="shared" si="10"/>
        <v>0</v>
      </c>
      <c r="CK30" s="98"/>
      <c r="CL30" s="99">
        <f t="shared" si="43"/>
        <v>0</v>
      </c>
      <c r="CM30" s="97"/>
      <c r="CN30" s="100">
        <f t="shared" si="11"/>
        <v>0</v>
      </c>
      <c r="CO30" s="98"/>
      <c r="CP30" s="99">
        <f t="shared" si="44"/>
        <v>0</v>
      </c>
      <c r="CQ30" s="97"/>
      <c r="CR30" s="100">
        <f t="shared" si="12"/>
        <v>0</v>
      </c>
      <c r="CS30" s="98"/>
      <c r="CT30" s="99">
        <f t="shared" si="45"/>
        <v>0</v>
      </c>
      <c r="CU30" s="97"/>
      <c r="CV30" s="100">
        <f t="shared" si="13"/>
        <v>0</v>
      </c>
      <c r="CW30" s="98"/>
      <c r="CX30" s="99">
        <f t="shared" si="46"/>
        <v>0</v>
      </c>
    </row>
    <row r="31" spans="1:102" ht="20.100000000000001" hidden="1" customHeight="1" thickBot="1" x14ac:dyDescent="0.3">
      <c r="A31" s="198" t="s">
        <v>186</v>
      </c>
      <c r="B31" s="197" t="s">
        <v>182</v>
      </c>
      <c r="C31" s="102">
        <v>24</v>
      </c>
      <c r="D31" s="103">
        <v>14</v>
      </c>
      <c r="E31" s="104">
        <v>1</v>
      </c>
      <c r="F31" s="105">
        <f t="shared" si="0"/>
        <v>38</v>
      </c>
      <c r="G31" s="103">
        <v>29</v>
      </c>
      <c r="H31" s="106">
        <f t="shared" si="1"/>
        <v>9</v>
      </c>
      <c r="I31" s="104">
        <v>1</v>
      </c>
      <c r="J31" s="105">
        <f t="shared" si="2"/>
        <v>53</v>
      </c>
      <c r="K31" s="103">
        <v>44</v>
      </c>
      <c r="L31" s="106">
        <f t="shared" si="3"/>
        <v>9</v>
      </c>
      <c r="M31" s="107"/>
      <c r="N31" s="105">
        <f t="shared" si="4"/>
        <v>44</v>
      </c>
      <c r="O31" s="103">
        <f>24+8</f>
        <v>32</v>
      </c>
      <c r="P31" s="106">
        <v>13</v>
      </c>
      <c r="Q31" s="107">
        <v>1</v>
      </c>
      <c r="R31" s="105">
        <f t="shared" si="14"/>
        <v>56</v>
      </c>
      <c r="S31" s="103">
        <f>19+24</f>
        <v>43</v>
      </c>
      <c r="T31" s="106">
        <f t="shared" si="15"/>
        <v>13</v>
      </c>
      <c r="U31" s="107"/>
      <c r="V31" s="105">
        <f t="shared" si="16"/>
        <v>43</v>
      </c>
      <c r="W31" s="103">
        <v>37</v>
      </c>
      <c r="X31" s="106">
        <v>6</v>
      </c>
      <c r="Y31" s="107">
        <v>0</v>
      </c>
      <c r="Z31" s="105">
        <f t="shared" si="17"/>
        <v>37</v>
      </c>
      <c r="AA31" s="103">
        <v>27</v>
      </c>
      <c r="AB31" s="106">
        <f t="shared" si="18"/>
        <v>10</v>
      </c>
      <c r="AC31" s="107">
        <v>0</v>
      </c>
      <c r="AD31" s="105">
        <f t="shared" si="19"/>
        <v>27</v>
      </c>
      <c r="AE31" s="103">
        <v>10</v>
      </c>
      <c r="AF31" s="106">
        <f t="shared" si="20"/>
        <v>17</v>
      </c>
      <c r="AG31" s="104">
        <v>1</v>
      </c>
      <c r="AH31" s="105">
        <f t="shared" si="21"/>
        <v>34</v>
      </c>
      <c r="AI31" s="103">
        <v>29</v>
      </c>
      <c r="AJ31" s="106">
        <f t="shared" si="22"/>
        <v>5</v>
      </c>
      <c r="AK31" s="107"/>
      <c r="AL31" s="105">
        <f t="shared" si="23"/>
        <v>29</v>
      </c>
      <c r="AM31" s="103">
        <v>22</v>
      </c>
      <c r="AN31" s="106">
        <f t="shared" si="24"/>
        <v>7</v>
      </c>
      <c r="AO31" s="107"/>
      <c r="AP31" s="105">
        <f t="shared" si="25"/>
        <v>22</v>
      </c>
      <c r="AQ31" s="103">
        <v>6</v>
      </c>
      <c r="AR31" s="106">
        <f t="shared" si="26"/>
        <v>16</v>
      </c>
      <c r="AS31" s="107">
        <v>1</v>
      </c>
      <c r="AT31" s="105">
        <f t="shared" si="27"/>
        <v>30</v>
      </c>
      <c r="AU31" s="103">
        <v>24</v>
      </c>
      <c r="AV31" s="106">
        <f t="shared" si="28"/>
        <v>6</v>
      </c>
      <c r="AW31" s="107">
        <v>1</v>
      </c>
      <c r="AX31" s="105">
        <f t="shared" si="29"/>
        <v>48</v>
      </c>
      <c r="AY31" s="103">
        <v>30</v>
      </c>
      <c r="AZ31" s="106">
        <f t="shared" si="30"/>
        <v>18</v>
      </c>
      <c r="BA31" s="107"/>
      <c r="BB31" s="105">
        <f t="shared" si="31"/>
        <v>30</v>
      </c>
      <c r="BC31" s="103">
        <v>10</v>
      </c>
      <c r="BD31" s="106">
        <f t="shared" si="32"/>
        <v>20</v>
      </c>
      <c r="BE31" s="107">
        <v>1</v>
      </c>
      <c r="BF31" s="105">
        <f t="shared" si="33"/>
        <v>34</v>
      </c>
      <c r="BG31" s="103">
        <v>17</v>
      </c>
      <c r="BH31" s="106">
        <f t="shared" si="34"/>
        <v>17</v>
      </c>
      <c r="BI31" s="107">
        <v>1</v>
      </c>
      <c r="BJ31" s="105">
        <f t="shared" si="35"/>
        <v>41</v>
      </c>
      <c r="BK31" s="103">
        <v>23</v>
      </c>
      <c r="BL31" s="106">
        <f t="shared" si="5"/>
        <v>18</v>
      </c>
      <c r="BM31" s="107">
        <v>1</v>
      </c>
      <c r="BN31" s="105">
        <f t="shared" si="36"/>
        <v>47</v>
      </c>
      <c r="BO31" s="103">
        <f>24+13</f>
        <v>37</v>
      </c>
      <c r="BP31" s="106">
        <f t="shared" si="37"/>
        <v>10</v>
      </c>
      <c r="BQ31" s="107"/>
      <c r="BR31" s="105">
        <f t="shared" si="38"/>
        <v>37</v>
      </c>
      <c r="BS31" s="103">
        <v>28</v>
      </c>
      <c r="BT31" s="106">
        <f t="shared" si="6"/>
        <v>9</v>
      </c>
      <c r="BU31" s="107"/>
      <c r="BV31" s="105">
        <f t="shared" si="39"/>
        <v>28</v>
      </c>
      <c r="BW31" s="103"/>
      <c r="BX31" s="106">
        <f t="shared" si="7"/>
        <v>28</v>
      </c>
      <c r="BY31" s="107"/>
      <c r="BZ31" s="105">
        <f t="shared" si="40"/>
        <v>0</v>
      </c>
      <c r="CA31" s="103"/>
      <c r="CB31" s="106">
        <f t="shared" si="8"/>
        <v>0</v>
      </c>
      <c r="CC31" s="107"/>
      <c r="CD31" s="105">
        <f t="shared" si="41"/>
        <v>0</v>
      </c>
      <c r="CE31" s="103"/>
      <c r="CF31" s="106">
        <f t="shared" si="9"/>
        <v>0</v>
      </c>
      <c r="CG31" s="107"/>
      <c r="CH31" s="105">
        <f t="shared" si="42"/>
        <v>0</v>
      </c>
      <c r="CI31" s="103"/>
      <c r="CJ31" s="106">
        <f t="shared" si="10"/>
        <v>0</v>
      </c>
      <c r="CK31" s="107"/>
      <c r="CL31" s="105">
        <f t="shared" si="43"/>
        <v>0</v>
      </c>
      <c r="CM31" s="103"/>
      <c r="CN31" s="106">
        <f t="shared" si="11"/>
        <v>0</v>
      </c>
      <c r="CO31" s="107"/>
      <c r="CP31" s="105">
        <f t="shared" si="44"/>
        <v>0</v>
      </c>
      <c r="CQ31" s="103"/>
      <c r="CR31" s="106">
        <f t="shared" si="12"/>
        <v>0</v>
      </c>
      <c r="CS31" s="107"/>
      <c r="CT31" s="105">
        <f t="shared" si="45"/>
        <v>0</v>
      </c>
      <c r="CU31" s="103"/>
      <c r="CV31" s="106">
        <f t="shared" si="13"/>
        <v>0</v>
      </c>
      <c r="CW31" s="107"/>
      <c r="CX31" s="105">
        <f t="shared" si="46"/>
        <v>0</v>
      </c>
    </row>
    <row r="32" spans="1:102" ht="20.100000000000001" customHeight="1" thickTop="1" x14ac:dyDescent="0.25">
      <c r="A32" s="199" t="s">
        <v>188</v>
      </c>
      <c r="B32" s="196" t="s">
        <v>182</v>
      </c>
      <c r="C32" s="90">
        <v>24</v>
      </c>
      <c r="D32" s="91">
        <v>28</v>
      </c>
      <c r="E32" s="92"/>
      <c r="F32" s="93">
        <f t="shared" si="0"/>
        <v>28</v>
      </c>
      <c r="G32" s="91">
        <v>18</v>
      </c>
      <c r="H32" s="94">
        <f t="shared" si="1"/>
        <v>10</v>
      </c>
      <c r="I32" s="95">
        <v>1</v>
      </c>
      <c r="J32" s="93">
        <f t="shared" si="2"/>
        <v>42</v>
      </c>
      <c r="K32" s="91">
        <v>27</v>
      </c>
      <c r="L32" s="94">
        <f t="shared" si="3"/>
        <v>15</v>
      </c>
      <c r="M32" s="92"/>
      <c r="N32" s="93">
        <f t="shared" si="4"/>
        <v>27</v>
      </c>
      <c r="O32" s="91">
        <f>24+19</f>
        <v>43</v>
      </c>
      <c r="P32" s="94">
        <v>3</v>
      </c>
      <c r="Q32" s="92"/>
      <c r="R32" s="93">
        <f t="shared" si="14"/>
        <v>43</v>
      </c>
      <c r="S32" s="91">
        <v>36</v>
      </c>
      <c r="T32" s="94">
        <f t="shared" si="15"/>
        <v>7</v>
      </c>
      <c r="U32" s="92"/>
      <c r="V32" s="93">
        <f t="shared" si="16"/>
        <v>36</v>
      </c>
      <c r="W32" s="91">
        <v>32</v>
      </c>
      <c r="X32" s="94">
        <v>4</v>
      </c>
      <c r="Y32" s="92">
        <v>0</v>
      </c>
      <c r="Z32" s="93">
        <f t="shared" si="17"/>
        <v>32</v>
      </c>
      <c r="AA32" s="91">
        <v>20</v>
      </c>
      <c r="AB32" s="94">
        <f t="shared" si="18"/>
        <v>12</v>
      </c>
      <c r="AC32" s="92">
        <v>0</v>
      </c>
      <c r="AD32" s="93">
        <f t="shared" si="19"/>
        <v>20</v>
      </c>
      <c r="AE32" s="91">
        <v>15</v>
      </c>
      <c r="AF32" s="94">
        <f t="shared" si="20"/>
        <v>5</v>
      </c>
      <c r="AG32" s="95">
        <v>1</v>
      </c>
      <c r="AH32" s="93">
        <f t="shared" si="21"/>
        <v>39</v>
      </c>
      <c r="AI32" s="91">
        <v>31</v>
      </c>
      <c r="AJ32" s="94">
        <f t="shared" si="22"/>
        <v>8</v>
      </c>
      <c r="AK32" s="92"/>
      <c r="AL32" s="93">
        <f t="shared" si="23"/>
        <v>31</v>
      </c>
      <c r="AM32" s="91">
        <v>25</v>
      </c>
      <c r="AN32" s="94">
        <f t="shared" si="24"/>
        <v>6</v>
      </c>
      <c r="AO32" s="92"/>
      <c r="AP32" s="93">
        <f t="shared" si="25"/>
        <v>25</v>
      </c>
      <c r="AQ32" s="91">
        <v>22</v>
      </c>
      <c r="AR32" s="94">
        <f t="shared" si="26"/>
        <v>3</v>
      </c>
      <c r="AS32" s="92"/>
      <c r="AT32" s="93">
        <f t="shared" si="27"/>
        <v>22</v>
      </c>
      <c r="AU32" s="91">
        <v>6</v>
      </c>
      <c r="AV32" s="94">
        <f t="shared" si="28"/>
        <v>16</v>
      </c>
      <c r="AW32" s="92">
        <v>1</v>
      </c>
      <c r="AX32" s="93">
        <f t="shared" si="29"/>
        <v>30</v>
      </c>
      <c r="AY32" s="91">
        <v>17</v>
      </c>
      <c r="AZ32" s="94">
        <f t="shared" si="30"/>
        <v>13</v>
      </c>
      <c r="BA32" s="92">
        <v>1</v>
      </c>
      <c r="BB32" s="93">
        <f t="shared" si="31"/>
        <v>41</v>
      </c>
      <c r="BC32" s="91">
        <v>39</v>
      </c>
      <c r="BD32" s="94">
        <f t="shared" si="32"/>
        <v>2</v>
      </c>
      <c r="BE32" s="92"/>
      <c r="BF32" s="93">
        <f t="shared" si="33"/>
        <v>39</v>
      </c>
      <c r="BG32" s="91">
        <v>29</v>
      </c>
      <c r="BH32" s="94">
        <f t="shared" si="34"/>
        <v>10</v>
      </c>
      <c r="BI32" s="92"/>
      <c r="BJ32" s="93">
        <f t="shared" si="35"/>
        <v>29</v>
      </c>
      <c r="BK32" s="91">
        <v>25</v>
      </c>
      <c r="BL32" s="94">
        <f t="shared" si="5"/>
        <v>4</v>
      </c>
      <c r="BM32" s="92"/>
      <c r="BN32" s="93">
        <f t="shared" si="36"/>
        <v>25</v>
      </c>
      <c r="BO32" s="91">
        <v>18</v>
      </c>
      <c r="BP32" s="94">
        <f t="shared" si="37"/>
        <v>7</v>
      </c>
      <c r="BQ32" s="92"/>
      <c r="BR32" s="93">
        <f t="shared" si="38"/>
        <v>18</v>
      </c>
      <c r="BS32" s="91">
        <v>8</v>
      </c>
      <c r="BT32" s="94">
        <f t="shared" si="6"/>
        <v>10</v>
      </c>
      <c r="BU32" s="92">
        <v>1</v>
      </c>
      <c r="BV32" s="93">
        <f t="shared" si="39"/>
        <v>32</v>
      </c>
      <c r="BW32" s="91"/>
      <c r="BX32" s="94">
        <f t="shared" si="7"/>
        <v>32</v>
      </c>
      <c r="BY32" s="92"/>
      <c r="BZ32" s="93">
        <f t="shared" si="40"/>
        <v>0</v>
      </c>
      <c r="CA32" s="91"/>
      <c r="CB32" s="94">
        <f t="shared" si="8"/>
        <v>0</v>
      </c>
      <c r="CC32" s="92"/>
      <c r="CD32" s="93">
        <f t="shared" si="41"/>
        <v>0</v>
      </c>
      <c r="CE32" s="91"/>
      <c r="CF32" s="94">
        <f t="shared" si="9"/>
        <v>0</v>
      </c>
      <c r="CG32" s="92"/>
      <c r="CH32" s="93">
        <f t="shared" si="42"/>
        <v>0</v>
      </c>
      <c r="CI32" s="91"/>
      <c r="CJ32" s="94">
        <f t="shared" si="10"/>
        <v>0</v>
      </c>
      <c r="CK32" s="92"/>
      <c r="CL32" s="93">
        <f t="shared" si="43"/>
        <v>0</v>
      </c>
      <c r="CM32" s="91"/>
      <c r="CN32" s="94">
        <f t="shared" si="11"/>
        <v>0</v>
      </c>
      <c r="CO32" s="92"/>
      <c r="CP32" s="93">
        <f t="shared" si="44"/>
        <v>0</v>
      </c>
      <c r="CQ32" s="91"/>
      <c r="CR32" s="94">
        <f t="shared" si="12"/>
        <v>0</v>
      </c>
      <c r="CS32" s="92"/>
      <c r="CT32" s="93">
        <f t="shared" si="45"/>
        <v>0</v>
      </c>
      <c r="CU32" s="91"/>
      <c r="CV32" s="94">
        <f t="shared" si="13"/>
        <v>0</v>
      </c>
      <c r="CW32" s="92"/>
      <c r="CX32" s="93">
        <f t="shared" si="46"/>
        <v>0</v>
      </c>
    </row>
    <row r="33" spans="1:102" ht="20.100000000000001" hidden="1" customHeight="1" x14ac:dyDescent="0.25">
      <c r="A33" s="154" t="s">
        <v>189</v>
      </c>
      <c r="B33" s="156" t="s">
        <v>182</v>
      </c>
      <c r="C33" s="96">
        <v>24</v>
      </c>
      <c r="D33" s="97">
        <v>0</v>
      </c>
      <c r="E33" s="101">
        <v>0</v>
      </c>
      <c r="F33" s="99">
        <f t="shared" si="0"/>
        <v>0</v>
      </c>
      <c r="G33" s="97">
        <v>0</v>
      </c>
      <c r="H33" s="100">
        <f t="shared" si="1"/>
        <v>0</v>
      </c>
      <c r="I33" s="101">
        <v>1</v>
      </c>
      <c r="J33" s="99">
        <f t="shared" si="2"/>
        <v>24</v>
      </c>
      <c r="K33" s="97">
        <v>19</v>
      </c>
      <c r="L33" s="100">
        <f t="shared" si="3"/>
        <v>5</v>
      </c>
      <c r="M33" s="98"/>
      <c r="N33" s="99">
        <f t="shared" si="4"/>
        <v>19</v>
      </c>
      <c r="O33" s="97">
        <v>11</v>
      </c>
      <c r="P33" s="100">
        <v>22</v>
      </c>
      <c r="Q33" s="98">
        <v>1</v>
      </c>
      <c r="R33" s="99">
        <f t="shared" si="14"/>
        <v>35</v>
      </c>
      <c r="S33" s="97">
        <v>12</v>
      </c>
      <c r="T33" s="100">
        <f t="shared" si="15"/>
        <v>23</v>
      </c>
      <c r="U33" s="98">
        <v>1</v>
      </c>
      <c r="V33" s="99">
        <f t="shared" si="16"/>
        <v>36</v>
      </c>
      <c r="W33" s="97">
        <v>33</v>
      </c>
      <c r="X33" s="100">
        <v>3</v>
      </c>
      <c r="Y33" s="98">
        <v>0</v>
      </c>
      <c r="Z33" s="99">
        <f t="shared" si="17"/>
        <v>33</v>
      </c>
      <c r="AA33" s="97">
        <v>29</v>
      </c>
      <c r="AB33" s="100">
        <f t="shared" si="18"/>
        <v>4</v>
      </c>
      <c r="AC33" s="98">
        <v>0</v>
      </c>
      <c r="AD33" s="99">
        <f t="shared" si="19"/>
        <v>29</v>
      </c>
      <c r="AE33" s="97">
        <v>22</v>
      </c>
      <c r="AF33" s="100">
        <f t="shared" si="20"/>
        <v>7</v>
      </c>
      <c r="AG33" s="98"/>
      <c r="AH33" s="99">
        <f t="shared" si="21"/>
        <v>22</v>
      </c>
      <c r="AI33" s="97">
        <v>19</v>
      </c>
      <c r="AJ33" s="100">
        <f t="shared" si="22"/>
        <v>3</v>
      </c>
      <c r="AK33" s="98"/>
      <c r="AL33" s="99">
        <f t="shared" si="23"/>
        <v>19</v>
      </c>
      <c r="AM33" s="97">
        <v>16</v>
      </c>
      <c r="AN33" s="100">
        <f t="shared" si="24"/>
        <v>3</v>
      </c>
      <c r="AO33" s="98"/>
      <c r="AP33" s="99">
        <f t="shared" si="25"/>
        <v>16</v>
      </c>
      <c r="AQ33" s="97">
        <v>16</v>
      </c>
      <c r="AR33" s="100">
        <f t="shared" si="26"/>
        <v>0</v>
      </c>
      <c r="AS33" s="98"/>
      <c r="AT33" s="99">
        <f t="shared" si="27"/>
        <v>16</v>
      </c>
      <c r="AU33" s="97">
        <v>12</v>
      </c>
      <c r="AV33" s="100">
        <f t="shared" si="28"/>
        <v>4</v>
      </c>
      <c r="AW33" s="98">
        <v>1</v>
      </c>
      <c r="AX33" s="99">
        <f t="shared" si="29"/>
        <v>36</v>
      </c>
      <c r="AY33" s="97">
        <f>24+9</f>
        <v>33</v>
      </c>
      <c r="AZ33" s="100">
        <f t="shared" si="30"/>
        <v>3</v>
      </c>
      <c r="BA33" s="98"/>
      <c r="BB33" s="99">
        <f t="shared" si="31"/>
        <v>33</v>
      </c>
      <c r="BC33" s="97">
        <v>26</v>
      </c>
      <c r="BD33" s="100">
        <f t="shared" si="32"/>
        <v>7</v>
      </c>
      <c r="BE33" s="98"/>
      <c r="BF33" s="99">
        <f t="shared" si="33"/>
        <v>26</v>
      </c>
      <c r="BG33" s="97">
        <v>26</v>
      </c>
      <c r="BH33" s="100">
        <f t="shared" si="34"/>
        <v>0</v>
      </c>
      <c r="BI33" s="98"/>
      <c r="BJ33" s="99">
        <f t="shared" si="35"/>
        <v>26</v>
      </c>
      <c r="BK33" s="97">
        <v>23</v>
      </c>
      <c r="BL33" s="100">
        <f t="shared" si="5"/>
        <v>3</v>
      </c>
      <c r="BM33" s="98"/>
      <c r="BN33" s="99">
        <f t="shared" si="36"/>
        <v>23</v>
      </c>
      <c r="BO33" s="97">
        <v>20</v>
      </c>
      <c r="BP33" s="100">
        <f t="shared" si="37"/>
        <v>3</v>
      </c>
      <c r="BQ33" s="98"/>
      <c r="BR33" s="99">
        <f t="shared" si="38"/>
        <v>20</v>
      </c>
      <c r="BS33" s="97">
        <v>18</v>
      </c>
      <c r="BT33" s="100">
        <f t="shared" si="6"/>
        <v>2</v>
      </c>
      <c r="BU33" s="98"/>
      <c r="BV33" s="99">
        <f t="shared" si="39"/>
        <v>18</v>
      </c>
      <c r="BW33" s="97"/>
      <c r="BX33" s="100">
        <f t="shared" si="7"/>
        <v>18</v>
      </c>
      <c r="BY33" s="98"/>
      <c r="BZ33" s="99">
        <f t="shared" si="40"/>
        <v>0</v>
      </c>
      <c r="CA33" s="97"/>
      <c r="CB33" s="100">
        <f t="shared" si="8"/>
        <v>0</v>
      </c>
      <c r="CC33" s="98"/>
      <c r="CD33" s="99">
        <f t="shared" si="41"/>
        <v>0</v>
      </c>
      <c r="CE33" s="97"/>
      <c r="CF33" s="100">
        <f t="shared" si="9"/>
        <v>0</v>
      </c>
      <c r="CG33" s="98"/>
      <c r="CH33" s="99">
        <f t="shared" si="42"/>
        <v>0</v>
      </c>
      <c r="CI33" s="97"/>
      <c r="CJ33" s="100">
        <f t="shared" si="10"/>
        <v>0</v>
      </c>
      <c r="CK33" s="98"/>
      <c r="CL33" s="99">
        <f t="shared" si="43"/>
        <v>0</v>
      </c>
      <c r="CM33" s="97"/>
      <c r="CN33" s="100">
        <f t="shared" si="11"/>
        <v>0</v>
      </c>
      <c r="CO33" s="98"/>
      <c r="CP33" s="99">
        <f t="shared" si="44"/>
        <v>0</v>
      </c>
      <c r="CQ33" s="97"/>
      <c r="CR33" s="100">
        <f t="shared" si="12"/>
        <v>0</v>
      </c>
      <c r="CS33" s="98"/>
      <c r="CT33" s="99">
        <f t="shared" si="45"/>
        <v>0</v>
      </c>
      <c r="CU33" s="97"/>
      <c r="CV33" s="100">
        <f t="shared" si="13"/>
        <v>0</v>
      </c>
      <c r="CW33" s="98"/>
      <c r="CX33" s="99">
        <f t="shared" si="46"/>
        <v>0</v>
      </c>
    </row>
    <row r="34" spans="1:102" ht="20.100000000000001" customHeight="1" x14ac:dyDescent="0.25">
      <c r="A34" s="154" t="s">
        <v>190</v>
      </c>
      <c r="B34" s="156" t="s">
        <v>182</v>
      </c>
      <c r="C34" s="96">
        <v>24</v>
      </c>
      <c r="D34" s="97">
        <v>13</v>
      </c>
      <c r="E34" s="98"/>
      <c r="F34" s="99">
        <f t="shared" si="0"/>
        <v>13</v>
      </c>
      <c r="G34" s="97">
        <v>11</v>
      </c>
      <c r="H34" s="100">
        <f t="shared" si="1"/>
        <v>2</v>
      </c>
      <c r="I34" s="98"/>
      <c r="J34" s="99">
        <f t="shared" si="2"/>
        <v>11</v>
      </c>
      <c r="K34" s="97">
        <v>11</v>
      </c>
      <c r="L34" s="100">
        <f t="shared" si="3"/>
        <v>0</v>
      </c>
      <c r="M34" s="98"/>
      <c r="N34" s="99">
        <f t="shared" si="4"/>
        <v>11</v>
      </c>
      <c r="O34" s="97">
        <v>10</v>
      </c>
      <c r="P34" s="100">
        <v>0</v>
      </c>
      <c r="Q34" s="98"/>
      <c r="R34" s="99">
        <f t="shared" si="14"/>
        <v>10</v>
      </c>
      <c r="S34" s="97">
        <v>9</v>
      </c>
      <c r="T34" s="100">
        <f t="shared" si="15"/>
        <v>1</v>
      </c>
      <c r="U34" s="98"/>
      <c r="V34" s="99">
        <f t="shared" si="16"/>
        <v>9</v>
      </c>
      <c r="W34" s="97">
        <v>6</v>
      </c>
      <c r="X34" s="100">
        <v>3</v>
      </c>
      <c r="Y34" s="98">
        <v>1</v>
      </c>
      <c r="Z34" s="99">
        <f t="shared" si="17"/>
        <v>30</v>
      </c>
      <c r="AA34" s="97">
        <v>26</v>
      </c>
      <c r="AB34" s="100">
        <f t="shared" si="18"/>
        <v>4</v>
      </c>
      <c r="AC34" s="98">
        <v>0</v>
      </c>
      <c r="AD34" s="99">
        <f t="shared" si="19"/>
        <v>26</v>
      </c>
      <c r="AE34" s="97">
        <v>26</v>
      </c>
      <c r="AF34" s="100">
        <f t="shared" si="20"/>
        <v>0</v>
      </c>
      <c r="AG34" s="98"/>
      <c r="AH34" s="99">
        <f t="shared" si="21"/>
        <v>26</v>
      </c>
      <c r="AI34" s="97">
        <v>23</v>
      </c>
      <c r="AJ34" s="100">
        <f t="shared" si="22"/>
        <v>3</v>
      </c>
      <c r="AK34" s="98"/>
      <c r="AL34" s="99">
        <f t="shared" si="23"/>
        <v>23</v>
      </c>
      <c r="AM34" s="97">
        <v>23</v>
      </c>
      <c r="AN34" s="100">
        <f t="shared" si="24"/>
        <v>0</v>
      </c>
      <c r="AO34" s="98"/>
      <c r="AP34" s="99">
        <f t="shared" si="25"/>
        <v>23</v>
      </c>
      <c r="AQ34" s="97">
        <v>18</v>
      </c>
      <c r="AR34" s="100">
        <f t="shared" si="26"/>
        <v>5</v>
      </c>
      <c r="AS34" s="98"/>
      <c r="AT34" s="99">
        <f t="shared" si="27"/>
        <v>18</v>
      </c>
      <c r="AU34" s="97">
        <v>22</v>
      </c>
      <c r="AV34" s="100">
        <f t="shared" si="28"/>
        <v>-4</v>
      </c>
      <c r="AW34" s="98"/>
      <c r="AX34" s="99">
        <f t="shared" si="29"/>
        <v>22</v>
      </c>
      <c r="AY34" s="97">
        <v>21</v>
      </c>
      <c r="AZ34" s="100">
        <f t="shared" si="30"/>
        <v>1</v>
      </c>
      <c r="BA34" s="98"/>
      <c r="BB34" s="99">
        <f t="shared" si="31"/>
        <v>21</v>
      </c>
      <c r="BC34" s="97">
        <v>20</v>
      </c>
      <c r="BD34" s="100">
        <f t="shared" si="32"/>
        <v>1</v>
      </c>
      <c r="BE34" s="98"/>
      <c r="BF34" s="99">
        <f t="shared" si="33"/>
        <v>20</v>
      </c>
      <c r="BG34" s="97">
        <v>19</v>
      </c>
      <c r="BH34" s="100">
        <f t="shared" si="34"/>
        <v>1</v>
      </c>
      <c r="BI34" s="98"/>
      <c r="BJ34" s="99">
        <f t="shared" si="35"/>
        <v>19</v>
      </c>
      <c r="BK34" s="97">
        <v>16</v>
      </c>
      <c r="BL34" s="100">
        <f t="shared" si="5"/>
        <v>3</v>
      </c>
      <c r="BM34" s="98"/>
      <c r="BN34" s="99">
        <f t="shared" si="36"/>
        <v>16</v>
      </c>
      <c r="BO34" s="97">
        <v>12</v>
      </c>
      <c r="BP34" s="100">
        <f t="shared" si="37"/>
        <v>4</v>
      </c>
      <c r="BQ34" s="98"/>
      <c r="BR34" s="99">
        <f t="shared" si="38"/>
        <v>12</v>
      </c>
      <c r="BS34" s="97">
        <v>2</v>
      </c>
      <c r="BT34" s="100">
        <f t="shared" si="6"/>
        <v>10</v>
      </c>
      <c r="BU34" s="98">
        <v>1</v>
      </c>
      <c r="BV34" s="99">
        <f t="shared" si="39"/>
        <v>26</v>
      </c>
      <c r="BW34" s="97"/>
      <c r="BX34" s="100">
        <f t="shared" si="7"/>
        <v>26</v>
      </c>
      <c r="BY34" s="98"/>
      <c r="BZ34" s="99">
        <f t="shared" si="40"/>
        <v>0</v>
      </c>
      <c r="CA34" s="97"/>
      <c r="CB34" s="100">
        <f t="shared" si="8"/>
        <v>0</v>
      </c>
      <c r="CC34" s="98"/>
      <c r="CD34" s="99">
        <f t="shared" si="41"/>
        <v>0</v>
      </c>
      <c r="CE34" s="97"/>
      <c r="CF34" s="100">
        <f t="shared" si="9"/>
        <v>0</v>
      </c>
      <c r="CG34" s="98"/>
      <c r="CH34" s="99">
        <f t="shared" si="42"/>
        <v>0</v>
      </c>
      <c r="CI34" s="97"/>
      <c r="CJ34" s="100">
        <f t="shared" si="10"/>
        <v>0</v>
      </c>
      <c r="CK34" s="98"/>
      <c r="CL34" s="99">
        <f t="shared" si="43"/>
        <v>0</v>
      </c>
      <c r="CM34" s="97"/>
      <c r="CN34" s="100">
        <f t="shared" si="11"/>
        <v>0</v>
      </c>
      <c r="CO34" s="98"/>
      <c r="CP34" s="99">
        <f t="shared" si="44"/>
        <v>0</v>
      </c>
      <c r="CQ34" s="97"/>
      <c r="CR34" s="100">
        <f t="shared" si="12"/>
        <v>0</v>
      </c>
      <c r="CS34" s="98"/>
      <c r="CT34" s="99">
        <f t="shared" si="45"/>
        <v>0</v>
      </c>
      <c r="CU34" s="97"/>
      <c r="CV34" s="100">
        <f t="shared" si="13"/>
        <v>0</v>
      </c>
      <c r="CW34" s="98"/>
      <c r="CX34" s="99">
        <f t="shared" si="46"/>
        <v>0</v>
      </c>
    </row>
    <row r="35" spans="1:102" ht="20.100000000000001" hidden="1" customHeight="1" x14ac:dyDescent="0.25">
      <c r="A35" s="154" t="s">
        <v>191</v>
      </c>
      <c r="B35" s="156" t="s">
        <v>182</v>
      </c>
      <c r="C35" s="96">
        <v>6</v>
      </c>
      <c r="D35" s="97">
        <v>3</v>
      </c>
      <c r="E35" s="101">
        <v>1</v>
      </c>
      <c r="F35" s="99">
        <f t="shared" si="0"/>
        <v>9</v>
      </c>
      <c r="G35" s="97">
        <v>9</v>
      </c>
      <c r="H35" s="100">
        <f t="shared" si="1"/>
        <v>0</v>
      </c>
      <c r="I35" s="98"/>
      <c r="J35" s="99">
        <f t="shared" si="2"/>
        <v>9</v>
      </c>
      <c r="K35" s="97">
        <v>8</v>
      </c>
      <c r="L35" s="100">
        <f t="shared" si="3"/>
        <v>1</v>
      </c>
      <c r="M35" s="98"/>
      <c r="N35" s="99">
        <f t="shared" si="4"/>
        <v>8</v>
      </c>
      <c r="O35" s="97">
        <v>4</v>
      </c>
      <c r="P35" s="100">
        <v>1</v>
      </c>
      <c r="Q35" s="98"/>
      <c r="R35" s="99">
        <f t="shared" si="14"/>
        <v>4</v>
      </c>
      <c r="S35" s="97">
        <v>4</v>
      </c>
      <c r="T35" s="100">
        <f t="shared" si="15"/>
        <v>0</v>
      </c>
      <c r="U35" s="98"/>
      <c r="V35" s="99">
        <f t="shared" si="16"/>
        <v>4</v>
      </c>
      <c r="W35" s="97">
        <v>4</v>
      </c>
      <c r="X35" s="100">
        <v>0</v>
      </c>
      <c r="Y35" s="98">
        <v>0</v>
      </c>
      <c r="Z35" s="99">
        <f t="shared" si="17"/>
        <v>4</v>
      </c>
      <c r="AA35" s="97">
        <v>4</v>
      </c>
      <c r="AB35" s="100">
        <f t="shared" si="18"/>
        <v>0</v>
      </c>
      <c r="AC35" s="98">
        <v>0</v>
      </c>
      <c r="AD35" s="99">
        <f t="shared" si="19"/>
        <v>4</v>
      </c>
      <c r="AE35" s="97">
        <v>4</v>
      </c>
      <c r="AF35" s="100">
        <f t="shared" si="20"/>
        <v>0</v>
      </c>
      <c r="AG35" s="98"/>
      <c r="AH35" s="99">
        <f t="shared" si="21"/>
        <v>4</v>
      </c>
      <c r="AI35" s="97">
        <v>4</v>
      </c>
      <c r="AJ35" s="100">
        <f t="shared" si="22"/>
        <v>0</v>
      </c>
      <c r="AK35" s="98"/>
      <c r="AL35" s="99">
        <f t="shared" si="23"/>
        <v>4</v>
      </c>
      <c r="AM35" s="97">
        <v>3</v>
      </c>
      <c r="AN35" s="100">
        <f t="shared" si="24"/>
        <v>1</v>
      </c>
      <c r="AO35" s="98">
        <v>1</v>
      </c>
      <c r="AP35" s="99">
        <f t="shared" si="25"/>
        <v>9</v>
      </c>
      <c r="AQ35" s="97">
        <v>9</v>
      </c>
      <c r="AR35" s="100">
        <f t="shared" si="26"/>
        <v>0</v>
      </c>
      <c r="AS35" s="98"/>
      <c r="AT35" s="99">
        <f t="shared" si="27"/>
        <v>9</v>
      </c>
      <c r="AU35" s="97">
        <v>9</v>
      </c>
      <c r="AV35" s="100">
        <f t="shared" si="28"/>
        <v>0</v>
      </c>
      <c r="AW35" s="98"/>
      <c r="AX35" s="99">
        <f t="shared" si="29"/>
        <v>9</v>
      </c>
      <c r="AY35" s="97">
        <v>9</v>
      </c>
      <c r="AZ35" s="100">
        <f t="shared" si="30"/>
        <v>0</v>
      </c>
      <c r="BA35" s="98"/>
      <c r="BB35" s="99">
        <f t="shared" si="31"/>
        <v>9</v>
      </c>
      <c r="BC35" s="97">
        <v>9</v>
      </c>
      <c r="BD35" s="100">
        <f t="shared" si="32"/>
        <v>0</v>
      </c>
      <c r="BE35" s="98"/>
      <c r="BF35" s="99">
        <f t="shared" si="33"/>
        <v>9</v>
      </c>
      <c r="BG35" s="97">
        <v>9</v>
      </c>
      <c r="BH35" s="100">
        <f t="shared" si="34"/>
        <v>0</v>
      </c>
      <c r="BI35" s="98"/>
      <c r="BJ35" s="99">
        <f t="shared" si="35"/>
        <v>9</v>
      </c>
      <c r="BK35" s="97">
        <v>9</v>
      </c>
      <c r="BL35" s="100">
        <f t="shared" si="5"/>
        <v>0</v>
      </c>
      <c r="BM35" s="98"/>
      <c r="BN35" s="99">
        <f t="shared" si="36"/>
        <v>9</v>
      </c>
      <c r="BO35" s="97">
        <v>8</v>
      </c>
      <c r="BP35" s="100">
        <f t="shared" si="37"/>
        <v>1</v>
      </c>
      <c r="BQ35" s="98"/>
      <c r="BR35" s="99">
        <f t="shared" si="38"/>
        <v>8</v>
      </c>
      <c r="BS35" s="97">
        <v>8</v>
      </c>
      <c r="BT35" s="100">
        <f t="shared" si="6"/>
        <v>0</v>
      </c>
      <c r="BU35" s="98"/>
      <c r="BV35" s="99">
        <f t="shared" si="39"/>
        <v>8</v>
      </c>
      <c r="BW35" s="97"/>
      <c r="BX35" s="100">
        <f t="shared" si="7"/>
        <v>8</v>
      </c>
      <c r="BY35" s="98"/>
      <c r="BZ35" s="99">
        <f t="shared" si="40"/>
        <v>0</v>
      </c>
      <c r="CA35" s="97"/>
      <c r="CB35" s="100">
        <f t="shared" si="8"/>
        <v>0</v>
      </c>
      <c r="CC35" s="98"/>
      <c r="CD35" s="99">
        <f t="shared" si="41"/>
        <v>0</v>
      </c>
      <c r="CE35" s="97"/>
      <c r="CF35" s="100">
        <f t="shared" si="9"/>
        <v>0</v>
      </c>
      <c r="CG35" s="98"/>
      <c r="CH35" s="99">
        <f t="shared" si="42"/>
        <v>0</v>
      </c>
      <c r="CI35" s="97"/>
      <c r="CJ35" s="100">
        <f t="shared" si="10"/>
        <v>0</v>
      </c>
      <c r="CK35" s="98"/>
      <c r="CL35" s="99">
        <f t="shared" si="43"/>
        <v>0</v>
      </c>
      <c r="CM35" s="97"/>
      <c r="CN35" s="100">
        <f t="shared" si="11"/>
        <v>0</v>
      </c>
      <c r="CO35" s="98"/>
      <c r="CP35" s="99">
        <f t="shared" si="44"/>
        <v>0</v>
      </c>
      <c r="CQ35" s="97"/>
      <c r="CR35" s="100">
        <f t="shared" si="12"/>
        <v>0</v>
      </c>
      <c r="CS35" s="98"/>
      <c r="CT35" s="99">
        <f t="shared" si="45"/>
        <v>0</v>
      </c>
      <c r="CU35" s="97"/>
      <c r="CV35" s="100">
        <f t="shared" si="13"/>
        <v>0</v>
      </c>
      <c r="CW35" s="98"/>
      <c r="CX35" s="99">
        <f t="shared" si="46"/>
        <v>0</v>
      </c>
    </row>
    <row r="36" spans="1:102" ht="20.100000000000001" hidden="1" customHeight="1" x14ac:dyDescent="0.25">
      <c r="A36" s="154" t="s">
        <v>216</v>
      </c>
      <c r="B36" s="156" t="s">
        <v>182</v>
      </c>
      <c r="C36" s="96">
        <v>6</v>
      </c>
      <c r="D36" s="97">
        <v>4</v>
      </c>
      <c r="E36" s="98"/>
      <c r="F36" s="99">
        <f t="shared" ref="F36:F65" si="47">+D36+E36*$C36</f>
        <v>4</v>
      </c>
      <c r="G36" s="97">
        <v>4</v>
      </c>
      <c r="H36" s="100">
        <f t="shared" si="1"/>
        <v>0</v>
      </c>
      <c r="I36" s="98"/>
      <c r="J36" s="99">
        <f t="shared" si="2"/>
        <v>4</v>
      </c>
      <c r="K36" s="97">
        <v>2</v>
      </c>
      <c r="L36" s="100">
        <f t="shared" si="3"/>
        <v>2</v>
      </c>
      <c r="M36" s="101">
        <v>1</v>
      </c>
      <c r="N36" s="99">
        <f t="shared" si="4"/>
        <v>8</v>
      </c>
      <c r="O36" s="97">
        <v>13</v>
      </c>
      <c r="P36" s="100">
        <v>1</v>
      </c>
      <c r="Q36" s="98"/>
      <c r="R36" s="99">
        <f t="shared" si="14"/>
        <v>13</v>
      </c>
      <c r="S36" s="97">
        <v>12</v>
      </c>
      <c r="T36" s="100">
        <f t="shared" si="15"/>
        <v>1</v>
      </c>
      <c r="U36" s="98"/>
      <c r="V36" s="99">
        <f t="shared" si="16"/>
        <v>12</v>
      </c>
      <c r="W36" s="97">
        <v>12</v>
      </c>
      <c r="X36" s="100">
        <v>0</v>
      </c>
      <c r="Y36" s="98">
        <v>0</v>
      </c>
      <c r="Z36" s="99">
        <f t="shared" si="17"/>
        <v>12</v>
      </c>
      <c r="AA36" s="97">
        <v>12</v>
      </c>
      <c r="AB36" s="100">
        <f t="shared" si="18"/>
        <v>0</v>
      </c>
      <c r="AC36" s="98">
        <v>0</v>
      </c>
      <c r="AD36" s="99">
        <f t="shared" si="19"/>
        <v>12</v>
      </c>
      <c r="AE36" s="97">
        <v>11</v>
      </c>
      <c r="AF36" s="100">
        <f t="shared" si="20"/>
        <v>1</v>
      </c>
      <c r="AG36" s="98"/>
      <c r="AH36" s="99">
        <f t="shared" si="21"/>
        <v>11</v>
      </c>
      <c r="AI36" s="97">
        <v>10</v>
      </c>
      <c r="AJ36" s="100">
        <f t="shared" si="22"/>
        <v>1</v>
      </c>
      <c r="AK36" s="98"/>
      <c r="AL36" s="99">
        <f t="shared" si="23"/>
        <v>10</v>
      </c>
      <c r="AM36" s="97">
        <v>8</v>
      </c>
      <c r="AN36" s="100">
        <f t="shared" si="24"/>
        <v>2</v>
      </c>
      <c r="AO36" s="98"/>
      <c r="AP36" s="99">
        <f t="shared" si="25"/>
        <v>8</v>
      </c>
      <c r="AQ36" s="97">
        <v>7</v>
      </c>
      <c r="AR36" s="100">
        <f t="shared" si="26"/>
        <v>1</v>
      </c>
      <c r="AS36" s="98"/>
      <c r="AT36" s="99">
        <f t="shared" si="27"/>
        <v>7</v>
      </c>
      <c r="AU36" s="97">
        <v>7</v>
      </c>
      <c r="AV36" s="100">
        <f t="shared" si="28"/>
        <v>0</v>
      </c>
      <c r="AW36" s="98"/>
      <c r="AX36" s="99">
        <f t="shared" si="29"/>
        <v>7</v>
      </c>
      <c r="AY36" s="97">
        <v>5</v>
      </c>
      <c r="AZ36" s="100">
        <f t="shared" si="30"/>
        <v>2</v>
      </c>
      <c r="BA36" s="98"/>
      <c r="BB36" s="99">
        <f t="shared" si="31"/>
        <v>5</v>
      </c>
      <c r="BC36" s="97">
        <v>5</v>
      </c>
      <c r="BD36" s="100">
        <f t="shared" si="32"/>
        <v>0</v>
      </c>
      <c r="BE36" s="98"/>
      <c r="BF36" s="99">
        <f t="shared" si="33"/>
        <v>5</v>
      </c>
      <c r="BG36" s="97">
        <v>2</v>
      </c>
      <c r="BH36" s="100">
        <f t="shared" si="34"/>
        <v>3</v>
      </c>
      <c r="BI36" s="98">
        <v>1</v>
      </c>
      <c r="BJ36" s="99">
        <f t="shared" si="35"/>
        <v>8</v>
      </c>
      <c r="BK36" s="97">
        <v>7</v>
      </c>
      <c r="BL36" s="100">
        <f t="shared" si="5"/>
        <v>1</v>
      </c>
      <c r="BM36" s="98"/>
      <c r="BN36" s="99">
        <f t="shared" si="36"/>
        <v>7</v>
      </c>
      <c r="BO36" s="97">
        <v>6</v>
      </c>
      <c r="BP36" s="100">
        <f t="shared" si="37"/>
        <v>1</v>
      </c>
      <c r="BQ36" s="98"/>
      <c r="BR36" s="99">
        <f t="shared" si="38"/>
        <v>6</v>
      </c>
      <c r="BS36" s="97">
        <v>5</v>
      </c>
      <c r="BT36" s="100">
        <f t="shared" si="6"/>
        <v>1</v>
      </c>
      <c r="BU36" s="98"/>
      <c r="BV36" s="99">
        <f t="shared" si="39"/>
        <v>5</v>
      </c>
      <c r="BW36" s="97"/>
      <c r="BX36" s="100">
        <f t="shared" si="7"/>
        <v>5</v>
      </c>
      <c r="BY36" s="98"/>
      <c r="BZ36" s="99">
        <f t="shared" si="40"/>
        <v>0</v>
      </c>
      <c r="CA36" s="97"/>
      <c r="CB36" s="100">
        <f t="shared" si="8"/>
        <v>0</v>
      </c>
      <c r="CC36" s="98"/>
      <c r="CD36" s="99">
        <f t="shared" si="41"/>
        <v>0</v>
      </c>
      <c r="CE36" s="97"/>
      <c r="CF36" s="100">
        <f t="shared" si="9"/>
        <v>0</v>
      </c>
      <c r="CG36" s="98"/>
      <c r="CH36" s="99">
        <f t="shared" si="42"/>
        <v>0</v>
      </c>
      <c r="CI36" s="97"/>
      <c r="CJ36" s="100">
        <f t="shared" si="10"/>
        <v>0</v>
      </c>
      <c r="CK36" s="98"/>
      <c r="CL36" s="99">
        <f t="shared" si="43"/>
        <v>0</v>
      </c>
      <c r="CM36" s="97"/>
      <c r="CN36" s="100">
        <f t="shared" si="11"/>
        <v>0</v>
      </c>
      <c r="CO36" s="98"/>
      <c r="CP36" s="99">
        <f t="shared" si="44"/>
        <v>0</v>
      </c>
      <c r="CQ36" s="97"/>
      <c r="CR36" s="100">
        <f t="shared" si="12"/>
        <v>0</v>
      </c>
      <c r="CS36" s="98"/>
      <c r="CT36" s="99">
        <f t="shared" si="45"/>
        <v>0</v>
      </c>
      <c r="CU36" s="97"/>
      <c r="CV36" s="100">
        <f t="shared" si="13"/>
        <v>0</v>
      </c>
      <c r="CW36" s="98"/>
      <c r="CX36" s="99">
        <f t="shared" si="46"/>
        <v>0</v>
      </c>
    </row>
    <row r="37" spans="1:102" ht="20.100000000000001" customHeight="1" x14ac:dyDescent="0.25">
      <c r="A37" s="154" t="s">
        <v>192</v>
      </c>
      <c r="B37" s="156" t="s">
        <v>182</v>
      </c>
      <c r="C37" s="96">
        <v>6</v>
      </c>
      <c r="D37" s="97">
        <v>8</v>
      </c>
      <c r="E37" s="101">
        <v>1</v>
      </c>
      <c r="F37" s="99">
        <f t="shared" si="47"/>
        <v>14</v>
      </c>
      <c r="G37" s="97">
        <v>7</v>
      </c>
      <c r="H37" s="100">
        <f t="shared" si="1"/>
        <v>7</v>
      </c>
      <c r="I37" s="101">
        <v>1</v>
      </c>
      <c r="J37" s="99">
        <f t="shared" si="2"/>
        <v>13</v>
      </c>
      <c r="K37" s="97">
        <v>8</v>
      </c>
      <c r="L37" s="100">
        <f t="shared" si="3"/>
        <v>5</v>
      </c>
      <c r="M37" s="101">
        <v>1</v>
      </c>
      <c r="N37" s="99">
        <f t="shared" si="4"/>
        <v>14</v>
      </c>
      <c r="O37" s="97">
        <v>19</v>
      </c>
      <c r="P37" s="100">
        <v>7</v>
      </c>
      <c r="Q37" s="98"/>
      <c r="R37" s="99">
        <f t="shared" si="14"/>
        <v>19</v>
      </c>
      <c r="S37" s="97">
        <v>11</v>
      </c>
      <c r="T37" s="100">
        <f t="shared" si="15"/>
        <v>8</v>
      </c>
      <c r="U37" s="98">
        <v>1</v>
      </c>
      <c r="V37" s="99">
        <f t="shared" si="16"/>
        <v>17</v>
      </c>
      <c r="W37" s="97">
        <v>4</v>
      </c>
      <c r="X37" s="100">
        <f>V37-W37</f>
        <v>13</v>
      </c>
      <c r="Y37" s="98">
        <v>2</v>
      </c>
      <c r="Z37" s="99">
        <f t="shared" si="17"/>
        <v>16</v>
      </c>
      <c r="AA37" s="97">
        <v>14</v>
      </c>
      <c r="AB37" s="100">
        <f t="shared" si="18"/>
        <v>2</v>
      </c>
      <c r="AC37" s="98">
        <v>0</v>
      </c>
      <c r="AD37" s="99">
        <f t="shared" si="19"/>
        <v>14</v>
      </c>
      <c r="AE37" s="97">
        <v>2</v>
      </c>
      <c r="AF37" s="100">
        <f t="shared" si="20"/>
        <v>12</v>
      </c>
      <c r="AG37" s="101">
        <v>3</v>
      </c>
      <c r="AH37" s="99">
        <f t="shared" si="21"/>
        <v>20</v>
      </c>
      <c r="AI37" s="97">
        <v>14</v>
      </c>
      <c r="AJ37" s="100">
        <f t="shared" si="22"/>
        <v>6</v>
      </c>
      <c r="AK37" s="101">
        <v>1</v>
      </c>
      <c r="AL37" s="99">
        <f t="shared" si="23"/>
        <v>20</v>
      </c>
      <c r="AM37" s="97">
        <v>12</v>
      </c>
      <c r="AN37" s="100">
        <f t="shared" si="24"/>
        <v>8</v>
      </c>
      <c r="AO37" s="98">
        <v>1</v>
      </c>
      <c r="AP37" s="99">
        <f t="shared" si="25"/>
        <v>18</v>
      </c>
      <c r="AQ37" s="97">
        <v>9</v>
      </c>
      <c r="AR37" s="100">
        <f t="shared" si="26"/>
        <v>9</v>
      </c>
      <c r="AS37" s="98">
        <v>1</v>
      </c>
      <c r="AT37" s="99">
        <f t="shared" si="27"/>
        <v>15</v>
      </c>
      <c r="AU37" s="97">
        <v>8</v>
      </c>
      <c r="AV37" s="100">
        <f t="shared" si="28"/>
        <v>7</v>
      </c>
      <c r="AW37" s="98">
        <v>1</v>
      </c>
      <c r="AX37" s="99">
        <f t="shared" si="29"/>
        <v>14</v>
      </c>
      <c r="AY37" s="97">
        <v>6</v>
      </c>
      <c r="AZ37" s="100">
        <f t="shared" si="30"/>
        <v>8</v>
      </c>
      <c r="BA37" s="98">
        <v>2</v>
      </c>
      <c r="BB37" s="99">
        <f t="shared" si="31"/>
        <v>18</v>
      </c>
      <c r="BC37" s="97">
        <v>9</v>
      </c>
      <c r="BD37" s="100">
        <f t="shared" si="32"/>
        <v>9</v>
      </c>
      <c r="BE37" s="98">
        <v>1</v>
      </c>
      <c r="BF37" s="99">
        <f t="shared" si="33"/>
        <v>15</v>
      </c>
      <c r="BG37" s="97">
        <v>8</v>
      </c>
      <c r="BH37" s="100">
        <f t="shared" si="34"/>
        <v>7</v>
      </c>
      <c r="BI37" s="98">
        <v>1</v>
      </c>
      <c r="BJ37" s="99">
        <f t="shared" si="35"/>
        <v>14</v>
      </c>
      <c r="BK37" s="97">
        <v>7</v>
      </c>
      <c r="BL37" s="100">
        <f t="shared" si="5"/>
        <v>7</v>
      </c>
      <c r="BM37" s="98">
        <v>1</v>
      </c>
      <c r="BN37" s="99">
        <f t="shared" si="36"/>
        <v>13</v>
      </c>
      <c r="BO37" s="97">
        <v>8</v>
      </c>
      <c r="BP37" s="100">
        <f t="shared" si="37"/>
        <v>5</v>
      </c>
      <c r="BQ37" s="98">
        <v>1</v>
      </c>
      <c r="BR37" s="99">
        <f t="shared" si="38"/>
        <v>14</v>
      </c>
      <c r="BS37" s="97">
        <v>5</v>
      </c>
      <c r="BT37" s="100">
        <f t="shared" si="6"/>
        <v>9</v>
      </c>
      <c r="BU37" s="98">
        <v>2</v>
      </c>
      <c r="BV37" s="99">
        <f t="shared" si="39"/>
        <v>17</v>
      </c>
      <c r="BW37" s="97"/>
      <c r="BX37" s="100">
        <f t="shared" si="7"/>
        <v>17</v>
      </c>
      <c r="BY37" s="98"/>
      <c r="BZ37" s="99">
        <f t="shared" si="40"/>
        <v>0</v>
      </c>
      <c r="CA37" s="97"/>
      <c r="CB37" s="100">
        <f t="shared" si="8"/>
        <v>0</v>
      </c>
      <c r="CC37" s="98"/>
      <c r="CD37" s="99">
        <f t="shared" si="41"/>
        <v>0</v>
      </c>
      <c r="CE37" s="97"/>
      <c r="CF37" s="100">
        <f t="shared" si="9"/>
        <v>0</v>
      </c>
      <c r="CG37" s="98"/>
      <c r="CH37" s="99">
        <f t="shared" si="42"/>
        <v>0</v>
      </c>
      <c r="CI37" s="97"/>
      <c r="CJ37" s="100">
        <f t="shared" si="10"/>
        <v>0</v>
      </c>
      <c r="CK37" s="98"/>
      <c r="CL37" s="99">
        <f t="shared" si="43"/>
        <v>0</v>
      </c>
      <c r="CM37" s="97"/>
      <c r="CN37" s="100">
        <f t="shared" si="11"/>
        <v>0</v>
      </c>
      <c r="CO37" s="98"/>
      <c r="CP37" s="99">
        <f t="shared" si="44"/>
        <v>0</v>
      </c>
      <c r="CQ37" s="97"/>
      <c r="CR37" s="100">
        <f t="shared" si="12"/>
        <v>0</v>
      </c>
      <c r="CS37" s="98"/>
      <c r="CT37" s="99">
        <f t="shared" si="45"/>
        <v>0</v>
      </c>
      <c r="CU37" s="97"/>
      <c r="CV37" s="100">
        <f t="shared" si="13"/>
        <v>0</v>
      </c>
      <c r="CW37" s="98"/>
      <c r="CX37" s="99">
        <f t="shared" si="46"/>
        <v>0</v>
      </c>
    </row>
    <row r="38" spans="1:102" ht="20.100000000000001" customHeight="1" x14ac:dyDescent="0.25">
      <c r="A38" s="154" t="s">
        <v>193</v>
      </c>
      <c r="B38" s="156" t="s">
        <v>182</v>
      </c>
      <c r="C38" s="96">
        <v>12</v>
      </c>
      <c r="D38" s="97">
        <v>12</v>
      </c>
      <c r="E38" s="98"/>
      <c r="F38" s="99">
        <f t="shared" si="47"/>
        <v>12</v>
      </c>
      <c r="G38" s="97">
        <v>12</v>
      </c>
      <c r="H38" s="100">
        <f t="shared" si="1"/>
        <v>0</v>
      </c>
      <c r="I38" s="98"/>
      <c r="J38" s="99">
        <f t="shared" si="2"/>
        <v>12</v>
      </c>
      <c r="K38" s="97">
        <v>12</v>
      </c>
      <c r="L38" s="100">
        <f t="shared" si="3"/>
        <v>0</v>
      </c>
      <c r="M38" s="98">
        <v>0</v>
      </c>
      <c r="N38" s="99">
        <f t="shared" si="4"/>
        <v>12</v>
      </c>
      <c r="O38" s="97">
        <v>5</v>
      </c>
      <c r="P38" s="100">
        <v>0</v>
      </c>
      <c r="Q38" s="98">
        <v>1</v>
      </c>
      <c r="R38" s="99">
        <f t="shared" si="14"/>
        <v>17</v>
      </c>
      <c r="S38" s="97">
        <v>17</v>
      </c>
      <c r="T38" s="100">
        <f t="shared" si="15"/>
        <v>0</v>
      </c>
      <c r="U38" s="98"/>
      <c r="V38" s="99">
        <f t="shared" si="16"/>
        <v>17</v>
      </c>
      <c r="W38" s="97">
        <v>17</v>
      </c>
      <c r="X38" s="100">
        <f t="shared" ref="X38:X65" si="48">V38-W38</f>
        <v>0</v>
      </c>
      <c r="Y38" s="98">
        <v>0</v>
      </c>
      <c r="Z38" s="99">
        <f t="shared" si="17"/>
        <v>17</v>
      </c>
      <c r="AA38" s="97">
        <v>17</v>
      </c>
      <c r="AB38" s="100">
        <f t="shared" si="18"/>
        <v>0</v>
      </c>
      <c r="AC38" s="98">
        <v>0</v>
      </c>
      <c r="AD38" s="99">
        <f t="shared" si="19"/>
        <v>17</v>
      </c>
      <c r="AE38" s="97">
        <v>14</v>
      </c>
      <c r="AF38" s="100">
        <f t="shared" si="20"/>
        <v>3</v>
      </c>
      <c r="AG38" s="98"/>
      <c r="AH38" s="99">
        <f t="shared" si="21"/>
        <v>14</v>
      </c>
      <c r="AI38" s="97">
        <v>5</v>
      </c>
      <c r="AJ38" s="100">
        <f t="shared" si="22"/>
        <v>9</v>
      </c>
      <c r="AK38" s="98"/>
      <c r="AL38" s="99">
        <f t="shared" si="23"/>
        <v>5</v>
      </c>
      <c r="AM38" s="97">
        <v>3</v>
      </c>
      <c r="AN38" s="100">
        <f t="shared" si="24"/>
        <v>2</v>
      </c>
      <c r="AO38" s="98"/>
      <c r="AP38" s="99">
        <f t="shared" si="25"/>
        <v>3</v>
      </c>
      <c r="AQ38" s="97">
        <v>3</v>
      </c>
      <c r="AR38" s="100">
        <f t="shared" si="26"/>
        <v>0</v>
      </c>
      <c r="AS38" s="98"/>
      <c r="AT38" s="99">
        <f t="shared" si="27"/>
        <v>3</v>
      </c>
      <c r="AU38" s="97">
        <v>2</v>
      </c>
      <c r="AV38" s="100">
        <f t="shared" si="28"/>
        <v>1</v>
      </c>
      <c r="AW38" s="98"/>
      <c r="AX38" s="99">
        <f t="shared" si="29"/>
        <v>2</v>
      </c>
      <c r="AY38" s="97">
        <v>2</v>
      </c>
      <c r="AZ38" s="100">
        <f t="shared" si="30"/>
        <v>0</v>
      </c>
      <c r="BA38" s="98">
        <v>0.5</v>
      </c>
      <c r="BB38" s="99">
        <f t="shared" si="31"/>
        <v>8</v>
      </c>
      <c r="BC38" s="97">
        <v>6</v>
      </c>
      <c r="BD38" s="100">
        <f t="shared" si="32"/>
        <v>2</v>
      </c>
      <c r="BE38" s="98"/>
      <c r="BF38" s="99">
        <f t="shared" si="33"/>
        <v>6</v>
      </c>
      <c r="BG38" s="97">
        <v>6</v>
      </c>
      <c r="BH38" s="100">
        <f t="shared" si="34"/>
        <v>0</v>
      </c>
      <c r="BI38" s="98"/>
      <c r="BJ38" s="99">
        <f t="shared" si="35"/>
        <v>6</v>
      </c>
      <c r="BK38" s="97">
        <v>6</v>
      </c>
      <c r="BL38" s="100">
        <f t="shared" si="5"/>
        <v>0</v>
      </c>
      <c r="BM38" s="98"/>
      <c r="BN38" s="99">
        <f t="shared" si="36"/>
        <v>6</v>
      </c>
      <c r="BO38" s="97">
        <v>6</v>
      </c>
      <c r="BP38" s="100">
        <f t="shared" si="37"/>
        <v>0</v>
      </c>
      <c r="BQ38" s="98"/>
      <c r="BR38" s="99">
        <f t="shared" si="38"/>
        <v>6</v>
      </c>
      <c r="BS38" s="97">
        <v>0</v>
      </c>
      <c r="BT38" s="100">
        <f t="shared" si="6"/>
        <v>6</v>
      </c>
      <c r="BU38" s="98">
        <v>1</v>
      </c>
      <c r="BV38" s="99">
        <f t="shared" si="39"/>
        <v>12</v>
      </c>
      <c r="BW38" s="97"/>
      <c r="BX38" s="100">
        <f t="shared" si="7"/>
        <v>12</v>
      </c>
      <c r="BY38" s="98"/>
      <c r="BZ38" s="99">
        <f t="shared" si="40"/>
        <v>0</v>
      </c>
      <c r="CA38" s="97"/>
      <c r="CB38" s="100">
        <f t="shared" si="8"/>
        <v>0</v>
      </c>
      <c r="CC38" s="98"/>
      <c r="CD38" s="99">
        <f t="shared" si="41"/>
        <v>0</v>
      </c>
      <c r="CE38" s="97"/>
      <c r="CF38" s="100">
        <f t="shared" si="9"/>
        <v>0</v>
      </c>
      <c r="CG38" s="98"/>
      <c r="CH38" s="99">
        <f t="shared" si="42"/>
        <v>0</v>
      </c>
      <c r="CI38" s="97"/>
      <c r="CJ38" s="100">
        <f t="shared" si="10"/>
        <v>0</v>
      </c>
      <c r="CK38" s="98"/>
      <c r="CL38" s="99">
        <f t="shared" si="43"/>
        <v>0</v>
      </c>
      <c r="CM38" s="97"/>
      <c r="CN38" s="100">
        <f t="shared" si="11"/>
        <v>0</v>
      </c>
      <c r="CO38" s="98"/>
      <c r="CP38" s="99">
        <f t="shared" si="44"/>
        <v>0</v>
      </c>
      <c r="CQ38" s="97"/>
      <c r="CR38" s="100">
        <f t="shared" si="12"/>
        <v>0</v>
      </c>
      <c r="CS38" s="98"/>
      <c r="CT38" s="99">
        <f t="shared" si="45"/>
        <v>0</v>
      </c>
      <c r="CU38" s="97"/>
      <c r="CV38" s="100">
        <f t="shared" si="13"/>
        <v>0</v>
      </c>
      <c r="CW38" s="98"/>
      <c r="CX38" s="99">
        <f t="shared" si="46"/>
        <v>0</v>
      </c>
    </row>
    <row r="39" spans="1:102" ht="20.100000000000001" customHeight="1" x14ac:dyDescent="0.25">
      <c r="A39" s="154" t="s">
        <v>215</v>
      </c>
      <c r="B39" s="156" t="s">
        <v>182</v>
      </c>
      <c r="C39" s="96">
        <v>6</v>
      </c>
      <c r="D39" s="97">
        <v>7</v>
      </c>
      <c r="E39" s="98"/>
      <c r="F39" s="99">
        <f t="shared" si="47"/>
        <v>7</v>
      </c>
      <c r="G39" s="97">
        <v>5</v>
      </c>
      <c r="H39" s="100">
        <f t="shared" si="1"/>
        <v>2</v>
      </c>
      <c r="I39" s="98"/>
      <c r="J39" s="99">
        <f t="shared" si="2"/>
        <v>5</v>
      </c>
      <c r="K39" s="97">
        <v>3</v>
      </c>
      <c r="L39" s="100">
        <f t="shared" si="3"/>
        <v>2</v>
      </c>
      <c r="M39" s="101">
        <v>1</v>
      </c>
      <c r="N39" s="99">
        <f t="shared" si="4"/>
        <v>9</v>
      </c>
      <c r="O39" s="97">
        <v>6</v>
      </c>
      <c r="P39" s="100">
        <v>2</v>
      </c>
      <c r="Q39" s="98"/>
      <c r="R39" s="99">
        <f t="shared" si="14"/>
        <v>6</v>
      </c>
      <c r="S39" s="97">
        <v>3</v>
      </c>
      <c r="T39" s="100">
        <f t="shared" si="15"/>
        <v>3</v>
      </c>
      <c r="U39" s="98">
        <v>1</v>
      </c>
      <c r="V39" s="99">
        <f t="shared" si="16"/>
        <v>9</v>
      </c>
      <c r="W39" s="97">
        <v>1</v>
      </c>
      <c r="X39" s="100">
        <f t="shared" si="48"/>
        <v>8</v>
      </c>
      <c r="Y39" s="98">
        <v>2</v>
      </c>
      <c r="Z39" s="99">
        <f t="shared" si="17"/>
        <v>13</v>
      </c>
      <c r="AA39" s="97">
        <v>11</v>
      </c>
      <c r="AB39" s="100">
        <f t="shared" si="18"/>
        <v>2</v>
      </c>
      <c r="AC39" s="98">
        <v>0</v>
      </c>
      <c r="AD39" s="99">
        <f t="shared" si="19"/>
        <v>11</v>
      </c>
      <c r="AE39" s="97">
        <v>9</v>
      </c>
      <c r="AF39" s="100">
        <f t="shared" si="20"/>
        <v>2</v>
      </c>
      <c r="AG39" s="98"/>
      <c r="AH39" s="99">
        <f t="shared" si="21"/>
        <v>9</v>
      </c>
      <c r="AI39" s="97">
        <v>8</v>
      </c>
      <c r="AJ39" s="100">
        <f t="shared" si="22"/>
        <v>1</v>
      </c>
      <c r="AK39" s="98"/>
      <c r="AL39" s="99">
        <f t="shared" si="23"/>
        <v>8</v>
      </c>
      <c r="AM39" s="97">
        <v>5</v>
      </c>
      <c r="AN39" s="100">
        <f t="shared" si="24"/>
        <v>3</v>
      </c>
      <c r="AO39" s="98">
        <v>1</v>
      </c>
      <c r="AP39" s="99">
        <f t="shared" si="25"/>
        <v>11</v>
      </c>
      <c r="AQ39" s="97">
        <v>9</v>
      </c>
      <c r="AR39" s="100">
        <f t="shared" si="26"/>
        <v>2</v>
      </c>
      <c r="AS39" s="98"/>
      <c r="AT39" s="99">
        <f t="shared" si="27"/>
        <v>9</v>
      </c>
      <c r="AU39" s="97">
        <v>6</v>
      </c>
      <c r="AV39" s="100">
        <f t="shared" si="28"/>
        <v>3</v>
      </c>
      <c r="AW39" s="98"/>
      <c r="AX39" s="99">
        <f t="shared" si="29"/>
        <v>6</v>
      </c>
      <c r="AY39" s="97">
        <v>3</v>
      </c>
      <c r="AZ39" s="100">
        <f t="shared" si="30"/>
        <v>3</v>
      </c>
      <c r="BA39" s="98">
        <v>1</v>
      </c>
      <c r="BB39" s="99">
        <f t="shared" si="31"/>
        <v>9</v>
      </c>
      <c r="BC39" s="97">
        <v>5</v>
      </c>
      <c r="BD39" s="100">
        <f t="shared" si="32"/>
        <v>4</v>
      </c>
      <c r="BE39" s="98">
        <v>1</v>
      </c>
      <c r="BF39" s="99">
        <f t="shared" si="33"/>
        <v>11</v>
      </c>
      <c r="BG39" s="97">
        <v>8</v>
      </c>
      <c r="BH39" s="100">
        <f t="shared" si="34"/>
        <v>3</v>
      </c>
      <c r="BI39" s="98"/>
      <c r="BJ39" s="99">
        <f t="shared" si="35"/>
        <v>8</v>
      </c>
      <c r="BK39" s="97">
        <v>2</v>
      </c>
      <c r="BL39" s="100">
        <f t="shared" si="5"/>
        <v>6</v>
      </c>
      <c r="BM39" s="98">
        <v>1</v>
      </c>
      <c r="BN39" s="99">
        <f t="shared" si="36"/>
        <v>8</v>
      </c>
      <c r="BO39" s="97">
        <v>3</v>
      </c>
      <c r="BP39" s="100">
        <f t="shared" si="37"/>
        <v>5</v>
      </c>
      <c r="BQ39" s="98"/>
      <c r="BR39" s="99">
        <f t="shared" si="38"/>
        <v>3</v>
      </c>
      <c r="BS39" s="97">
        <v>0</v>
      </c>
      <c r="BT39" s="100">
        <f t="shared" si="6"/>
        <v>3</v>
      </c>
      <c r="BU39" s="98">
        <v>1</v>
      </c>
      <c r="BV39" s="99">
        <f t="shared" si="39"/>
        <v>6</v>
      </c>
      <c r="BW39" s="97"/>
      <c r="BX39" s="100">
        <f t="shared" si="7"/>
        <v>6</v>
      </c>
      <c r="BY39" s="98"/>
      <c r="BZ39" s="99">
        <f t="shared" si="40"/>
        <v>0</v>
      </c>
      <c r="CA39" s="97"/>
      <c r="CB39" s="100">
        <f t="shared" si="8"/>
        <v>0</v>
      </c>
      <c r="CC39" s="98"/>
      <c r="CD39" s="99">
        <f t="shared" si="41"/>
        <v>0</v>
      </c>
      <c r="CE39" s="97"/>
      <c r="CF39" s="100">
        <f t="shared" si="9"/>
        <v>0</v>
      </c>
      <c r="CG39" s="98"/>
      <c r="CH39" s="99">
        <f t="shared" si="42"/>
        <v>0</v>
      </c>
      <c r="CI39" s="97"/>
      <c r="CJ39" s="100">
        <f t="shared" si="10"/>
        <v>0</v>
      </c>
      <c r="CK39" s="98"/>
      <c r="CL39" s="99">
        <f t="shared" si="43"/>
        <v>0</v>
      </c>
      <c r="CM39" s="97"/>
      <c r="CN39" s="100">
        <f t="shared" si="11"/>
        <v>0</v>
      </c>
      <c r="CO39" s="98"/>
      <c r="CP39" s="99">
        <f t="shared" si="44"/>
        <v>0</v>
      </c>
      <c r="CQ39" s="97"/>
      <c r="CR39" s="100">
        <f t="shared" si="12"/>
        <v>0</v>
      </c>
      <c r="CS39" s="98"/>
      <c r="CT39" s="99">
        <f t="shared" si="45"/>
        <v>0</v>
      </c>
      <c r="CU39" s="97"/>
      <c r="CV39" s="100">
        <f t="shared" si="13"/>
        <v>0</v>
      </c>
      <c r="CW39" s="98"/>
      <c r="CX39" s="99">
        <f t="shared" si="46"/>
        <v>0</v>
      </c>
    </row>
    <row r="40" spans="1:102" ht="20.100000000000001" customHeight="1" x14ac:dyDescent="0.25">
      <c r="A40" s="154" t="s">
        <v>230</v>
      </c>
      <c r="B40" s="156" t="s">
        <v>182</v>
      </c>
      <c r="C40" s="96">
        <v>6</v>
      </c>
      <c r="D40" s="108"/>
      <c r="E40" s="109"/>
      <c r="F40" s="99">
        <f t="shared" si="47"/>
        <v>0</v>
      </c>
      <c r="G40" s="108"/>
      <c r="H40" s="100">
        <f t="shared" si="1"/>
        <v>0</v>
      </c>
      <c r="I40" s="109"/>
      <c r="J40" s="99">
        <f t="shared" si="2"/>
        <v>0</v>
      </c>
      <c r="K40" s="108">
        <v>0</v>
      </c>
      <c r="L40" s="100">
        <f t="shared" si="3"/>
        <v>0</v>
      </c>
      <c r="M40" s="109">
        <v>0</v>
      </c>
      <c r="N40" s="99">
        <f t="shared" si="4"/>
        <v>0</v>
      </c>
      <c r="O40" s="108">
        <v>7</v>
      </c>
      <c r="P40" s="100">
        <v>1</v>
      </c>
      <c r="Q40" s="109"/>
      <c r="R40" s="99">
        <f t="shared" si="14"/>
        <v>7</v>
      </c>
      <c r="S40" s="108">
        <v>5</v>
      </c>
      <c r="T40" s="100">
        <f t="shared" si="15"/>
        <v>2</v>
      </c>
      <c r="U40" s="109"/>
      <c r="V40" s="99">
        <f t="shared" si="16"/>
        <v>5</v>
      </c>
      <c r="W40" s="108">
        <v>4</v>
      </c>
      <c r="X40" s="100">
        <f t="shared" si="48"/>
        <v>1</v>
      </c>
      <c r="Y40" s="109">
        <v>0</v>
      </c>
      <c r="Z40" s="99">
        <f t="shared" si="17"/>
        <v>4</v>
      </c>
      <c r="AA40" s="108">
        <v>3</v>
      </c>
      <c r="AB40" s="100">
        <f t="shared" si="18"/>
        <v>1</v>
      </c>
      <c r="AC40" s="109">
        <v>0</v>
      </c>
      <c r="AD40" s="99">
        <f t="shared" si="19"/>
        <v>3</v>
      </c>
      <c r="AE40" s="108">
        <v>2</v>
      </c>
      <c r="AF40" s="100">
        <f t="shared" si="20"/>
        <v>1</v>
      </c>
      <c r="AG40" s="193">
        <v>1</v>
      </c>
      <c r="AH40" s="99">
        <f t="shared" si="21"/>
        <v>8</v>
      </c>
      <c r="AI40" s="108">
        <v>6</v>
      </c>
      <c r="AJ40" s="100">
        <f t="shared" si="22"/>
        <v>2</v>
      </c>
      <c r="AK40" s="109"/>
      <c r="AL40" s="99">
        <f t="shared" si="23"/>
        <v>6</v>
      </c>
      <c r="AM40" s="108">
        <v>5</v>
      </c>
      <c r="AN40" s="100">
        <f t="shared" si="24"/>
        <v>1</v>
      </c>
      <c r="AO40" s="109"/>
      <c r="AP40" s="99">
        <f t="shared" si="25"/>
        <v>5</v>
      </c>
      <c r="AQ40" s="108">
        <v>3</v>
      </c>
      <c r="AR40" s="100">
        <f t="shared" si="26"/>
        <v>2</v>
      </c>
      <c r="AS40" s="109">
        <v>1</v>
      </c>
      <c r="AT40" s="99">
        <f t="shared" si="27"/>
        <v>9</v>
      </c>
      <c r="AU40" s="108">
        <v>9</v>
      </c>
      <c r="AV40" s="100">
        <f t="shared" si="28"/>
        <v>0</v>
      </c>
      <c r="AW40" s="109"/>
      <c r="AX40" s="99">
        <f t="shared" si="29"/>
        <v>9</v>
      </c>
      <c r="AY40" s="108">
        <v>6</v>
      </c>
      <c r="AZ40" s="100">
        <f t="shared" si="30"/>
        <v>3</v>
      </c>
      <c r="BA40" s="109"/>
      <c r="BB40" s="99">
        <f t="shared" si="31"/>
        <v>6</v>
      </c>
      <c r="BC40" s="108">
        <v>3</v>
      </c>
      <c r="BD40" s="100">
        <f t="shared" si="32"/>
        <v>3</v>
      </c>
      <c r="BE40" s="109">
        <v>1</v>
      </c>
      <c r="BF40" s="99">
        <f t="shared" si="33"/>
        <v>9</v>
      </c>
      <c r="BG40" s="108">
        <v>8</v>
      </c>
      <c r="BH40" s="100">
        <f t="shared" si="34"/>
        <v>1</v>
      </c>
      <c r="BI40" s="109"/>
      <c r="BJ40" s="99">
        <f t="shared" si="35"/>
        <v>8</v>
      </c>
      <c r="BK40" s="108">
        <v>7</v>
      </c>
      <c r="BL40" s="100">
        <f t="shared" si="5"/>
        <v>1</v>
      </c>
      <c r="BM40" s="109"/>
      <c r="BN40" s="99">
        <f t="shared" si="36"/>
        <v>7</v>
      </c>
      <c r="BO40" s="108">
        <v>6</v>
      </c>
      <c r="BP40" s="100">
        <f t="shared" si="37"/>
        <v>1</v>
      </c>
      <c r="BQ40" s="109"/>
      <c r="BR40" s="99">
        <f t="shared" si="38"/>
        <v>6</v>
      </c>
      <c r="BS40" s="108">
        <v>5</v>
      </c>
      <c r="BT40" s="100">
        <f t="shared" si="6"/>
        <v>1</v>
      </c>
      <c r="BU40" s="109">
        <v>1</v>
      </c>
      <c r="BV40" s="99">
        <f t="shared" si="39"/>
        <v>11</v>
      </c>
      <c r="BW40" s="108"/>
      <c r="BX40" s="100">
        <f t="shared" si="7"/>
        <v>11</v>
      </c>
      <c r="BY40" s="109"/>
      <c r="BZ40" s="99">
        <f t="shared" si="40"/>
        <v>0</v>
      </c>
      <c r="CA40" s="108"/>
      <c r="CB40" s="100">
        <f t="shared" si="8"/>
        <v>0</v>
      </c>
      <c r="CC40" s="109"/>
      <c r="CD40" s="99">
        <f t="shared" si="41"/>
        <v>0</v>
      </c>
      <c r="CE40" s="108"/>
      <c r="CF40" s="100">
        <f t="shared" si="9"/>
        <v>0</v>
      </c>
      <c r="CG40" s="109"/>
      <c r="CH40" s="99">
        <f t="shared" si="42"/>
        <v>0</v>
      </c>
      <c r="CI40" s="108"/>
      <c r="CJ40" s="100">
        <f t="shared" si="10"/>
        <v>0</v>
      </c>
      <c r="CK40" s="109"/>
      <c r="CL40" s="99">
        <f t="shared" si="43"/>
        <v>0</v>
      </c>
      <c r="CM40" s="108"/>
      <c r="CN40" s="100">
        <f t="shared" si="11"/>
        <v>0</v>
      </c>
      <c r="CO40" s="109"/>
      <c r="CP40" s="99">
        <f t="shared" si="44"/>
        <v>0</v>
      </c>
      <c r="CQ40" s="108"/>
      <c r="CR40" s="100">
        <f t="shared" si="12"/>
        <v>0</v>
      </c>
      <c r="CS40" s="109"/>
      <c r="CT40" s="99">
        <f t="shared" si="45"/>
        <v>0</v>
      </c>
      <c r="CU40" s="108"/>
      <c r="CV40" s="100">
        <f t="shared" si="13"/>
        <v>0</v>
      </c>
      <c r="CW40" s="109"/>
      <c r="CX40" s="99">
        <f t="shared" si="46"/>
        <v>0</v>
      </c>
    </row>
    <row r="41" spans="1:102" ht="20.100000000000001" customHeight="1" thickBot="1" x14ac:dyDescent="0.3">
      <c r="A41" s="198" t="s">
        <v>187</v>
      </c>
      <c r="B41" s="197" t="s">
        <v>182</v>
      </c>
      <c r="C41" s="102">
        <v>6</v>
      </c>
      <c r="D41" s="103">
        <v>5</v>
      </c>
      <c r="E41" s="107"/>
      <c r="F41" s="105">
        <f t="shared" si="47"/>
        <v>5</v>
      </c>
      <c r="G41" s="103">
        <v>4</v>
      </c>
      <c r="H41" s="106">
        <f t="shared" si="1"/>
        <v>1</v>
      </c>
      <c r="I41" s="107"/>
      <c r="J41" s="105">
        <f t="shared" si="2"/>
        <v>4</v>
      </c>
      <c r="K41" s="103">
        <v>4</v>
      </c>
      <c r="L41" s="106">
        <f t="shared" si="3"/>
        <v>0</v>
      </c>
      <c r="M41" s="107">
        <v>0</v>
      </c>
      <c r="N41" s="105">
        <f t="shared" si="4"/>
        <v>4</v>
      </c>
      <c r="O41" s="103">
        <v>12</v>
      </c>
      <c r="P41" s="106">
        <v>1</v>
      </c>
      <c r="Q41" s="107"/>
      <c r="R41" s="105">
        <f t="shared" si="14"/>
        <v>12</v>
      </c>
      <c r="S41" s="103">
        <v>10</v>
      </c>
      <c r="T41" s="106">
        <f t="shared" si="15"/>
        <v>2</v>
      </c>
      <c r="U41" s="107"/>
      <c r="V41" s="105">
        <f t="shared" si="16"/>
        <v>10</v>
      </c>
      <c r="W41" s="103">
        <v>8</v>
      </c>
      <c r="X41" s="100">
        <f t="shared" si="48"/>
        <v>2</v>
      </c>
      <c r="Y41" s="107">
        <v>0</v>
      </c>
      <c r="Z41" s="105">
        <f t="shared" si="17"/>
        <v>8</v>
      </c>
      <c r="AA41" s="103">
        <v>7</v>
      </c>
      <c r="AB41" s="106">
        <f t="shared" si="18"/>
        <v>1</v>
      </c>
      <c r="AC41" s="107">
        <v>0</v>
      </c>
      <c r="AD41" s="105">
        <f t="shared" si="19"/>
        <v>7</v>
      </c>
      <c r="AE41" s="103">
        <v>5</v>
      </c>
      <c r="AF41" s="106">
        <f t="shared" si="20"/>
        <v>2</v>
      </c>
      <c r="AG41" s="107"/>
      <c r="AH41" s="105">
        <f t="shared" si="21"/>
        <v>5</v>
      </c>
      <c r="AI41" s="103">
        <v>4</v>
      </c>
      <c r="AJ41" s="106">
        <f t="shared" si="22"/>
        <v>1</v>
      </c>
      <c r="AK41" s="107"/>
      <c r="AL41" s="105">
        <f t="shared" si="23"/>
        <v>4</v>
      </c>
      <c r="AM41" s="103">
        <v>1</v>
      </c>
      <c r="AN41" s="106">
        <f t="shared" si="24"/>
        <v>3</v>
      </c>
      <c r="AO41" s="107">
        <v>1</v>
      </c>
      <c r="AP41" s="105">
        <f t="shared" si="25"/>
        <v>7</v>
      </c>
      <c r="AQ41" s="103">
        <v>6</v>
      </c>
      <c r="AR41" s="106">
        <f t="shared" si="26"/>
        <v>1</v>
      </c>
      <c r="AS41" s="107"/>
      <c r="AT41" s="105">
        <f t="shared" si="27"/>
        <v>6</v>
      </c>
      <c r="AU41" s="103">
        <v>5</v>
      </c>
      <c r="AV41" s="106">
        <f t="shared" si="28"/>
        <v>1</v>
      </c>
      <c r="AW41" s="107"/>
      <c r="AX41" s="105">
        <f t="shared" si="29"/>
        <v>5</v>
      </c>
      <c r="AY41" s="103">
        <v>1</v>
      </c>
      <c r="AZ41" s="106">
        <f t="shared" si="30"/>
        <v>4</v>
      </c>
      <c r="BA41" s="107">
        <v>1</v>
      </c>
      <c r="BB41" s="105">
        <f t="shared" si="31"/>
        <v>7</v>
      </c>
      <c r="BC41" s="103">
        <v>6</v>
      </c>
      <c r="BD41" s="106">
        <f t="shared" si="32"/>
        <v>1</v>
      </c>
      <c r="BE41" s="107">
        <v>1</v>
      </c>
      <c r="BF41" s="105">
        <f t="shared" si="33"/>
        <v>12</v>
      </c>
      <c r="BG41" s="103">
        <v>10</v>
      </c>
      <c r="BH41" s="106">
        <f t="shared" si="34"/>
        <v>2</v>
      </c>
      <c r="BI41" s="107"/>
      <c r="BJ41" s="105">
        <f t="shared" si="35"/>
        <v>10</v>
      </c>
      <c r="BK41" s="103">
        <v>9</v>
      </c>
      <c r="BL41" s="106">
        <f t="shared" si="5"/>
        <v>1</v>
      </c>
      <c r="BM41" s="107"/>
      <c r="BN41" s="105">
        <f t="shared" si="36"/>
        <v>9</v>
      </c>
      <c r="BO41" s="103">
        <v>7</v>
      </c>
      <c r="BP41" s="106">
        <f t="shared" si="37"/>
        <v>2</v>
      </c>
      <c r="BQ41" s="107"/>
      <c r="BR41" s="105">
        <f t="shared" si="38"/>
        <v>7</v>
      </c>
      <c r="BS41" s="103">
        <v>5</v>
      </c>
      <c r="BT41" s="106">
        <f t="shared" si="6"/>
        <v>2</v>
      </c>
      <c r="BU41" s="107">
        <v>1</v>
      </c>
      <c r="BV41" s="105">
        <f t="shared" si="39"/>
        <v>11</v>
      </c>
      <c r="BW41" s="103"/>
      <c r="BX41" s="106">
        <f t="shared" si="7"/>
        <v>11</v>
      </c>
      <c r="BY41" s="107"/>
      <c r="BZ41" s="105">
        <f t="shared" si="40"/>
        <v>0</v>
      </c>
      <c r="CA41" s="103"/>
      <c r="CB41" s="106">
        <f t="shared" si="8"/>
        <v>0</v>
      </c>
      <c r="CC41" s="107"/>
      <c r="CD41" s="105">
        <f t="shared" si="41"/>
        <v>0</v>
      </c>
      <c r="CE41" s="103"/>
      <c r="CF41" s="106">
        <f t="shared" si="9"/>
        <v>0</v>
      </c>
      <c r="CG41" s="107"/>
      <c r="CH41" s="105">
        <f t="shared" si="42"/>
        <v>0</v>
      </c>
      <c r="CI41" s="103"/>
      <c r="CJ41" s="106">
        <f t="shared" si="10"/>
        <v>0</v>
      </c>
      <c r="CK41" s="107"/>
      <c r="CL41" s="105">
        <f t="shared" si="43"/>
        <v>0</v>
      </c>
      <c r="CM41" s="103"/>
      <c r="CN41" s="106">
        <f t="shared" si="11"/>
        <v>0</v>
      </c>
      <c r="CO41" s="107"/>
      <c r="CP41" s="105">
        <f t="shared" si="44"/>
        <v>0</v>
      </c>
      <c r="CQ41" s="103"/>
      <c r="CR41" s="106">
        <f t="shared" si="12"/>
        <v>0</v>
      </c>
      <c r="CS41" s="107"/>
      <c r="CT41" s="105">
        <f t="shared" si="45"/>
        <v>0</v>
      </c>
      <c r="CU41" s="103"/>
      <c r="CV41" s="106">
        <f t="shared" si="13"/>
        <v>0</v>
      </c>
      <c r="CW41" s="107"/>
      <c r="CX41" s="105">
        <f t="shared" si="46"/>
        <v>0</v>
      </c>
    </row>
    <row r="42" spans="1:102" ht="20.100000000000001" customHeight="1" thickTop="1" x14ac:dyDescent="0.25">
      <c r="A42" s="199" t="s">
        <v>194</v>
      </c>
      <c r="B42" s="196" t="s">
        <v>195</v>
      </c>
      <c r="C42" s="90">
        <v>24</v>
      </c>
      <c r="D42" s="91">
        <v>74</v>
      </c>
      <c r="E42" s="95">
        <v>3</v>
      </c>
      <c r="F42" s="93">
        <f t="shared" si="47"/>
        <v>146</v>
      </c>
      <c r="G42" s="91">
        <v>64</v>
      </c>
      <c r="H42" s="94">
        <f t="shared" si="1"/>
        <v>82</v>
      </c>
      <c r="I42" s="95">
        <v>4</v>
      </c>
      <c r="J42" s="93">
        <f t="shared" si="2"/>
        <v>160</v>
      </c>
      <c r="K42" s="91">
        <v>96</v>
      </c>
      <c r="L42" s="94">
        <f t="shared" si="3"/>
        <v>64</v>
      </c>
      <c r="M42" s="95">
        <v>1</v>
      </c>
      <c r="N42" s="93">
        <f t="shared" si="4"/>
        <v>120</v>
      </c>
      <c r="O42" s="91">
        <f>24*3+2</f>
        <v>74</v>
      </c>
      <c r="P42" s="94">
        <v>70</v>
      </c>
      <c r="Q42" s="92">
        <v>2</v>
      </c>
      <c r="R42" s="93">
        <f t="shared" si="14"/>
        <v>122</v>
      </c>
      <c r="S42" s="91">
        <f>24*3-2</f>
        <v>70</v>
      </c>
      <c r="T42" s="94">
        <f t="shared" si="15"/>
        <v>52</v>
      </c>
      <c r="U42" s="92">
        <v>1</v>
      </c>
      <c r="V42" s="93">
        <f t="shared" si="16"/>
        <v>94</v>
      </c>
      <c r="W42" s="91">
        <v>36</v>
      </c>
      <c r="X42" s="100">
        <f t="shared" si="48"/>
        <v>58</v>
      </c>
      <c r="Y42" s="92">
        <v>3</v>
      </c>
      <c r="Z42" s="93">
        <f t="shared" si="17"/>
        <v>108</v>
      </c>
      <c r="AA42" s="91">
        <v>48</v>
      </c>
      <c r="AB42" s="94">
        <f t="shared" si="18"/>
        <v>60</v>
      </c>
      <c r="AC42" s="92">
        <v>3</v>
      </c>
      <c r="AD42" s="93">
        <f t="shared" si="19"/>
        <v>120</v>
      </c>
      <c r="AE42" s="91">
        <v>70</v>
      </c>
      <c r="AF42" s="94">
        <f t="shared" si="20"/>
        <v>50</v>
      </c>
      <c r="AG42" s="95">
        <v>5</v>
      </c>
      <c r="AH42" s="93">
        <f t="shared" si="21"/>
        <v>190</v>
      </c>
      <c r="AI42" s="91">
        <f>24*5+9</f>
        <v>129</v>
      </c>
      <c r="AJ42" s="94">
        <f t="shared" si="22"/>
        <v>61</v>
      </c>
      <c r="AK42" s="92"/>
      <c r="AL42" s="93">
        <f t="shared" si="23"/>
        <v>129</v>
      </c>
      <c r="AM42" s="91">
        <f>24+15</f>
        <v>39</v>
      </c>
      <c r="AN42" s="94">
        <f t="shared" si="24"/>
        <v>90</v>
      </c>
      <c r="AO42" s="92">
        <v>4</v>
      </c>
      <c r="AP42" s="93">
        <f t="shared" si="25"/>
        <v>135</v>
      </c>
      <c r="AQ42" s="91">
        <f>49-12</f>
        <v>37</v>
      </c>
      <c r="AR42" s="94">
        <f t="shared" si="26"/>
        <v>98</v>
      </c>
      <c r="AS42" s="92">
        <v>4</v>
      </c>
      <c r="AT42" s="93">
        <f t="shared" si="27"/>
        <v>133</v>
      </c>
      <c r="AU42" s="91">
        <v>103</v>
      </c>
      <c r="AV42" s="94">
        <f t="shared" si="28"/>
        <v>30</v>
      </c>
      <c r="AW42" s="92">
        <v>1</v>
      </c>
      <c r="AX42" s="93">
        <f t="shared" si="29"/>
        <v>127</v>
      </c>
      <c r="AY42" s="91">
        <f>24+12</f>
        <v>36</v>
      </c>
      <c r="AZ42" s="94">
        <f t="shared" si="30"/>
        <v>91</v>
      </c>
      <c r="BA42" s="92">
        <v>2</v>
      </c>
      <c r="BB42" s="93">
        <f t="shared" si="31"/>
        <v>84</v>
      </c>
      <c r="BC42" s="91">
        <v>43</v>
      </c>
      <c r="BD42" s="94">
        <f t="shared" si="32"/>
        <v>41</v>
      </c>
      <c r="BE42" s="92">
        <v>2</v>
      </c>
      <c r="BF42" s="93">
        <f t="shared" si="33"/>
        <v>91</v>
      </c>
      <c r="BG42" s="91">
        <f>24+8</f>
        <v>32</v>
      </c>
      <c r="BH42" s="94">
        <f t="shared" si="34"/>
        <v>59</v>
      </c>
      <c r="BI42" s="92">
        <v>4</v>
      </c>
      <c r="BJ42" s="93">
        <f t="shared" si="35"/>
        <v>128</v>
      </c>
      <c r="BK42" s="91">
        <v>44</v>
      </c>
      <c r="BL42" s="94">
        <f t="shared" si="5"/>
        <v>84</v>
      </c>
      <c r="BM42" s="92">
        <v>3</v>
      </c>
      <c r="BN42" s="93">
        <f t="shared" si="36"/>
        <v>116</v>
      </c>
      <c r="BO42" s="91">
        <f>48+11</f>
        <v>59</v>
      </c>
      <c r="BP42" s="94">
        <f t="shared" si="37"/>
        <v>57</v>
      </c>
      <c r="BQ42" s="92">
        <v>4</v>
      </c>
      <c r="BR42" s="93">
        <f t="shared" si="38"/>
        <v>155</v>
      </c>
      <c r="BS42" s="91">
        <v>96</v>
      </c>
      <c r="BT42" s="94">
        <f t="shared" si="6"/>
        <v>59</v>
      </c>
      <c r="BU42" s="92">
        <v>3</v>
      </c>
      <c r="BV42" s="93">
        <f t="shared" si="39"/>
        <v>168</v>
      </c>
      <c r="BW42" s="91"/>
      <c r="BX42" s="94">
        <f t="shared" si="7"/>
        <v>168</v>
      </c>
      <c r="BY42" s="92"/>
      <c r="BZ42" s="93">
        <f t="shared" si="40"/>
        <v>0</v>
      </c>
      <c r="CA42" s="91"/>
      <c r="CB42" s="94">
        <f t="shared" si="8"/>
        <v>0</v>
      </c>
      <c r="CC42" s="92"/>
      <c r="CD42" s="93">
        <f t="shared" si="41"/>
        <v>0</v>
      </c>
      <c r="CE42" s="91"/>
      <c r="CF42" s="94">
        <f t="shared" si="9"/>
        <v>0</v>
      </c>
      <c r="CG42" s="92"/>
      <c r="CH42" s="93">
        <f t="shared" si="42"/>
        <v>0</v>
      </c>
      <c r="CI42" s="91"/>
      <c r="CJ42" s="94">
        <f t="shared" si="10"/>
        <v>0</v>
      </c>
      <c r="CK42" s="92"/>
      <c r="CL42" s="93">
        <f t="shared" si="43"/>
        <v>0</v>
      </c>
      <c r="CM42" s="91"/>
      <c r="CN42" s="94">
        <f t="shared" si="11"/>
        <v>0</v>
      </c>
      <c r="CO42" s="92"/>
      <c r="CP42" s="93">
        <f t="shared" si="44"/>
        <v>0</v>
      </c>
      <c r="CQ42" s="91"/>
      <c r="CR42" s="94">
        <f t="shared" si="12"/>
        <v>0</v>
      </c>
      <c r="CS42" s="92"/>
      <c r="CT42" s="93">
        <f t="shared" si="45"/>
        <v>0</v>
      </c>
      <c r="CU42" s="91"/>
      <c r="CV42" s="94">
        <f t="shared" si="13"/>
        <v>0</v>
      </c>
      <c r="CW42" s="92"/>
      <c r="CX42" s="93">
        <f t="shared" si="46"/>
        <v>0</v>
      </c>
    </row>
    <row r="43" spans="1:102" ht="20.100000000000001" customHeight="1" x14ac:dyDescent="0.25">
      <c r="A43" s="154" t="s">
        <v>196</v>
      </c>
      <c r="B43" s="156" t="s">
        <v>195</v>
      </c>
      <c r="C43" s="96">
        <v>24</v>
      </c>
      <c r="D43" s="97">
        <v>47</v>
      </c>
      <c r="E43" s="101">
        <v>1</v>
      </c>
      <c r="F43" s="99">
        <f t="shared" si="47"/>
        <v>71</v>
      </c>
      <c r="G43" s="97">
        <v>10</v>
      </c>
      <c r="H43" s="100">
        <f t="shared" si="1"/>
        <v>61</v>
      </c>
      <c r="I43" s="101">
        <v>4</v>
      </c>
      <c r="J43" s="99">
        <f t="shared" si="2"/>
        <v>106</v>
      </c>
      <c r="K43" s="97">
        <v>44</v>
      </c>
      <c r="L43" s="100">
        <f t="shared" si="3"/>
        <v>62</v>
      </c>
      <c r="M43" s="101">
        <v>2</v>
      </c>
      <c r="N43" s="99">
        <f t="shared" si="4"/>
        <v>92</v>
      </c>
      <c r="O43" s="97">
        <f>24*2+4</f>
        <v>52</v>
      </c>
      <c r="P43" s="100">
        <v>48</v>
      </c>
      <c r="Q43" s="98">
        <v>1</v>
      </c>
      <c r="R43" s="99">
        <f t="shared" si="14"/>
        <v>76</v>
      </c>
      <c r="S43" s="97">
        <f>24*2-5</f>
        <v>43</v>
      </c>
      <c r="T43" s="100">
        <f t="shared" si="15"/>
        <v>33</v>
      </c>
      <c r="U43" s="98">
        <v>1</v>
      </c>
      <c r="V43" s="99">
        <f t="shared" si="16"/>
        <v>67</v>
      </c>
      <c r="W43" s="97">
        <v>34</v>
      </c>
      <c r="X43" s="100">
        <f t="shared" si="48"/>
        <v>33</v>
      </c>
      <c r="Y43" s="98">
        <v>2</v>
      </c>
      <c r="Z43" s="99">
        <f t="shared" si="17"/>
        <v>82</v>
      </c>
      <c r="AA43" s="97">
        <v>39</v>
      </c>
      <c r="AB43" s="100">
        <f t="shared" si="18"/>
        <v>43</v>
      </c>
      <c r="AC43" s="98">
        <v>1</v>
      </c>
      <c r="AD43" s="99">
        <f t="shared" si="19"/>
        <v>63</v>
      </c>
      <c r="AE43" s="97">
        <v>7</v>
      </c>
      <c r="AF43" s="100">
        <f t="shared" si="20"/>
        <v>56</v>
      </c>
      <c r="AG43" s="101">
        <v>3</v>
      </c>
      <c r="AH43" s="99">
        <f t="shared" si="21"/>
        <v>79</v>
      </c>
      <c r="AI43" s="97">
        <v>46</v>
      </c>
      <c r="AJ43" s="100">
        <f t="shared" si="22"/>
        <v>33</v>
      </c>
      <c r="AK43" s="101">
        <v>2</v>
      </c>
      <c r="AL43" s="99">
        <f t="shared" si="23"/>
        <v>94</v>
      </c>
      <c r="AM43" s="97">
        <f>48+11</f>
        <v>59</v>
      </c>
      <c r="AN43" s="100">
        <f t="shared" si="24"/>
        <v>35</v>
      </c>
      <c r="AO43" s="98">
        <v>1</v>
      </c>
      <c r="AP43" s="99">
        <f t="shared" si="25"/>
        <v>83</v>
      </c>
      <c r="AQ43" s="97">
        <f>35-11</f>
        <v>24</v>
      </c>
      <c r="AR43" s="100">
        <f t="shared" si="26"/>
        <v>59</v>
      </c>
      <c r="AS43" s="98">
        <v>4</v>
      </c>
      <c r="AT43" s="99">
        <f t="shared" si="27"/>
        <v>120</v>
      </c>
      <c r="AU43" s="97">
        <v>80</v>
      </c>
      <c r="AV43" s="100">
        <f t="shared" si="28"/>
        <v>40</v>
      </c>
      <c r="AW43" s="98">
        <v>1</v>
      </c>
      <c r="AX43" s="99">
        <f t="shared" si="29"/>
        <v>104</v>
      </c>
      <c r="AY43" s="97">
        <f>17+24+24</f>
        <v>65</v>
      </c>
      <c r="AZ43" s="100">
        <f t="shared" si="30"/>
        <v>39</v>
      </c>
      <c r="BA43" s="98"/>
      <c r="BB43" s="99">
        <f t="shared" si="31"/>
        <v>65</v>
      </c>
      <c r="BC43" s="97">
        <v>28</v>
      </c>
      <c r="BD43" s="100">
        <f t="shared" si="32"/>
        <v>37</v>
      </c>
      <c r="BE43" s="98">
        <v>2</v>
      </c>
      <c r="BF43" s="99">
        <f t="shared" si="33"/>
        <v>76</v>
      </c>
      <c r="BG43" s="97">
        <v>29</v>
      </c>
      <c r="BH43" s="100">
        <f t="shared" si="34"/>
        <v>47</v>
      </c>
      <c r="BI43" s="98">
        <v>2</v>
      </c>
      <c r="BJ43" s="99">
        <f t="shared" si="35"/>
        <v>77</v>
      </c>
      <c r="BK43" s="97">
        <v>51</v>
      </c>
      <c r="BL43" s="100">
        <f t="shared" si="5"/>
        <v>26</v>
      </c>
      <c r="BM43" s="98">
        <v>1</v>
      </c>
      <c r="BN43" s="99">
        <f t="shared" si="36"/>
        <v>75</v>
      </c>
      <c r="BO43" s="97">
        <f>24+18</f>
        <v>42</v>
      </c>
      <c r="BP43" s="100">
        <f t="shared" si="37"/>
        <v>33</v>
      </c>
      <c r="BQ43" s="98">
        <v>1</v>
      </c>
      <c r="BR43" s="99">
        <f t="shared" si="38"/>
        <v>66</v>
      </c>
      <c r="BS43" s="97">
        <v>35</v>
      </c>
      <c r="BT43" s="100">
        <f t="shared" si="6"/>
        <v>31</v>
      </c>
      <c r="BU43" s="98">
        <v>2</v>
      </c>
      <c r="BV43" s="99">
        <f t="shared" si="39"/>
        <v>83</v>
      </c>
      <c r="BW43" s="97"/>
      <c r="BX43" s="100">
        <f t="shared" si="7"/>
        <v>83</v>
      </c>
      <c r="BY43" s="98"/>
      <c r="BZ43" s="99">
        <f t="shared" si="40"/>
        <v>0</v>
      </c>
      <c r="CA43" s="97"/>
      <c r="CB43" s="100">
        <f t="shared" si="8"/>
        <v>0</v>
      </c>
      <c r="CC43" s="98"/>
      <c r="CD43" s="99">
        <f t="shared" si="41"/>
        <v>0</v>
      </c>
      <c r="CE43" s="97"/>
      <c r="CF43" s="100">
        <f t="shared" si="9"/>
        <v>0</v>
      </c>
      <c r="CG43" s="98"/>
      <c r="CH43" s="99">
        <f t="shared" si="42"/>
        <v>0</v>
      </c>
      <c r="CI43" s="97"/>
      <c r="CJ43" s="100">
        <f t="shared" si="10"/>
        <v>0</v>
      </c>
      <c r="CK43" s="98"/>
      <c r="CL43" s="99">
        <f t="shared" si="43"/>
        <v>0</v>
      </c>
      <c r="CM43" s="97"/>
      <c r="CN43" s="100">
        <f t="shared" si="11"/>
        <v>0</v>
      </c>
      <c r="CO43" s="98"/>
      <c r="CP43" s="99">
        <f t="shared" si="44"/>
        <v>0</v>
      </c>
      <c r="CQ43" s="97"/>
      <c r="CR43" s="100">
        <f t="shared" si="12"/>
        <v>0</v>
      </c>
      <c r="CS43" s="98"/>
      <c r="CT43" s="99">
        <f t="shared" si="45"/>
        <v>0</v>
      </c>
      <c r="CU43" s="97"/>
      <c r="CV43" s="100">
        <f t="shared" si="13"/>
        <v>0</v>
      </c>
      <c r="CW43" s="98"/>
      <c r="CX43" s="99">
        <f t="shared" si="46"/>
        <v>0</v>
      </c>
    </row>
    <row r="44" spans="1:102" ht="20.100000000000001" hidden="1" customHeight="1" x14ac:dyDescent="0.25">
      <c r="A44" s="154" t="s">
        <v>197</v>
      </c>
      <c r="B44" s="156" t="s">
        <v>195</v>
      </c>
      <c r="C44" s="96">
        <v>39</v>
      </c>
      <c r="D44" s="97">
        <v>10</v>
      </c>
      <c r="E44" s="101">
        <v>1</v>
      </c>
      <c r="F44" s="99">
        <f t="shared" si="47"/>
        <v>49</v>
      </c>
      <c r="G44" s="97">
        <v>32</v>
      </c>
      <c r="H44" s="100">
        <f t="shared" si="1"/>
        <v>17</v>
      </c>
      <c r="I44" s="98"/>
      <c r="J44" s="99">
        <f t="shared" si="2"/>
        <v>32</v>
      </c>
      <c r="K44" s="97">
        <v>11</v>
      </c>
      <c r="L44" s="100">
        <f t="shared" si="3"/>
        <v>21</v>
      </c>
      <c r="M44" s="101">
        <v>1</v>
      </c>
      <c r="N44" s="99">
        <f t="shared" si="4"/>
        <v>50</v>
      </c>
      <c r="O44" s="97">
        <f>24*2+3</f>
        <v>51</v>
      </c>
      <c r="P44" s="100">
        <v>46</v>
      </c>
      <c r="Q44" s="98">
        <v>2</v>
      </c>
      <c r="R44" s="99">
        <f t="shared" si="14"/>
        <v>129</v>
      </c>
      <c r="S44" s="97">
        <f>39*2+22</f>
        <v>100</v>
      </c>
      <c r="T44" s="100">
        <f t="shared" si="15"/>
        <v>29</v>
      </c>
      <c r="U44" s="98">
        <v>1</v>
      </c>
      <c r="V44" s="99">
        <f t="shared" si="16"/>
        <v>139</v>
      </c>
      <c r="W44" s="97">
        <f>86+39</f>
        <v>125</v>
      </c>
      <c r="X44" s="100">
        <f t="shared" si="48"/>
        <v>14</v>
      </c>
      <c r="Y44" s="98">
        <v>0</v>
      </c>
      <c r="Z44" s="99">
        <f t="shared" si="17"/>
        <v>125</v>
      </c>
      <c r="AA44" s="97">
        <f>39*2+34</f>
        <v>112</v>
      </c>
      <c r="AB44" s="100">
        <f t="shared" si="18"/>
        <v>13</v>
      </c>
      <c r="AC44" s="98">
        <v>0</v>
      </c>
      <c r="AD44" s="99">
        <f t="shared" si="19"/>
        <v>112</v>
      </c>
      <c r="AE44" s="97">
        <f>39*2+12</f>
        <v>90</v>
      </c>
      <c r="AF44" s="100">
        <f t="shared" si="20"/>
        <v>22</v>
      </c>
      <c r="AG44" s="98"/>
      <c r="AH44" s="99">
        <f t="shared" si="21"/>
        <v>90</v>
      </c>
      <c r="AI44" s="97">
        <f>37+39</f>
        <v>76</v>
      </c>
      <c r="AJ44" s="100">
        <f t="shared" si="22"/>
        <v>14</v>
      </c>
      <c r="AK44" s="98"/>
      <c r="AL44" s="99">
        <f t="shared" si="23"/>
        <v>76</v>
      </c>
      <c r="AM44" s="97">
        <f>39+9</f>
        <v>48</v>
      </c>
      <c r="AN44" s="100">
        <f t="shared" si="24"/>
        <v>28</v>
      </c>
      <c r="AO44" s="98">
        <v>1</v>
      </c>
      <c r="AP44" s="99">
        <f t="shared" si="25"/>
        <v>87</v>
      </c>
      <c r="AQ44" s="97">
        <v>60</v>
      </c>
      <c r="AR44" s="100">
        <f t="shared" si="26"/>
        <v>27</v>
      </c>
      <c r="AS44" s="98"/>
      <c r="AT44" s="99">
        <f t="shared" si="27"/>
        <v>60</v>
      </c>
      <c r="AU44" s="97">
        <v>36</v>
      </c>
      <c r="AV44" s="100">
        <f t="shared" si="28"/>
        <v>24</v>
      </c>
      <c r="AW44" s="98">
        <v>1</v>
      </c>
      <c r="AX44" s="99">
        <f t="shared" si="29"/>
        <v>75</v>
      </c>
      <c r="AY44" s="97">
        <v>0</v>
      </c>
      <c r="AZ44" s="100">
        <f t="shared" si="30"/>
        <v>75</v>
      </c>
      <c r="BA44" s="98">
        <v>2</v>
      </c>
      <c r="BB44" s="99">
        <f t="shared" si="31"/>
        <v>78</v>
      </c>
      <c r="BC44" s="97">
        <v>54</v>
      </c>
      <c r="BD44" s="100">
        <f t="shared" si="32"/>
        <v>24</v>
      </c>
      <c r="BE44" s="98"/>
      <c r="BF44" s="99">
        <f t="shared" si="33"/>
        <v>54</v>
      </c>
      <c r="BG44" s="97">
        <v>38</v>
      </c>
      <c r="BH44" s="100">
        <f t="shared" si="34"/>
        <v>16</v>
      </c>
      <c r="BI44" s="98"/>
      <c r="BJ44" s="99">
        <f t="shared" si="35"/>
        <v>38</v>
      </c>
      <c r="BK44" s="97">
        <v>22</v>
      </c>
      <c r="BL44" s="100">
        <f t="shared" si="5"/>
        <v>16</v>
      </c>
      <c r="BM44" s="98">
        <v>1</v>
      </c>
      <c r="BN44" s="99">
        <f t="shared" si="36"/>
        <v>61</v>
      </c>
      <c r="BO44" s="97">
        <v>36</v>
      </c>
      <c r="BP44" s="100">
        <f t="shared" si="37"/>
        <v>25</v>
      </c>
      <c r="BQ44" s="98">
        <v>1</v>
      </c>
      <c r="BR44" s="99">
        <f t="shared" si="38"/>
        <v>75</v>
      </c>
      <c r="BS44" s="97">
        <v>52</v>
      </c>
      <c r="BT44" s="100">
        <f t="shared" si="6"/>
        <v>23</v>
      </c>
      <c r="BU44" s="98"/>
      <c r="BV44" s="99">
        <f t="shared" si="39"/>
        <v>52</v>
      </c>
      <c r="BW44" s="97"/>
      <c r="BX44" s="100">
        <f t="shared" si="7"/>
        <v>52</v>
      </c>
      <c r="BY44" s="98"/>
      <c r="BZ44" s="99">
        <f t="shared" si="40"/>
        <v>0</v>
      </c>
      <c r="CA44" s="97"/>
      <c r="CB44" s="100">
        <f t="shared" si="8"/>
        <v>0</v>
      </c>
      <c r="CC44" s="98"/>
      <c r="CD44" s="99">
        <f t="shared" si="41"/>
        <v>0</v>
      </c>
      <c r="CE44" s="97"/>
      <c r="CF44" s="100">
        <f t="shared" si="9"/>
        <v>0</v>
      </c>
      <c r="CG44" s="98"/>
      <c r="CH44" s="99">
        <f t="shared" si="42"/>
        <v>0</v>
      </c>
      <c r="CI44" s="97"/>
      <c r="CJ44" s="100">
        <f t="shared" si="10"/>
        <v>0</v>
      </c>
      <c r="CK44" s="98"/>
      <c r="CL44" s="99">
        <f t="shared" si="43"/>
        <v>0</v>
      </c>
      <c r="CM44" s="97"/>
      <c r="CN44" s="100">
        <f t="shared" si="11"/>
        <v>0</v>
      </c>
      <c r="CO44" s="98"/>
      <c r="CP44" s="99">
        <f t="shared" si="44"/>
        <v>0</v>
      </c>
      <c r="CQ44" s="97"/>
      <c r="CR44" s="100">
        <f t="shared" si="12"/>
        <v>0</v>
      </c>
      <c r="CS44" s="98"/>
      <c r="CT44" s="99">
        <f t="shared" si="45"/>
        <v>0</v>
      </c>
      <c r="CU44" s="97"/>
      <c r="CV44" s="100">
        <f t="shared" si="13"/>
        <v>0</v>
      </c>
      <c r="CW44" s="98"/>
      <c r="CX44" s="99">
        <f t="shared" si="46"/>
        <v>0</v>
      </c>
    </row>
    <row r="45" spans="1:102" ht="20.100000000000001" customHeight="1" x14ac:dyDescent="0.25">
      <c r="A45" s="154" t="s">
        <v>275</v>
      </c>
      <c r="B45" s="156" t="s">
        <v>182</v>
      </c>
      <c r="C45" s="96">
        <v>24</v>
      </c>
      <c r="D45" s="97">
        <v>33</v>
      </c>
      <c r="E45" s="101">
        <v>2</v>
      </c>
      <c r="F45" s="99">
        <f t="shared" si="47"/>
        <v>81</v>
      </c>
      <c r="G45" s="97">
        <v>50</v>
      </c>
      <c r="H45" s="100">
        <f t="shared" si="1"/>
        <v>31</v>
      </c>
      <c r="I45" s="98"/>
      <c r="J45" s="99">
        <f t="shared" si="2"/>
        <v>50</v>
      </c>
      <c r="K45" s="97">
        <v>23</v>
      </c>
      <c r="L45" s="100">
        <f t="shared" si="3"/>
        <v>27</v>
      </c>
      <c r="M45" s="101">
        <v>2</v>
      </c>
      <c r="N45" s="99">
        <f t="shared" si="4"/>
        <v>71</v>
      </c>
      <c r="O45" s="97">
        <f>24*2</f>
        <v>48</v>
      </c>
      <c r="P45" s="100">
        <v>48</v>
      </c>
      <c r="Q45" s="98">
        <v>1</v>
      </c>
      <c r="R45" s="99">
        <f t="shared" si="14"/>
        <v>72</v>
      </c>
      <c r="S45" s="97">
        <v>28</v>
      </c>
      <c r="T45" s="100">
        <f t="shared" si="15"/>
        <v>44</v>
      </c>
      <c r="U45" s="98">
        <v>1</v>
      </c>
      <c r="V45" s="99">
        <f t="shared" si="16"/>
        <v>52</v>
      </c>
      <c r="W45" s="97">
        <v>33</v>
      </c>
      <c r="X45" s="100">
        <f t="shared" si="48"/>
        <v>19</v>
      </c>
      <c r="Y45" s="98">
        <v>3</v>
      </c>
      <c r="Z45" s="99">
        <f t="shared" si="17"/>
        <v>105</v>
      </c>
      <c r="AA45" s="97">
        <v>40</v>
      </c>
      <c r="AB45" s="100">
        <f t="shared" si="18"/>
        <v>65</v>
      </c>
      <c r="AC45" s="98">
        <v>5</v>
      </c>
      <c r="AD45" s="99">
        <f t="shared" si="19"/>
        <v>160</v>
      </c>
      <c r="AE45" s="97">
        <f>5*24+9</f>
        <v>129</v>
      </c>
      <c r="AF45" s="100">
        <f t="shared" si="20"/>
        <v>31</v>
      </c>
      <c r="AG45" s="98"/>
      <c r="AH45" s="99">
        <f t="shared" si="21"/>
        <v>129</v>
      </c>
      <c r="AI45" s="97">
        <f>24*4+19</f>
        <v>115</v>
      </c>
      <c r="AJ45" s="100">
        <f t="shared" si="22"/>
        <v>14</v>
      </c>
      <c r="AK45" s="98"/>
      <c r="AL45" s="99">
        <f t="shared" si="23"/>
        <v>115</v>
      </c>
      <c r="AM45" s="97">
        <f>48+11</f>
        <v>59</v>
      </c>
      <c r="AN45" s="100">
        <f t="shared" si="24"/>
        <v>56</v>
      </c>
      <c r="AO45" s="98">
        <v>2</v>
      </c>
      <c r="AP45" s="99">
        <f t="shared" si="25"/>
        <v>107</v>
      </c>
      <c r="AQ45" s="97">
        <v>78</v>
      </c>
      <c r="AR45" s="100">
        <f t="shared" si="26"/>
        <v>29</v>
      </c>
      <c r="AS45" s="98"/>
      <c r="AT45" s="99">
        <f t="shared" si="27"/>
        <v>78</v>
      </c>
      <c r="AU45" s="97">
        <v>53</v>
      </c>
      <c r="AV45" s="100">
        <v>24</v>
      </c>
      <c r="AW45" s="98">
        <v>1</v>
      </c>
      <c r="AX45" s="99">
        <f t="shared" si="29"/>
        <v>77</v>
      </c>
      <c r="AY45" s="97">
        <v>17</v>
      </c>
      <c r="AZ45" s="100">
        <f t="shared" si="30"/>
        <v>60</v>
      </c>
      <c r="BA45" s="98">
        <v>3</v>
      </c>
      <c r="BB45" s="99">
        <f t="shared" si="31"/>
        <v>89</v>
      </c>
      <c r="BC45" s="97">
        <v>39</v>
      </c>
      <c r="BD45" s="100">
        <f t="shared" si="32"/>
        <v>50</v>
      </c>
      <c r="BE45" s="98">
        <v>2</v>
      </c>
      <c r="BF45" s="99">
        <f t="shared" si="33"/>
        <v>87</v>
      </c>
      <c r="BG45" s="97">
        <v>49</v>
      </c>
      <c r="BH45" s="100">
        <f t="shared" si="34"/>
        <v>38</v>
      </c>
      <c r="BI45" s="98">
        <v>1</v>
      </c>
      <c r="BJ45" s="99">
        <f t="shared" si="35"/>
        <v>73</v>
      </c>
      <c r="BK45" s="97">
        <v>41</v>
      </c>
      <c r="BL45" s="100">
        <f t="shared" si="5"/>
        <v>32</v>
      </c>
      <c r="BM45" s="98">
        <v>1</v>
      </c>
      <c r="BN45" s="99">
        <f t="shared" si="36"/>
        <v>65</v>
      </c>
      <c r="BO45" s="97">
        <f>24+9</f>
        <v>33</v>
      </c>
      <c r="BP45" s="100">
        <f t="shared" si="37"/>
        <v>32</v>
      </c>
      <c r="BQ45" s="98">
        <v>3</v>
      </c>
      <c r="BR45" s="99">
        <f t="shared" si="38"/>
        <v>105</v>
      </c>
      <c r="BS45" s="97">
        <v>70</v>
      </c>
      <c r="BT45" s="100">
        <f t="shared" si="6"/>
        <v>35</v>
      </c>
      <c r="BU45" s="98">
        <v>2</v>
      </c>
      <c r="BV45" s="99">
        <f t="shared" si="39"/>
        <v>118</v>
      </c>
      <c r="BW45" s="97"/>
      <c r="BX45" s="100">
        <f t="shared" si="7"/>
        <v>118</v>
      </c>
      <c r="BY45" s="98"/>
      <c r="BZ45" s="99">
        <f t="shared" si="40"/>
        <v>0</v>
      </c>
      <c r="CA45" s="97"/>
      <c r="CB45" s="100">
        <f t="shared" si="8"/>
        <v>0</v>
      </c>
      <c r="CC45" s="98"/>
      <c r="CD45" s="99">
        <f t="shared" si="41"/>
        <v>0</v>
      </c>
      <c r="CE45" s="97"/>
      <c r="CF45" s="100">
        <f t="shared" si="9"/>
        <v>0</v>
      </c>
      <c r="CG45" s="98"/>
      <c r="CH45" s="99">
        <f t="shared" si="42"/>
        <v>0</v>
      </c>
      <c r="CI45" s="97"/>
      <c r="CJ45" s="100">
        <f t="shared" si="10"/>
        <v>0</v>
      </c>
      <c r="CK45" s="98"/>
      <c r="CL45" s="99">
        <f t="shared" si="43"/>
        <v>0</v>
      </c>
      <c r="CM45" s="97"/>
      <c r="CN45" s="100">
        <f t="shared" si="11"/>
        <v>0</v>
      </c>
      <c r="CO45" s="98"/>
      <c r="CP45" s="99">
        <f t="shared" si="44"/>
        <v>0</v>
      </c>
      <c r="CQ45" s="97"/>
      <c r="CR45" s="100">
        <f t="shared" si="12"/>
        <v>0</v>
      </c>
      <c r="CS45" s="98"/>
      <c r="CT45" s="99">
        <f t="shared" si="45"/>
        <v>0</v>
      </c>
      <c r="CU45" s="97"/>
      <c r="CV45" s="100">
        <f t="shared" si="13"/>
        <v>0</v>
      </c>
      <c r="CW45" s="98"/>
      <c r="CX45" s="99">
        <f t="shared" si="46"/>
        <v>0</v>
      </c>
    </row>
    <row r="46" spans="1:102" ht="20.100000000000001" customHeight="1" x14ac:dyDescent="0.25">
      <c r="A46" s="154" t="s">
        <v>218</v>
      </c>
      <c r="B46" s="156" t="s">
        <v>195</v>
      </c>
      <c r="C46" s="96">
        <v>24</v>
      </c>
      <c r="D46" s="97">
        <v>8</v>
      </c>
      <c r="E46" s="101">
        <v>1</v>
      </c>
      <c r="F46" s="99">
        <f t="shared" si="47"/>
        <v>32</v>
      </c>
      <c r="G46" s="97">
        <v>24</v>
      </c>
      <c r="H46" s="100">
        <f t="shared" si="1"/>
        <v>8</v>
      </c>
      <c r="I46" s="98"/>
      <c r="J46" s="99">
        <f t="shared" si="2"/>
        <v>24</v>
      </c>
      <c r="K46" s="97">
        <v>13</v>
      </c>
      <c r="L46" s="100">
        <f t="shared" si="3"/>
        <v>11</v>
      </c>
      <c r="M46" s="101">
        <v>1</v>
      </c>
      <c r="N46" s="99">
        <f t="shared" si="4"/>
        <v>37</v>
      </c>
      <c r="O46" s="97">
        <f>2*24+21</f>
        <v>69</v>
      </c>
      <c r="P46" s="100">
        <v>15</v>
      </c>
      <c r="Q46" s="98"/>
      <c r="R46" s="99">
        <f t="shared" si="14"/>
        <v>69</v>
      </c>
      <c r="S46" s="97">
        <f>48+6</f>
        <v>54</v>
      </c>
      <c r="T46" s="100">
        <f t="shared" si="15"/>
        <v>15</v>
      </c>
      <c r="U46" s="98">
        <v>1</v>
      </c>
      <c r="V46" s="99">
        <f t="shared" si="16"/>
        <v>78</v>
      </c>
      <c r="W46" s="97">
        <v>41</v>
      </c>
      <c r="X46" s="100">
        <f t="shared" si="48"/>
        <v>37</v>
      </c>
      <c r="Y46" s="98">
        <v>1</v>
      </c>
      <c r="Z46" s="99">
        <f t="shared" si="17"/>
        <v>65</v>
      </c>
      <c r="AA46" s="97">
        <v>49</v>
      </c>
      <c r="AB46" s="100">
        <f t="shared" si="18"/>
        <v>16</v>
      </c>
      <c r="AC46" s="98">
        <v>0</v>
      </c>
      <c r="AD46" s="99">
        <f t="shared" si="19"/>
        <v>49</v>
      </c>
      <c r="AE46" s="97">
        <f>24+14</f>
        <v>38</v>
      </c>
      <c r="AF46" s="100">
        <f t="shared" si="20"/>
        <v>11</v>
      </c>
      <c r="AG46" s="98"/>
      <c r="AH46" s="99">
        <f t="shared" si="21"/>
        <v>38</v>
      </c>
      <c r="AI46" s="97">
        <v>24</v>
      </c>
      <c r="AJ46" s="100">
        <f t="shared" si="22"/>
        <v>14</v>
      </c>
      <c r="AK46" s="101">
        <v>1</v>
      </c>
      <c r="AL46" s="99">
        <f t="shared" si="23"/>
        <v>48</v>
      </c>
      <c r="AM46" s="97">
        <v>29</v>
      </c>
      <c r="AN46" s="100">
        <f t="shared" si="24"/>
        <v>19</v>
      </c>
      <c r="AO46" s="98">
        <v>1</v>
      </c>
      <c r="AP46" s="99">
        <f t="shared" si="25"/>
        <v>53</v>
      </c>
      <c r="AQ46" s="97">
        <v>31</v>
      </c>
      <c r="AR46" s="100">
        <f t="shared" si="26"/>
        <v>22</v>
      </c>
      <c r="AS46" s="98"/>
      <c r="AT46" s="99">
        <f t="shared" si="27"/>
        <v>31</v>
      </c>
      <c r="AU46" s="97">
        <v>21</v>
      </c>
      <c r="AV46" s="100">
        <f t="shared" si="28"/>
        <v>10</v>
      </c>
      <c r="AW46" s="98">
        <v>1</v>
      </c>
      <c r="AX46" s="99">
        <f t="shared" si="29"/>
        <v>45</v>
      </c>
      <c r="AY46" s="97">
        <f>24+9</f>
        <v>33</v>
      </c>
      <c r="AZ46" s="100">
        <f t="shared" si="30"/>
        <v>12</v>
      </c>
      <c r="BA46" s="98"/>
      <c r="BB46" s="99">
        <f t="shared" si="31"/>
        <v>33</v>
      </c>
      <c r="BC46" s="97">
        <v>14</v>
      </c>
      <c r="BD46" s="100">
        <f t="shared" si="32"/>
        <v>19</v>
      </c>
      <c r="BE46" s="98">
        <v>1</v>
      </c>
      <c r="BF46" s="99">
        <f t="shared" si="33"/>
        <v>38</v>
      </c>
      <c r="BG46" s="97">
        <v>19</v>
      </c>
      <c r="BH46" s="100">
        <f t="shared" si="34"/>
        <v>19</v>
      </c>
      <c r="BI46" s="98">
        <v>1</v>
      </c>
      <c r="BJ46" s="99">
        <f t="shared" si="35"/>
        <v>43</v>
      </c>
      <c r="BK46" s="97">
        <v>16</v>
      </c>
      <c r="BL46" s="100">
        <f t="shared" si="5"/>
        <v>27</v>
      </c>
      <c r="BM46" s="98">
        <v>1</v>
      </c>
      <c r="BN46" s="99">
        <f t="shared" si="36"/>
        <v>40</v>
      </c>
      <c r="BO46" s="97">
        <v>25</v>
      </c>
      <c r="BP46" s="100">
        <f t="shared" si="37"/>
        <v>15</v>
      </c>
      <c r="BQ46" s="98">
        <v>1</v>
      </c>
      <c r="BR46" s="99">
        <f t="shared" si="38"/>
        <v>49</v>
      </c>
      <c r="BS46" s="97">
        <v>36</v>
      </c>
      <c r="BT46" s="100">
        <f t="shared" si="6"/>
        <v>13</v>
      </c>
      <c r="BU46" s="98">
        <v>1</v>
      </c>
      <c r="BV46" s="99">
        <f t="shared" si="39"/>
        <v>60</v>
      </c>
      <c r="BW46" s="97"/>
      <c r="BX46" s="100">
        <f t="shared" si="7"/>
        <v>60</v>
      </c>
      <c r="BY46" s="98"/>
      <c r="BZ46" s="99">
        <f t="shared" si="40"/>
        <v>0</v>
      </c>
      <c r="CA46" s="97"/>
      <c r="CB46" s="100">
        <f t="shared" si="8"/>
        <v>0</v>
      </c>
      <c r="CC46" s="98"/>
      <c r="CD46" s="99">
        <f t="shared" si="41"/>
        <v>0</v>
      </c>
      <c r="CE46" s="97"/>
      <c r="CF46" s="100">
        <f t="shared" si="9"/>
        <v>0</v>
      </c>
      <c r="CG46" s="98"/>
      <c r="CH46" s="99">
        <f t="shared" si="42"/>
        <v>0</v>
      </c>
      <c r="CI46" s="97"/>
      <c r="CJ46" s="100">
        <f t="shared" si="10"/>
        <v>0</v>
      </c>
      <c r="CK46" s="98"/>
      <c r="CL46" s="99">
        <f t="shared" si="43"/>
        <v>0</v>
      </c>
      <c r="CM46" s="97"/>
      <c r="CN46" s="100">
        <f t="shared" si="11"/>
        <v>0</v>
      </c>
      <c r="CO46" s="98"/>
      <c r="CP46" s="99">
        <f t="shared" si="44"/>
        <v>0</v>
      </c>
      <c r="CQ46" s="97"/>
      <c r="CR46" s="100">
        <f t="shared" si="12"/>
        <v>0</v>
      </c>
      <c r="CS46" s="98"/>
      <c r="CT46" s="99">
        <f t="shared" si="45"/>
        <v>0</v>
      </c>
      <c r="CU46" s="97"/>
      <c r="CV46" s="100">
        <f t="shared" si="13"/>
        <v>0</v>
      </c>
      <c r="CW46" s="98"/>
      <c r="CX46" s="99">
        <f t="shared" si="46"/>
        <v>0</v>
      </c>
    </row>
    <row r="47" spans="1:102" ht="20.100000000000001" customHeight="1" x14ac:dyDescent="0.25">
      <c r="A47" s="154" t="s">
        <v>198</v>
      </c>
      <c r="B47" s="156" t="s">
        <v>195</v>
      </c>
      <c r="C47" s="96">
        <v>24</v>
      </c>
      <c r="D47" s="97">
        <v>13</v>
      </c>
      <c r="E47" s="101">
        <v>1</v>
      </c>
      <c r="F47" s="99">
        <f t="shared" si="47"/>
        <v>37</v>
      </c>
      <c r="G47" s="97">
        <v>26</v>
      </c>
      <c r="H47" s="100">
        <f t="shared" si="1"/>
        <v>11</v>
      </c>
      <c r="I47" s="98"/>
      <c r="J47" s="99">
        <f t="shared" si="2"/>
        <v>26</v>
      </c>
      <c r="K47" s="97">
        <v>14</v>
      </c>
      <c r="L47" s="100">
        <f t="shared" si="3"/>
        <v>12</v>
      </c>
      <c r="M47" s="101">
        <v>1</v>
      </c>
      <c r="N47" s="99">
        <f t="shared" si="4"/>
        <v>38</v>
      </c>
      <c r="O47" s="97">
        <v>13</v>
      </c>
      <c r="P47" s="100">
        <v>8</v>
      </c>
      <c r="Q47" s="98">
        <v>1</v>
      </c>
      <c r="R47" s="99">
        <f t="shared" si="14"/>
        <v>37</v>
      </c>
      <c r="S47" s="97">
        <v>32</v>
      </c>
      <c r="T47" s="100">
        <f t="shared" si="15"/>
        <v>5</v>
      </c>
      <c r="U47" s="98"/>
      <c r="V47" s="99">
        <f t="shared" si="16"/>
        <v>32</v>
      </c>
      <c r="W47" s="97">
        <v>14</v>
      </c>
      <c r="X47" s="100">
        <f t="shared" si="48"/>
        <v>18</v>
      </c>
      <c r="Y47" s="98">
        <v>1</v>
      </c>
      <c r="Z47" s="99">
        <f t="shared" si="17"/>
        <v>38</v>
      </c>
      <c r="AA47" s="97">
        <v>33</v>
      </c>
      <c r="AB47" s="100">
        <f t="shared" si="18"/>
        <v>5</v>
      </c>
      <c r="AC47" s="98">
        <v>0</v>
      </c>
      <c r="AD47" s="99">
        <f t="shared" si="19"/>
        <v>33</v>
      </c>
      <c r="AE47" s="97">
        <v>17</v>
      </c>
      <c r="AF47" s="100">
        <f t="shared" si="20"/>
        <v>16</v>
      </c>
      <c r="AG47" s="101">
        <v>1</v>
      </c>
      <c r="AH47" s="99">
        <f t="shared" si="21"/>
        <v>41</v>
      </c>
      <c r="AI47" s="97">
        <v>30</v>
      </c>
      <c r="AJ47" s="100">
        <f t="shared" si="22"/>
        <v>11</v>
      </c>
      <c r="AK47" s="98"/>
      <c r="AL47" s="99">
        <f t="shared" si="23"/>
        <v>30</v>
      </c>
      <c r="AM47" s="97">
        <v>20</v>
      </c>
      <c r="AN47" s="100">
        <f t="shared" si="24"/>
        <v>10</v>
      </c>
      <c r="AO47" s="98">
        <v>1</v>
      </c>
      <c r="AP47" s="99">
        <f t="shared" si="25"/>
        <v>44</v>
      </c>
      <c r="AQ47" s="97">
        <v>31</v>
      </c>
      <c r="AR47" s="100">
        <f t="shared" si="26"/>
        <v>13</v>
      </c>
      <c r="AS47" s="98"/>
      <c r="AT47" s="99">
        <f t="shared" si="27"/>
        <v>31</v>
      </c>
      <c r="AU47" s="97">
        <v>22</v>
      </c>
      <c r="AV47" s="100">
        <f t="shared" si="28"/>
        <v>9</v>
      </c>
      <c r="AW47" s="98"/>
      <c r="AX47" s="99">
        <f t="shared" si="29"/>
        <v>22</v>
      </c>
      <c r="AY47" s="97">
        <v>10</v>
      </c>
      <c r="AZ47" s="100">
        <f t="shared" si="30"/>
        <v>12</v>
      </c>
      <c r="BA47" s="98">
        <v>1</v>
      </c>
      <c r="BB47" s="99">
        <f t="shared" si="31"/>
        <v>34</v>
      </c>
      <c r="BC47" s="97">
        <v>14</v>
      </c>
      <c r="BD47" s="100">
        <f t="shared" si="32"/>
        <v>20</v>
      </c>
      <c r="BE47" s="98">
        <v>1</v>
      </c>
      <c r="BF47" s="99">
        <f t="shared" si="33"/>
        <v>38</v>
      </c>
      <c r="BG47" s="97">
        <v>31</v>
      </c>
      <c r="BH47" s="100">
        <f t="shared" si="34"/>
        <v>7</v>
      </c>
      <c r="BI47" s="98"/>
      <c r="BJ47" s="99">
        <f t="shared" si="35"/>
        <v>31</v>
      </c>
      <c r="BK47" s="97">
        <v>12</v>
      </c>
      <c r="BL47" s="100">
        <f t="shared" si="5"/>
        <v>19</v>
      </c>
      <c r="BM47" s="98">
        <v>1</v>
      </c>
      <c r="BN47" s="99">
        <f t="shared" si="36"/>
        <v>36</v>
      </c>
      <c r="BO47" s="97">
        <v>21</v>
      </c>
      <c r="BP47" s="100">
        <f t="shared" si="37"/>
        <v>15</v>
      </c>
      <c r="BQ47" s="98">
        <v>1</v>
      </c>
      <c r="BR47" s="99">
        <f t="shared" si="38"/>
        <v>45</v>
      </c>
      <c r="BS47" s="97">
        <v>15</v>
      </c>
      <c r="BT47" s="100">
        <f t="shared" si="6"/>
        <v>30</v>
      </c>
      <c r="BU47" s="98">
        <v>1</v>
      </c>
      <c r="BV47" s="99">
        <f t="shared" si="39"/>
        <v>39</v>
      </c>
      <c r="BW47" s="97"/>
      <c r="BX47" s="100">
        <f t="shared" si="7"/>
        <v>39</v>
      </c>
      <c r="BY47" s="98"/>
      <c r="BZ47" s="99">
        <f t="shared" si="40"/>
        <v>0</v>
      </c>
      <c r="CA47" s="97"/>
      <c r="CB47" s="100">
        <f t="shared" si="8"/>
        <v>0</v>
      </c>
      <c r="CC47" s="98"/>
      <c r="CD47" s="99">
        <f t="shared" si="41"/>
        <v>0</v>
      </c>
      <c r="CE47" s="97"/>
      <c r="CF47" s="100">
        <f t="shared" si="9"/>
        <v>0</v>
      </c>
      <c r="CG47" s="98"/>
      <c r="CH47" s="99">
        <f t="shared" si="42"/>
        <v>0</v>
      </c>
      <c r="CI47" s="97"/>
      <c r="CJ47" s="100">
        <f t="shared" si="10"/>
        <v>0</v>
      </c>
      <c r="CK47" s="98"/>
      <c r="CL47" s="99">
        <f t="shared" si="43"/>
        <v>0</v>
      </c>
      <c r="CM47" s="97"/>
      <c r="CN47" s="100">
        <f t="shared" si="11"/>
        <v>0</v>
      </c>
      <c r="CO47" s="98"/>
      <c r="CP47" s="99">
        <f t="shared" si="44"/>
        <v>0</v>
      </c>
      <c r="CQ47" s="97"/>
      <c r="CR47" s="100">
        <f t="shared" si="12"/>
        <v>0</v>
      </c>
      <c r="CS47" s="98"/>
      <c r="CT47" s="99">
        <f t="shared" si="45"/>
        <v>0</v>
      </c>
      <c r="CU47" s="97"/>
      <c r="CV47" s="100">
        <f t="shared" si="13"/>
        <v>0</v>
      </c>
      <c r="CW47" s="98"/>
      <c r="CX47" s="99">
        <f t="shared" si="46"/>
        <v>0</v>
      </c>
    </row>
    <row r="48" spans="1:102" ht="20.100000000000001" hidden="1" customHeight="1" x14ac:dyDescent="0.25">
      <c r="A48" s="154" t="s">
        <v>199</v>
      </c>
      <c r="B48" s="156" t="s">
        <v>195</v>
      </c>
      <c r="C48" s="96">
        <v>24</v>
      </c>
      <c r="D48" s="97">
        <v>6</v>
      </c>
      <c r="E48" s="98"/>
      <c r="F48" s="99">
        <f t="shared" si="47"/>
        <v>6</v>
      </c>
      <c r="G48" s="97">
        <v>3</v>
      </c>
      <c r="H48" s="100">
        <f t="shared" si="1"/>
        <v>3</v>
      </c>
      <c r="I48" s="101">
        <v>1</v>
      </c>
      <c r="J48" s="99">
        <f t="shared" si="2"/>
        <v>27</v>
      </c>
      <c r="K48" s="97">
        <v>24</v>
      </c>
      <c r="L48" s="100">
        <f t="shared" si="3"/>
        <v>3</v>
      </c>
      <c r="M48" s="98">
        <v>0</v>
      </c>
      <c r="N48" s="99">
        <f t="shared" si="4"/>
        <v>24</v>
      </c>
      <c r="O48" s="97">
        <v>15</v>
      </c>
      <c r="P48" s="100">
        <v>3</v>
      </c>
      <c r="Q48" s="98">
        <v>1</v>
      </c>
      <c r="R48" s="99">
        <f t="shared" si="14"/>
        <v>39</v>
      </c>
      <c r="S48" s="97">
        <v>37</v>
      </c>
      <c r="T48" s="100">
        <f t="shared" si="15"/>
        <v>2</v>
      </c>
      <c r="U48" s="98"/>
      <c r="V48" s="99">
        <f t="shared" si="16"/>
        <v>37</v>
      </c>
      <c r="W48" s="97">
        <v>32</v>
      </c>
      <c r="X48" s="100">
        <f t="shared" si="48"/>
        <v>5</v>
      </c>
      <c r="Y48" s="98">
        <v>0</v>
      </c>
      <c r="Z48" s="99">
        <f t="shared" si="17"/>
        <v>32</v>
      </c>
      <c r="AA48" s="97">
        <v>27</v>
      </c>
      <c r="AB48" s="100">
        <f t="shared" si="18"/>
        <v>5</v>
      </c>
      <c r="AC48" s="98">
        <v>0</v>
      </c>
      <c r="AD48" s="99">
        <f t="shared" si="19"/>
        <v>27</v>
      </c>
      <c r="AE48" s="97">
        <v>22</v>
      </c>
      <c r="AF48" s="100">
        <f t="shared" si="20"/>
        <v>5</v>
      </c>
      <c r="AG48" s="98"/>
      <c r="AH48" s="99">
        <f t="shared" si="21"/>
        <v>22</v>
      </c>
      <c r="AI48" s="97">
        <v>15</v>
      </c>
      <c r="AJ48" s="100">
        <f t="shared" si="22"/>
        <v>7</v>
      </c>
      <c r="AK48" s="98"/>
      <c r="AL48" s="99">
        <f t="shared" si="23"/>
        <v>15</v>
      </c>
      <c r="AM48" s="97">
        <v>12</v>
      </c>
      <c r="AN48" s="100">
        <f t="shared" si="24"/>
        <v>3</v>
      </c>
      <c r="AO48" s="98"/>
      <c r="AP48" s="99">
        <f t="shared" si="25"/>
        <v>12</v>
      </c>
      <c r="AQ48" s="97">
        <v>8</v>
      </c>
      <c r="AR48" s="100">
        <f t="shared" si="26"/>
        <v>4</v>
      </c>
      <c r="AS48" s="98"/>
      <c r="AT48" s="99">
        <f t="shared" si="27"/>
        <v>8</v>
      </c>
      <c r="AU48" s="97">
        <v>6</v>
      </c>
      <c r="AV48" s="100">
        <f t="shared" si="28"/>
        <v>2</v>
      </c>
      <c r="AW48" s="98">
        <v>1</v>
      </c>
      <c r="AX48" s="99">
        <f t="shared" si="29"/>
        <v>30</v>
      </c>
      <c r="AY48" s="97">
        <v>24</v>
      </c>
      <c r="AZ48" s="100">
        <f t="shared" si="30"/>
        <v>6</v>
      </c>
      <c r="BA48" s="98"/>
      <c r="BB48" s="99">
        <f t="shared" si="31"/>
        <v>24</v>
      </c>
      <c r="BC48" s="97">
        <v>21</v>
      </c>
      <c r="BD48" s="100">
        <f t="shared" si="32"/>
        <v>3</v>
      </c>
      <c r="BE48" s="98"/>
      <c r="BF48" s="99">
        <f t="shared" si="33"/>
        <v>21</v>
      </c>
      <c r="BG48" s="97">
        <v>17</v>
      </c>
      <c r="BH48" s="100">
        <f t="shared" si="34"/>
        <v>4</v>
      </c>
      <c r="BI48" s="98"/>
      <c r="BJ48" s="99">
        <f t="shared" si="35"/>
        <v>17</v>
      </c>
      <c r="BK48" s="97">
        <v>16</v>
      </c>
      <c r="BL48" s="100">
        <f t="shared" si="5"/>
        <v>1</v>
      </c>
      <c r="BM48" s="98"/>
      <c r="BN48" s="99">
        <f t="shared" si="36"/>
        <v>16</v>
      </c>
      <c r="BO48" s="97">
        <v>14</v>
      </c>
      <c r="BP48" s="100">
        <f t="shared" si="37"/>
        <v>2</v>
      </c>
      <c r="BQ48" s="98"/>
      <c r="BR48" s="99">
        <f t="shared" si="38"/>
        <v>14</v>
      </c>
      <c r="BS48" s="97">
        <v>12</v>
      </c>
      <c r="BT48" s="100">
        <f t="shared" si="6"/>
        <v>2</v>
      </c>
      <c r="BU48" s="98"/>
      <c r="BV48" s="99">
        <f t="shared" si="39"/>
        <v>12</v>
      </c>
      <c r="BW48" s="97"/>
      <c r="BX48" s="100">
        <f t="shared" si="7"/>
        <v>12</v>
      </c>
      <c r="BY48" s="98"/>
      <c r="BZ48" s="99">
        <f t="shared" si="40"/>
        <v>0</v>
      </c>
      <c r="CA48" s="97"/>
      <c r="CB48" s="100">
        <f t="shared" si="8"/>
        <v>0</v>
      </c>
      <c r="CC48" s="98"/>
      <c r="CD48" s="99">
        <f t="shared" si="41"/>
        <v>0</v>
      </c>
      <c r="CE48" s="97"/>
      <c r="CF48" s="100">
        <f t="shared" si="9"/>
        <v>0</v>
      </c>
      <c r="CG48" s="98"/>
      <c r="CH48" s="99">
        <f t="shared" si="42"/>
        <v>0</v>
      </c>
      <c r="CI48" s="97"/>
      <c r="CJ48" s="100">
        <f t="shared" si="10"/>
        <v>0</v>
      </c>
      <c r="CK48" s="98"/>
      <c r="CL48" s="99">
        <f t="shared" si="43"/>
        <v>0</v>
      </c>
      <c r="CM48" s="97"/>
      <c r="CN48" s="100">
        <f t="shared" si="11"/>
        <v>0</v>
      </c>
      <c r="CO48" s="98"/>
      <c r="CP48" s="99">
        <f t="shared" si="44"/>
        <v>0</v>
      </c>
      <c r="CQ48" s="97"/>
      <c r="CR48" s="100">
        <f t="shared" si="12"/>
        <v>0</v>
      </c>
      <c r="CS48" s="98"/>
      <c r="CT48" s="99">
        <f t="shared" si="45"/>
        <v>0</v>
      </c>
      <c r="CU48" s="97"/>
      <c r="CV48" s="100">
        <f t="shared" si="13"/>
        <v>0</v>
      </c>
      <c r="CW48" s="98"/>
      <c r="CX48" s="99">
        <f t="shared" si="46"/>
        <v>0</v>
      </c>
    </row>
    <row r="49" spans="1:102" ht="20.100000000000001" customHeight="1" x14ac:dyDescent="0.25">
      <c r="A49" s="154" t="s">
        <v>200</v>
      </c>
      <c r="B49" s="156" t="s">
        <v>182</v>
      </c>
      <c r="C49" s="96">
        <v>12</v>
      </c>
      <c r="D49" s="97">
        <v>21</v>
      </c>
      <c r="E49" s="98"/>
      <c r="F49" s="99">
        <f t="shared" si="47"/>
        <v>21</v>
      </c>
      <c r="G49" s="97">
        <v>18</v>
      </c>
      <c r="H49" s="100">
        <f t="shared" si="1"/>
        <v>3</v>
      </c>
      <c r="I49" s="98"/>
      <c r="J49" s="99">
        <f t="shared" si="2"/>
        <v>18</v>
      </c>
      <c r="K49" s="97">
        <v>15</v>
      </c>
      <c r="L49" s="100">
        <f t="shared" si="3"/>
        <v>3</v>
      </c>
      <c r="M49" s="98">
        <v>0</v>
      </c>
      <c r="N49" s="99">
        <f t="shared" si="4"/>
        <v>15</v>
      </c>
      <c r="O49" s="97">
        <f>24+7</f>
        <v>31</v>
      </c>
      <c r="P49" s="100">
        <v>0</v>
      </c>
      <c r="Q49" s="98"/>
      <c r="R49" s="99">
        <f t="shared" si="14"/>
        <v>31</v>
      </c>
      <c r="S49" s="97">
        <v>27</v>
      </c>
      <c r="T49" s="100">
        <f t="shared" si="15"/>
        <v>4</v>
      </c>
      <c r="U49" s="98"/>
      <c r="V49" s="99">
        <f t="shared" si="16"/>
        <v>27</v>
      </c>
      <c r="W49" s="97">
        <v>25</v>
      </c>
      <c r="X49" s="100">
        <f t="shared" si="48"/>
        <v>2</v>
      </c>
      <c r="Y49" s="98">
        <v>0</v>
      </c>
      <c r="Z49" s="99">
        <f t="shared" si="17"/>
        <v>25</v>
      </c>
      <c r="AA49" s="97">
        <v>24</v>
      </c>
      <c r="AB49" s="100">
        <f t="shared" si="18"/>
        <v>1</v>
      </c>
      <c r="AC49" s="98">
        <v>0</v>
      </c>
      <c r="AD49" s="99">
        <f t="shared" si="19"/>
        <v>24</v>
      </c>
      <c r="AE49" s="97">
        <v>20</v>
      </c>
      <c r="AF49" s="100">
        <f t="shared" si="20"/>
        <v>4</v>
      </c>
      <c r="AG49" s="98"/>
      <c r="AH49" s="99">
        <f t="shared" si="21"/>
        <v>20</v>
      </c>
      <c r="AI49" s="97">
        <v>17</v>
      </c>
      <c r="AJ49" s="100">
        <f t="shared" si="22"/>
        <v>3</v>
      </c>
      <c r="AK49" s="98"/>
      <c r="AL49" s="99">
        <f t="shared" si="23"/>
        <v>17</v>
      </c>
      <c r="AM49" s="97">
        <v>13</v>
      </c>
      <c r="AN49" s="100">
        <f t="shared" si="24"/>
        <v>4</v>
      </c>
      <c r="AO49" s="98"/>
      <c r="AP49" s="99">
        <f t="shared" si="25"/>
        <v>13</v>
      </c>
      <c r="AQ49" s="97">
        <v>8</v>
      </c>
      <c r="AR49" s="100">
        <f t="shared" si="26"/>
        <v>5</v>
      </c>
      <c r="AS49" s="98">
        <v>1</v>
      </c>
      <c r="AT49" s="99">
        <f t="shared" si="27"/>
        <v>20</v>
      </c>
      <c r="AU49" s="97">
        <v>18</v>
      </c>
      <c r="AV49" s="100">
        <f t="shared" si="28"/>
        <v>2</v>
      </c>
      <c r="AW49" s="98"/>
      <c r="AX49" s="99">
        <f t="shared" si="29"/>
        <v>18</v>
      </c>
      <c r="AY49" s="97">
        <v>17</v>
      </c>
      <c r="AZ49" s="100">
        <f t="shared" si="30"/>
        <v>1</v>
      </c>
      <c r="BA49" s="98"/>
      <c r="BB49" s="99">
        <f t="shared" si="31"/>
        <v>17</v>
      </c>
      <c r="BC49" s="97">
        <v>13</v>
      </c>
      <c r="BD49" s="100">
        <f t="shared" si="32"/>
        <v>4</v>
      </c>
      <c r="BE49" s="98">
        <v>1</v>
      </c>
      <c r="BF49" s="99">
        <f t="shared" si="33"/>
        <v>25</v>
      </c>
      <c r="BG49" s="97">
        <v>23</v>
      </c>
      <c r="BH49" s="100">
        <f t="shared" si="34"/>
        <v>2</v>
      </c>
      <c r="BI49" s="98"/>
      <c r="BJ49" s="99">
        <f t="shared" si="35"/>
        <v>23</v>
      </c>
      <c r="BK49" s="97">
        <v>23</v>
      </c>
      <c r="BL49" s="100">
        <f t="shared" si="5"/>
        <v>0</v>
      </c>
      <c r="BM49" s="98"/>
      <c r="BN49" s="99">
        <f t="shared" si="36"/>
        <v>23</v>
      </c>
      <c r="BO49" s="97">
        <v>21</v>
      </c>
      <c r="BP49" s="100">
        <f t="shared" si="37"/>
        <v>2</v>
      </c>
      <c r="BQ49" s="98"/>
      <c r="BR49" s="99">
        <f t="shared" si="38"/>
        <v>21</v>
      </c>
      <c r="BS49" s="97">
        <v>16</v>
      </c>
      <c r="BT49" s="100">
        <f t="shared" si="6"/>
        <v>5</v>
      </c>
      <c r="BU49" s="98">
        <v>1</v>
      </c>
      <c r="BV49" s="99">
        <f t="shared" si="39"/>
        <v>28</v>
      </c>
      <c r="BW49" s="97"/>
      <c r="BX49" s="100">
        <f t="shared" si="7"/>
        <v>28</v>
      </c>
      <c r="BY49" s="98"/>
      <c r="BZ49" s="99">
        <f t="shared" si="40"/>
        <v>0</v>
      </c>
      <c r="CA49" s="97"/>
      <c r="CB49" s="100">
        <f t="shared" si="8"/>
        <v>0</v>
      </c>
      <c r="CC49" s="98"/>
      <c r="CD49" s="99">
        <f t="shared" si="41"/>
        <v>0</v>
      </c>
      <c r="CE49" s="97"/>
      <c r="CF49" s="100">
        <f t="shared" si="9"/>
        <v>0</v>
      </c>
      <c r="CG49" s="98"/>
      <c r="CH49" s="99">
        <f t="shared" si="42"/>
        <v>0</v>
      </c>
      <c r="CI49" s="97"/>
      <c r="CJ49" s="100">
        <f t="shared" si="10"/>
        <v>0</v>
      </c>
      <c r="CK49" s="98"/>
      <c r="CL49" s="99">
        <f t="shared" si="43"/>
        <v>0</v>
      </c>
      <c r="CM49" s="97"/>
      <c r="CN49" s="100">
        <f t="shared" si="11"/>
        <v>0</v>
      </c>
      <c r="CO49" s="98"/>
      <c r="CP49" s="99">
        <f t="shared" si="44"/>
        <v>0</v>
      </c>
      <c r="CQ49" s="97"/>
      <c r="CR49" s="100">
        <f t="shared" si="12"/>
        <v>0</v>
      </c>
      <c r="CS49" s="98"/>
      <c r="CT49" s="99">
        <f t="shared" si="45"/>
        <v>0</v>
      </c>
      <c r="CU49" s="97"/>
      <c r="CV49" s="100">
        <f t="shared" si="13"/>
        <v>0</v>
      </c>
      <c r="CW49" s="98"/>
      <c r="CX49" s="99">
        <f t="shared" si="46"/>
        <v>0</v>
      </c>
    </row>
    <row r="50" spans="1:102" ht="20.100000000000001" hidden="1" customHeight="1" x14ac:dyDescent="0.25">
      <c r="A50" s="154" t="s">
        <v>201</v>
      </c>
      <c r="B50" s="156" t="s">
        <v>182</v>
      </c>
      <c r="C50" s="96">
        <v>12</v>
      </c>
      <c r="D50" s="97">
        <v>12</v>
      </c>
      <c r="E50" s="101">
        <v>1</v>
      </c>
      <c r="F50" s="99">
        <f t="shared" si="47"/>
        <v>24</v>
      </c>
      <c r="G50" s="97">
        <v>21</v>
      </c>
      <c r="H50" s="100">
        <f t="shared" si="1"/>
        <v>3</v>
      </c>
      <c r="I50" s="101">
        <v>1</v>
      </c>
      <c r="J50" s="99">
        <f t="shared" si="2"/>
        <v>33</v>
      </c>
      <c r="K50" s="97">
        <v>30</v>
      </c>
      <c r="L50" s="100">
        <f t="shared" si="3"/>
        <v>3</v>
      </c>
      <c r="M50" s="98">
        <v>0</v>
      </c>
      <c r="N50" s="99">
        <f t="shared" si="4"/>
        <v>30</v>
      </c>
      <c r="O50" s="97">
        <v>23</v>
      </c>
      <c r="P50" s="100">
        <v>10</v>
      </c>
      <c r="Q50" s="98">
        <v>1</v>
      </c>
      <c r="R50" s="99">
        <f t="shared" si="14"/>
        <v>35</v>
      </c>
      <c r="S50" s="97">
        <v>33</v>
      </c>
      <c r="T50" s="100">
        <f t="shared" si="15"/>
        <v>2</v>
      </c>
      <c r="U50" s="98"/>
      <c r="V50" s="99">
        <f t="shared" si="16"/>
        <v>33</v>
      </c>
      <c r="W50" s="97">
        <v>27</v>
      </c>
      <c r="X50" s="100">
        <f t="shared" si="48"/>
        <v>6</v>
      </c>
      <c r="Y50" s="98">
        <v>0</v>
      </c>
      <c r="Z50" s="99">
        <f t="shared" si="17"/>
        <v>27</v>
      </c>
      <c r="AA50" s="97">
        <v>21</v>
      </c>
      <c r="AB50" s="100">
        <f t="shared" si="18"/>
        <v>6</v>
      </c>
      <c r="AC50" s="98">
        <v>0</v>
      </c>
      <c r="AD50" s="99">
        <f t="shared" si="19"/>
        <v>21</v>
      </c>
      <c r="AE50" s="97">
        <v>16</v>
      </c>
      <c r="AF50" s="100">
        <f t="shared" si="20"/>
        <v>5</v>
      </c>
      <c r="AG50" s="98"/>
      <c r="AH50" s="99">
        <f t="shared" si="21"/>
        <v>16</v>
      </c>
      <c r="AI50" s="97">
        <v>12</v>
      </c>
      <c r="AJ50" s="100">
        <f t="shared" si="22"/>
        <v>4</v>
      </c>
      <c r="AK50" s="98"/>
      <c r="AL50" s="99">
        <f t="shared" si="23"/>
        <v>12</v>
      </c>
      <c r="AM50" s="97">
        <v>4</v>
      </c>
      <c r="AN50" s="100">
        <f t="shared" si="24"/>
        <v>8</v>
      </c>
      <c r="AO50" s="98">
        <v>1</v>
      </c>
      <c r="AP50" s="99">
        <f t="shared" si="25"/>
        <v>16</v>
      </c>
      <c r="AQ50" s="97">
        <v>2</v>
      </c>
      <c r="AR50" s="100">
        <f t="shared" si="26"/>
        <v>14</v>
      </c>
      <c r="AS50" s="98">
        <v>2</v>
      </c>
      <c r="AT50" s="99">
        <f t="shared" si="27"/>
        <v>26</v>
      </c>
      <c r="AU50" s="97">
        <v>21</v>
      </c>
      <c r="AV50" s="100">
        <f t="shared" si="28"/>
        <v>5</v>
      </c>
      <c r="AW50" s="98"/>
      <c r="AX50" s="99">
        <f t="shared" si="29"/>
        <v>21</v>
      </c>
      <c r="AY50" s="97">
        <v>13</v>
      </c>
      <c r="AZ50" s="100">
        <f t="shared" si="30"/>
        <v>8</v>
      </c>
      <c r="BA50" s="98"/>
      <c r="BB50" s="99">
        <f t="shared" si="31"/>
        <v>13</v>
      </c>
      <c r="BC50" s="97">
        <v>9</v>
      </c>
      <c r="BD50" s="100">
        <f t="shared" si="32"/>
        <v>4</v>
      </c>
      <c r="BE50" s="98">
        <v>1</v>
      </c>
      <c r="BF50" s="99">
        <f t="shared" si="33"/>
        <v>21</v>
      </c>
      <c r="BG50" s="97">
        <v>17</v>
      </c>
      <c r="BH50" s="100">
        <f t="shared" si="34"/>
        <v>4</v>
      </c>
      <c r="BI50" s="98"/>
      <c r="BJ50" s="99">
        <f t="shared" si="35"/>
        <v>17</v>
      </c>
      <c r="BK50" s="97">
        <v>12</v>
      </c>
      <c r="BL50" s="100">
        <f t="shared" si="5"/>
        <v>5</v>
      </c>
      <c r="BM50" s="98">
        <v>1</v>
      </c>
      <c r="BN50" s="99">
        <f t="shared" si="36"/>
        <v>24</v>
      </c>
      <c r="BO50" s="97">
        <v>20</v>
      </c>
      <c r="BP50" s="100">
        <f t="shared" si="37"/>
        <v>4</v>
      </c>
      <c r="BQ50" s="98"/>
      <c r="BR50" s="99">
        <f t="shared" si="38"/>
        <v>20</v>
      </c>
      <c r="BS50" s="97">
        <v>16</v>
      </c>
      <c r="BT50" s="100">
        <f t="shared" si="6"/>
        <v>4</v>
      </c>
      <c r="BU50" s="98"/>
      <c r="BV50" s="99">
        <f t="shared" si="39"/>
        <v>16</v>
      </c>
      <c r="BW50" s="97"/>
      <c r="BX50" s="100">
        <f t="shared" si="7"/>
        <v>16</v>
      </c>
      <c r="BY50" s="98"/>
      <c r="BZ50" s="99">
        <f t="shared" si="40"/>
        <v>0</v>
      </c>
      <c r="CA50" s="97"/>
      <c r="CB50" s="100">
        <f t="shared" si="8"/>
        <v>0</v>
      </c>
      <c r="CC50" s="98"/>
      <c r="CD50" s="99">
        <f t="shared" si="41"/>
        <v>0</v>
      </c>
      <c r="CE50" s="97"/>
      <c r="CF50" s="100">
        <f t="shared" si="9"/>
        <v>0</v>
      </c>
      <c r="CG50" s="98"/>
      <c r="CH50" s="99">
        <f t="shared" si="42"/>
        <v>0</v>
      </c>
      <c r="CI50" s="97"/>
      <c r="CJ50" s="100">
        <f t="shared" si="10"/>
        <v>0</v>
      </c>
      <c r="CK50" s="98"/>
      <c r="CL50" s="99">
        <f t="shared" si="43"/>
        <v>0</v>
      </c>
      <c r="CM50" s="97"/>
      <c r="CN50" s="100">
        <f t="shared" si="11"/>
        <v>0</v>
      </c>
      <c r="CO50" s="98"/>
      <c r="CP50" s="99">
        <f t="shared" si="44"/>
        <v>0</v>
      </c>
      <c r="CQ50" s="97"/>
      <c r="CR50" s="100">
        <f t="shared" si="12"/>
        <v>0</v>
      </c>
      <c r="CS50" s="98"/>
      <c r="CT50" s="99">
        <f t="shared" si="45"/>
        <v>0</v>
      </c>
      <c r="CU50" s="97"/>
      <c r="CV50" s="100">
        <f t="shared" si="13"/>
        <v>0</v>
      </c>
      <c r="CW50" s="98"/>
      <c r="CX50" s="99">
        <f t="shared" si="46"/>
        <v>0</v>
      </c>
    </row>
    <row r="51" spans="1:102" ht="20.100000000000001" hidden="1" customHeight="1" x14ac:dyDescent="0.25">
      <c r="A51" s="154" t="s">
        <v>202</v>
      </c>
      <c r="B51" s="156" t="s">
        <v>182</v>
      </c>
      <c r="C51" s="96">
        <v>12</v>
      </c>
      <c r="D51" s="97">
        <v>18</v>
      </c>
      <c r="E51" s="98"/>
      <c r="F51" s="99">
        <f t="shared" si="47"/>
        <v>18</v>
      </c>
      <c r="G51" s="97">
        <v>10</v>
      </c>
      <c r="H51" s="100">
        <f t="shared" si="1"/>
        <v>8</v>
      </c>
      <c r="I51" s="101">
        <v>0</v>
      </c>
      <c r="J51" s="99">
        <f t="shared" si="2"/>
        <v>10</v>
      </c>
      <c r="K51" s="97">
        <v>3</v>
      </c>
      <c r="L51" s="100">
        <f t="shared" si="3"/>
        <v>7</v>
      </c>
      <c r="M51" s="101">
        <v>1</v>
      </c>
      <c r="N51" s="99">
        <f t="shared" si="4"/>
        <v>15</v>
      </c>
      <c r="O51" s="97">
        <v>11</v>
      </c>
      <c r="P51" s="100">
        <v>8</v>
      </c>
      <c r="Q51" s="98">
        <v>1</v>
      </c>
      <c r="R51" s="99">
        <f t="shared" si="14"/>
        <v>23</v>
      </c>
      <c r="S51" s="97">
        <v>13</v>
      </c>
      <c r="T51" s="100">
        <f t="shared" si="15"/>
        <v>10</v>
      </c>
      <c r="U51" s="98"/>
      <c r="V51" s="99">
        <f t="shared" si="16"/>
        <v>13</v>
      </c>
      <c r="W51" s="97">
        <v>6</v>
      </c>
      <c r="X51" s="100">
        <f t="shared" si="48"/>
        <v>7</v>
      </c>
      <c r="Y51" s="98">
        <v>1</v>
      </c>
      <c r="Z51" s="99">
        <f t="shared" si="17"/>
        <v>18</v>
      </c>
      <c r="AA51" s="97">
        <v>15</v>
      </c>
      <c r="AB51" s="100">
        <f t="shared" si="18"/>
        <v>3</v>
      </c>
      <c r="AC51" s="98">
        <v>0</v>
      </c>
      <c r="AD51" s="99">
        <f t="shared" si="19"/>
        <v>15</v>
      </c>
      <c r="AE51" s="97">
        <v>7</v>
      </c>
      <c r="AF51" s="100">
        <f t="shared" si="20"/>
        <v>8</v>
      </c>
      <c r="AG51" s="101">
        <v>1</v>
      </c>
      <c r="AH51" s="99">
        <f t="shared" si="21"/>
        <v>19</v>
      </c>
      <c r="AI51" s="97">
        <v>13</v>
      </c>
      <c r="AJ51" s="100">
        <f t="shared" si="22"/>
        <v>6</v>
      </c>
      <c r="AK51" s="98"/>
      <c r="AL51" s="99">
        <f t="shared" si="23"/>
        <v>13</v>
      </c>
      <c r="AM51" s="97">
        <v>6</v>
      </c>
      <c r="AN51" s="100">
        <f t="shared" si="24"/>
        <v>7</v>
      </c>
      <c r="AO51" s="98">
        <v>1</v>
      </c>
      <c r="AP51" s="99">
        <f t="shared" si="25"/>
        <v>18</v>
      </c>
      <c r="AQ51" s="97">
        <v>10</v>
      </c>
      <c r="AR51" s="100">
        <f t="shared" si="26"/>
        <v>8</v>
      </c>
      <c r="AS51" s="98">
        <v>1</v>
      </c>
      <c r="AT51" s="99">
        <f t="shared" si="27"/>
        <v>22</v>
      </c>
      <c r="AU51" s="97">
        <v>19</v>
      </c>
      <c r="AV51" s="100">
        <f t="shared" si="28"/>
        <v>3</v>
      </c>
      <c r="AW51" s="98"/>
      <c r="AX51" s="99">
        <f t="shared" si="29"/>
        <v>19</v>
      </c>
      <c r="AY51" s="97">
        <v>9</v>
      </c>
      <c r="AZ51" s="100">
        <f t="shared" si="30"/>
        <v>10</v>
      </c>
      <c r="BA51" s="98">
        <v>1</v>
      </c>
      <c r="BB51" s="99">
        <f t="shared" si="31"/>
        <v>21</v>
      </c>
      <c r="BC51" s="97">
        <v>10</v>
      </c>
      <c r="BD51" s="100">
        <f t="shared" si="32"/>
        <v>11</v>
      </c>
      <c r="BE51" s="98">
        <v>1</v>
      </c>
      <c r="BF51" s="99">
        <f t="shared" si="33"/>
        <v>22</v>
      </c>
      <c r="BG51" s="97">
        <v>4</v>
      </c>
      <c r="BH51" s="100">
        <f t="shared" si="34"/>
        <v>18</v>
      </c>
      <c r="BI51" s="98">
        <v>2</v>
      </c>
      <c r="BJ51" s="99">
        <f t="shared" si="35"/>
        <v>28</v>
      </c>
      <c r="BK51" s="97">
        <v>23</v>
      </c>
      <c r="BL51" s="100">
        <f t="shared" si="5"/>
        <v>5</v>
      </c>
      <c r="BM51" s="98"/>
      <c r="BN51" s="99">
        <f t="shared" si="36"/>
        <v>23</v>
      </c>
      <c r="BO51" s="97">
        <v>13</v>
      </c>
      <c r="BP51" s="100">
        <f t="shared" si="37"/>
        <v>10</v>
      </c>
      <c r="BQ51" s="98">
        <v>1</v>
      </c>
      <c r="BR51" s="99">
        <f t="shared" si="38"/>
        <v>25</v>
      </c>
      <c r="BS51" s="97">
        <v>21</v>
      </c>
      <c r="BT51" s="100">
        <f t="shared" si="6"/>
        <v>4</v>
      </c>
      <c r="BU51" s="98"/>
      <c r="BV51" s="99">
        <f t="shared" si="39"/>
        <v>21</v>
      </c>
      <c r="BW51" s="97"/>
      <c r="BX51" s="100">
        <f t="shared" si="7"/>
        <v>21</v>
      </c>
      <c r="BY51" s="98"/>
      <c r="BZ51" s="99">
        <f t="shared" si="40"/>
        <v>0</v>
      </c>
      <c r="CA51" s="97"/>
      <c r="CB51" s="100">
        <f t="shared" si="8"/>
        <v>0</v>
      </c>
      <c r="CC51" s="98"/>
      <c r="CD51" s="99">
        <f t="shared" si="41"/>
        <v>0</v>
      </c>
      <c r="CE51" s="97"/>
      <c r="CF51" s="100">
        <f t="shared" si="9"/>
        <v>0</v>
      </c>
      <c r="CG51" s="98"/>
      <c r="CH51" s="99">
        <f t="shared" si="42"/>
        <v>0</v>
      </c>
      <c r="CI51" s="97"/>
      <c r="CJ51" s="100">
        <f t="shared" si="10"/>
        <v>0</v>
      </c>
      <c r="CK51" s="98"/>
      <c r="CL51" s="99">
        <f t="shared" si="43"/>
        <v>0</v>
      </c>
      <c r="CM51" s="97"/>
      <c r="CN51" s="100">
        <f t="shared" si="11"/>
        <v>0</v>
      </c>
      <c r="CO51" s="98"/>
      <c r="CP51" s="99">
        <f t="shared" si="44"/>
        <v>0</v>
      </c>
      <c r="CQ51" s="97"/>
      <c r="CR51" s="100">
        <f t="shared" si="12"/>
        <v>0</v>
      </c>
      <c r="CS51" s="98"/>
      <c r="CT51" s="99">
        <f t="shared" si="45"/>
        <v>0</v>
      </c>
      <c r="CU51" s="97"/>
      <c r="CV51" s="100">
        <f t="shared" si="13"/>
        <v>0</v>
      </c>
      <c r="CW51" s="98"/>
      <c r="CX51" s="99">
        <f t="shared" si="46"/>
        <v>0</v>
      </c>
    </row>
    <row r="52" spans="1:102" ht="20.100000000000001" hidden="1" customHeight="1" x14ac:dyDescent="0.25">
      <c r="A52" s="154" t="s">
        <v>203</v>
      </c>
      <c r="B52" s="156" t="s">
        <v>182</v>
      </c>
      <c r="C52" s="96">
        <v>12</v>
      </c>
      <c r="D52" s="97">
        <v>3</v>
      </c>
      <c r="E52" s="101">
        <v>1</v>
      </c>
      <c r="F52" s="99">
        <f t="shared" si="47"/>
        <v>15</v>
      </c>
      <c r="G52" s="97">
        <v>8</v>
      </c>
      <c r="H52" s="100">
        <f t="shared" si="1"/>
        <v>7</v>
      </c>
      <c r="I52" s="101">
        <v>1</v>
      </c>
      <c r="J52" s="99">
        <f t="shared" si="2"/>
        <v>20</v>
      </c>
      <c r="K52" s="97">
        <v>19</v>
      </c>
      <c r="L52" s="100">
        <f t="shared" si="3"/>
        <v>1</v>
      </c>
      <c r="M52" s="98">
        <v>0</v>
      </c>
      <c r="N52" s="99">
        <f t="shared" si="4"/>
        <v>19</v>
      </c>
      <c r="O52" s="97">
        <f>12+6</f>
        <v>18</v>
      </c>
      <c r="P52" s="100">
        <v>3</v>
      </c>
      <c r="Q52" s="98"/>
      <c r="R52" s="99">
        <f t="shared" si="14"/>
        <v>18</v>
      </c>
      <c r="S52" s="97">
        <v>18</v>
      </c>
      <c r="T52" s="100">
        <f t="shared" si="15"/>
        <v>0</v>
      </c>
      <c r="U52" s="98"/>
      <c r="V52" s="99">
        <f t="shared" si="16"/>
        <v>18</v>
      </c>
      <c r="W52" s="97">
        <v>15</v>
      </c>
      <c r="X52" s="100">
        <f t="shared" si="48"/>
        <v>3</v>
      </c>
      <c r="Y52" s="98">
        <v>0</v>
      </c>
      <c r="Z52" s="99">
        <f t="shared" si="17"/>
        <v>15</v>
      </c>
      <c r="AA52" s="97">
        <v>11</v>
      </c>
      <c r="AB52" s="100">
        <f t="shared" si="18"/>
        <v>4</v>
      </c>
      <c r="AC52" s="98">
        <v>0</v>
      </c>
      <c r="AD52" s="99">
        <f t="shared" si="19"/>
        <v>11</v>
      </c>
      <c r="AE52" s="97">
        <v>3</v>
      </c>
      <c r="AF52" s="100">
        <f t="shared" si="20"/>
        <v>8</v>
      </c>
      <c r="AG52" s="101">
        <v>1</v>
      </c>
      <c r="AH52" s="99">
        <f t="shared" si="21"/>
        <v>15</v>
      </c>
      <c r="AI52" s="97">
        <v>8</v>
      </c>
      <c r="AJ52" s="100">
        <f t="shared" si="22"/>
        <v>7</v>
      </c>
      <c r="AK52" s="101">
        <v>1</v>
      </c>
      <c r="AL52" s="99">
        <f t="shared" si="23"/>
        <v>20</v>
      </c>
      <c r="AM52" s="97">
        <v>13</v>
      </c>
      <c r="AN52" s="100">
        <f t="shared" si="24"/>
        <v>7</v>
      </c>
      <c r="AO52" s="98"/>
      <c r="AP52" s="99">
        <f t="shared" si="25"/>
        <v>13</v>
      </c>
      <c r="AQ52" s="97">
        <v>7</v>
      </c>
      <c r="AR52" s="100">
        <f t="shared" si="26"/>
        <v>6</v>
      </c>
      <c r="AS52" s="98">
        <v>1</v>
      </c>
      <c r="AT52" s="99">
        <f t="shared" si="27"/>
        <v>19</v>
      </c>
      <c r="AU52" s="97">
        <v>16</v>
      </c>
      <c r="AV52" s="100">
        <f t="shared" si="28"/>
        <v>3</v>
      </c>
      <c r="AW52" s="98"/>
      <c r="AX52" s="99">
        <f t="shared" si="29"/>
        <v>16</v>
      </c>
      <c r="AY52" s="97">
        <v>14</v>
      </c>
      <c r="AZ52" s="100">
        <f t="shared" si="30"/>
        <v>2</v>
      </c>
      <c r="BA52" s="98"/>
      <c r="BB52" s="99">
        <f t="shared" si="31"/>
        <v>14</v>
      </c>
      <c r="BC52" s="97">
        <v>4</v>
      </c>
      <c r="BD52" s="100">
        <f t="shared" si="32"/>
        <v>10</v>
      </c>
      <c r="BE52" s="98">
        <v>1</v>
      </c>
      <c r="BF52" s="99">
        <f t="shared" si="33"/>
        <v>16</v>
      </c>
      <c r="BG52" s="97">
        <v>12</v>
      </c>
      <c r="BH52" s="100">
        <f t="shared" si="34"/>
        <v>4</v>
      </c>
      <c r="BI52" s="98"/>
      <c r="BJ52" s="99">
        <f t="shared" si="35"/>
        <v>12</v>
      </c>
      <c r="BK52" s="97">
        <v>7</v>
      </c>
      <c r="BL52" s="100">
        <f t="shared" si="5"/>
        <v>5</v>
      </c>
      <c r="BM52" s="98">
        <v>1</v>
      </c>
      <c r="BN52" s="99">
        <f t="shared" si="36"/>
        <v>19</v>
      </c>
      <c r="BO52" s="97">
        <v>18</v>
      </c>
      <c r="BP52" s="100">
        <f t="shared" si="37"/>
        <v>1</v>
      </c>
      <c r="BQ52" s="98"/>
      <c r="BR52" s="99">
        <f t="shared" si="38"/>
        <v>18</v>
      </c>
      <c r="BS52" s="97">
        <v>15</v>
      </c>
      <c r="BT52" s="100">
        <f t="shared" si="6"/>
        <v>3</v>
      </c>
      <c r="BU52" s="98"/>
      <c r="BV52" s="99">
        <f t="shared" si="39"/>
        <v>15</v>
      </c>
      <c r="BW52" s="97"/>
      <c r="BX52" s="100">
        <f t="shared" si="7"/>
        <v>15</v>
      </c>
      <c r="BY52" s="98"/>
      <c r="BZ52" s="99">
        <f t="shared" si="40"/>
        <v>0</v>
      </c>
      <c r="CA52" s="97"/>
      <c r="CB52" s="100">
        <f t="shared" si="8"/>
        <v>0</v>
      </c>
      <c r="CC52" s="98"/>
      <c r="CD52" s="99">
        <f t="shared" si="41"/>
        <v>0</v>
      </c>
      <c r="CE52" s="97"/>
      <c r="CF52" s="100">
        <f t="shared" si="9"/>
        <v>0</v>
      </c>
      <c r="CG52" s="98"/>
      <c r="CH52" s="99">
        <f t="shared" si="42"/>
        <v>0</v>
      </c>
      <c r="CI52" s="97"/>
      <c r="CJ52" s="100">
        <f t="shared" si="10"/>
        <v>0</v>
      </c>
      <c r="CK52" s="98"/>
      <c r="CL52" s="99">
        <f t="shared" si="43"/>
        <v>0</v>
      </c>
      <c r="CM52" s="97"/>
      <c r="CN52" s="100">
        <f t="shared" si="11"/>
        <v>0</v>
      </c>
      <c r="CO52" s="98"/>
      <c r="CP52" s="99">
        <f t="shared" si="44"/>
        <v>0</v>
      </c>
      <c r="CQ52" s="97"/>
      <c r="CR52" s="100">
        <f t="shared" si="12"/>
        <v>0</v>
      </c>
      <c r="CS52" s="98"/>
      <c r="CT52" s="99">
        <f t="shared" si="45"/>
        <v>0</v>
      </c>
      <c r="CU52" s="97"/>
      <c r="CV52" s="100">
        <f t="shared" si="13"/>
        <v>0</v>
      </c>
      <c r="CW52" s="98"/>
      <c r="CX52" s="99">
        <f t="shared" si="46"/>
        <v>0</v>
      </c>
    </row>
    <row r="53" spans="1:102" ht="20.100000000000001" customHeight="1" x14ac:dyDescent="0.25">
      <c r="A53" s="154" t="s">
        <v>231</v>
      </c>
      <c r="B53" s="156" t="s">
        <v>182</v>
      </c>
      <c r="C53" s="96">
        <v>12</v>
      </c>
      <c r="D53" s="108"/>
      <c r="E53" s="109"/>
      <c r="F53" s="99">
        <f t="shared" si="47"/>
        <v>0</v>
      </c>
      <c r="G53" s="108"/>
      <c r="H53" s="100">
        <f>F53-G53</f>
        <v>0</v>
      </c>
      <c r="I53" s="109"/>
      <c r="J53" s="99">
        <f>+G53+I53*$C53</f>
        <v>0</v>
      </c>
      <c r="K53" s="108">
        <v>0</v>
      </c>
      <c r="L53" s="100">
        <f>J53-K53</f>
        <v>0</v>
      </c>
      <c r="M53" s="109">
        <v>0</v>
      </c>
      <c r="N53" s="99">
        <f>+K53+M53*$C53</f>
        <v>0</v>
      </c>
      <c r="O53" s="108">
        <f>12+5</f>
        <v>17</v>
      </c>
      <c r="P53" s="100">
        <v>1</v>
      </c>
      <c r="Q53" s="109"/>
      <c r="R53" s="99">
        <f>+O53+Q53*$C53</f>
        <v>17</v>
      </c>
      <c r="S53" s="108">
        <v>15</v>
      </c>
      <c r="T53" s="100">
        <f>R53-S53</f>
        <v>2</v>
      </c>
      <c r="U53" s="109"/>
      <c r="V53" s="99">
        <f>+S53+U53*$C53</f>
        <v>15</v>
      </c>
      <c r="W53" s="108">
        <v>13</v>
      </c>
      <c r="X53" s="100">
        <f t="shared" si="48"/>
        <v>2</v>
      </c>
      <c r="Y53" s="109">
        <v>0</v>
      </c>
      <c r="Z53" s="99">
        <f>+W53+Y53*$C53</f>
        <v>13</v>
      </c>
      <c r="AA53" s="108">
        <v>11</v>
      </c>
      <c r="AB53" s="100">
        <f>Z53-AA53</f>
        <v>2</v>
      </c>
      <c r="AC53" s="109">
        <v>0</v>
      </c>
      <c r="AD53" s="99">
        <f>+AA53+AC53*$C53</f>
        <v>11</v>
      </c>
      <c r="AE53" s="108">
        <v>3</v>
      </c>
      <c r="AF53" s="100">
        <f>AD53-AE53</f>
        <v>8</v>
      </c>
      <c r="AG53" s="193">
        <v>1</v>
      </c>
      <c r="AH53" s="99">
        <f>+AE53+AG53*$C53</f>
        <v>15</v>
      </c>
      <c r="AI53" s="108">
        <v>11</v>
      </c>
      <c r="AJ53" s="100">
        <f>AH53-AI53</f>
        <v>4</v>
      </c>
      <c r="AK53" s="109"/>
      <c r="AL53" s="99">
        <f>+AI53+AK53*$C53</f>
        <v>11</v>
      </c>
      <c r="AM53" s="108">
        <v>5</v>
      </c>
      <c r="AN53" s="100">
        <f>AL53-AM53</f>
        <v>6</v>
      </c>
      <c r="AO53" s="109">
        <v>1</v>
      </c>
      <c r="AP53" s="99">
        <f>+AM53+AO53*$C53</f>
        <v>17</v>
      </c>
      <c r="AQ53" s="108">
        <v>14</v>
      </c>
      <c r="AR53" s="100">
        <f>AP53-AQ53</f>
        <v>3</v>
      </c>
      <c r="AS53" s="109"/>
      <c r="AT53" s="99">
        <f>+AQ53+AS53*$C53</f>
        <v>14</v>
      </c>
      <c r="AU53" s="108">
        <v>11</v>
      </c>
      <c r="AV53" s="100">
        <f>AT53-AU53</f>
        <v>3</v>
      </c>
      <c r="AW53" s="109"/>
      <c r="AX53" s="99">
        <f>+AU53+AW53*$C53</f>
        <v>11</v>
      </c>
      <c r="AY53" s="108">
        <v>2</v>
      </c>
      <c r="AZ53" s="100">
        <f>AX53-AY53</f>
        <v>9</v>
      </c>
      <c r="BA53" s="109">
        <v>1</v>
      </c>
      <c r="BB53" s="99">
        <f>+AY53+BA53*$C53</f>
        <v>14</v>
      </c>
      <c r="BC53" s="108">
        <v>9</v>
      </c>
      <c r="BD53" s="100">
        <f>BB53-BC53</f>
        <v>5</v>
      </c>
      <c r="BE53" s="109">
        <v>1</v>
      </c>
      <c r="BF53" s="99">
        <f>+BC53+BE53*$C53</f>
        <v>21</v>
      </c>
      <c r="BG53" s="108">
        <v>17</v>
      </c>
      <c r="BH53" s="100">
        <f>BF53-BG53</f>
        <v>4</v>
      </c>
      <c r="BI53" s="109"/>
      <c r="BJ53" s="99">
        <f>+BG53+BI53*$C53</f>
        <v>17</v>
      </c>
      <c r="BK53" s="108">
        <v>11</v>
      </c>
      <c r="BL53" s="100">
        <f t="shared" si="5"/>
        <v>6</v>
      </c>
      <c r="BM53" s="109">
        <v>1</v>
      </c>
      <c r="BN53" s="99">
        <f>+BK53+BM53*$C53</f>
        <v>23</v>
      </c>
      <c r="BO53" s="108">
        <v>16</v>
      </c>
      <c r="BP53" s="100">
        <f>BN53-BO53</f>
        <v>7</v>
      </c>
      <c r="BQ53" s="109"/>
      <c r="BR53" s="99">
        <f>+BO53+BQ53*$C53</f>
        <v>16</v>
      </c>
      <c r="BS53" s="108">
        <v>11</v>
      </c>
      <c r="BT53" s="100">
        <f t="shared" si="6"/>
        <v>5</v>
      </c>
      <c r="BU53" s="109">
        <v>1</v>
      </c>
      <c r="BV53" s="99">
        <f>+BS53+BU53*$C53</f>
        <v>23</v>
      </c>
      <c r="BW53" s="108"/>
      <c r="BX53" s="100">
        <f t="shared" si="7"/>
        <v>23</v>
      </c>
      <c r="BY53" s="109"/>
      <c r="BZ53" s="99">
        <f>+BW53+BY53*$C53</f>
        <v>0</v>
      </c>
      <c r="CA53" s="108"/>
      <c r="CB53" s="100">
        <f t="shared" si="8"/>
        <v>0</v>
      </c>
      <c r="CC53" s="109"/>
      <c r="CD53" s="99">
        <f>+CA53+CC53*$C53</f>
        <v>0</v>
      </c>
      <c r="CE53" s="108"/>
      <c r="CF53" s="100">
        <f t="shared" si="9"/>
        <v>0</v>
      </c>
      <c r="CG53" s="109"/>
      <c r="CH53" s="99">
        <f>+CE53+CG53*$C53</f>
        <v>0</v>
      </c>
      <c r="CI53" s="108"/>
      <c r="CJ53" s="100">
        <f t="shared" si="10"/>
        <v>0</v>
      </c>
      <c r="CK53" s="109"/>
      <c r="CL53" s="99">
        <f>+CI53+CK53*$C53</f>
        <v>0</v>
      </c>
      <c r="CM53" s="108"/>
      <c r="CN53" s="100">
        <f t="shared" si="11"/>
        <v>0</v>
      </c>
      <c r="CO53" s="109"/>
      <c r="CP53" s="99">
        <f>+CM53+CO53*$C53</f>
        <v>0</v>
      </c>
      <c r="CQ53" s="108"/>
      <c r="CR53" s="100">
        <f t="shared" si="12"/>
        <v>0</v>
      </c>
      <c r="CS53" s="109"/>
      <c r="CT53" s="99">
        <f>+CQ53+CS53*$C53</f>
        <v>0</v>
      </c>
      <c r="CU53" s="108"/>
      <c r="CV53" s="100">
        <f t="shared" si="13"/>
        <v>0</v>
      </c>
      <c r="CW53" s="109"/>
      <c r="CX53" s="99">
        <f>+CU53+CW53*$C53</f>
        <v>0</v>
      </c>
    </row>
    <row r="54" spans="1:102" ht="20.100000000000001" hidden="1" customHeight="1" x14ac:dyDescent="0.25">
      <c r="A54" s="154" t="s">
        <v>232</v>
      </c>
      <c r="B54" s="156" t="s">
        <v>182</v>
      </c>
      <c r="C54" s="96">
        <v>12</v>
      </c>
      <c r="D54" s="108"/>
      <c r="E54" s="109"/>
      <c r="F54" s="99">
        <f t="shared" si="47"/>
        <v>0</v>
      </c>
      <c r="G54" s="108"/>
      <c r="H54" s="100">
        <f>F54-G54</f>
        <v>0</v>
      </c>
      <c r="I54" s="109"/>
      <c r="J54" s="99">
        <f>+G54+I54*$C54</f>
        <v>0</v>
      </c>
      <c r="K54" s="108">
        <v>0</v>
      </c>
      <c r="L54" s="100">
        <f>J54-K54</f>
        <v>0</v>
      </c>
      <c r="M54" s="109">
        <v>0</v>
      </c>
      <c r="N54" s="99">
        <f>+K54+M54*$C54</f>
        <v>0</v>
      </c>
      <c r="O54" s="108">
        <f>12+8</f>
        <v>20</v>
      </c>
      <c r="P54" s="100">
        <v>0</v>
      </c>
      <c r="Q54" s="109"/>
      <c r="R54" s="99">
        <f>+O54+Q54*$C54</f>
        <v>20</v>
      </c>
      <c r="S54" s="108">
        <v>18</v>
      </c>
      <c r="T54" s="100">
        <f>R54-S54</f>
        <v>2</v>
      </c>
      <c r="U54" s="109"/>
      <c r="V54" s="99">
        <f>+S54+U54*$C54</f>
        <v>18</v>
      </c>
      <c r="W54" s="108">
        <v>18</v>
      </c>
      <c r="X54" s="100">
        <f t="shared" si="48"/>
        <v>0</v>
      </c>
      <c r="Y54" s="109">
        <v>0</v>
      </c>
      <c r="Z54" s="99">
        <f>+W54+Y54*$C54</f>
        <v>18</v>
      </c>
      <c r="AA54" s="108">
        <v>15</v>
      </c>
      <c r="AB54" s="100">
        <f>Z54-AA54</f>
        <v>3</v>
      </c>
      <c r="AC54" s="109">
        <v>0</v>
      </c>
      <c r="AD54" s="99">
        <f>+AA54+AC54*$C54</f>
        <v>15</v>
      </c>
      <c r="AE54" s="108">
        <v>9</v>
      </c>
      <c r="AF54" s="100">
        <f>AD54-AE54</f>
        <v>6</v>
      </c>
      <c r="AG54" s="109"/>
      <c r="AH54" s="99">
        <f>+AE54+AG54*$C54</f>
        <v>9</v>
      </c>
      <c r="AI54" s="108">
        <v>8</v>
      </c>
      <c r="AJ54" s="100">
        <f>AH54-AI54</f>
        <v>1</v>
      </c>
      <c r="AK54" s="109"/>
      <c r="AL54" s="99">
        <f>+AI54+AK54*$C54</f>
        <v>8</v>
      </c>
      <c r="AM54" s="108">
        <v>4</v>
      </c>
      <c r="AN54" s="100">
        <f>AL54-AM54</f>
        <v>4</v>
      </c>
      <c r="AO54" s="109">
        <v>1</v>
      </c>
      <c r="AP54" s="99">
        <f>+AM54+AO54*$C54</f>
        <v>16</v>
      </c>
      <c r="AQ54" s="108">
        <v>13</v>
      </c>
      <c r="AR54" s="100">
        <f>AP54-AQ54</f>
        <v>3</v>
      </c>
      <c r="AS54" s="109"/>
      <c r="AT54" s="99">
        <f>+AQ54+AS54*$C54</f>
        <v>13</v>
      </c>
      <c r="AU54" s="108">
        <v>10</v>
      </c>
      <c r="AV54" s="100">
        <f>AT54-AU54</f>
        <v>3</v>
      </c>
      <c r="AW54" s="109"/>
      <c r="AX54" s="99">
        <f>+AU54+AW54*$C54</f>
        <v>10</v>
      </c>
      <c r="AY54" s="108">
        <v>6</v>
      </c>
      <c r="AZ54" s="100">
        <f>AX54-AY54</f>
        <v>4</v>
      </c>
      <c r="BA54" s="109">
        <v>1</v>
      </c>
      <c r="BB54" s="99">
        <f>+AY54+BA54*$C54</f>
        <v>18</v>
      </c>
      <c r="BC54" s="108">
        <v>14</v>
      </c>
      <c r="BD54" s="100">
        <f>BB54-BC54</f>
        <v>4</v>
      </c>
      <c r="BE54" s="109">
        <v>1</v>
      </c>
      <c r="BF54" s="99">
        <f>+BC54+BE54*$C54</f>
        <v>26</v>
      </c>
      <c r="BG54" s="108">
        <v>14</v>
      </c>
      <c r="BH54" s="100">
        <f>BF54-BG54</f>
        <v>12</v>
      </c>
      <c r="BI54" s="109">
        <v>1</v>
      </c>
      <c r="BJ54" s="99">
        <f>+BG54+BI54*$C54</f>
        <v>26</v>
      </c>
      <c r="BK54" s="108">
        <v>22</v>
      </c>
      <c r="BL54" s="100">
        <f t="shared" si="5"/>
        <v>4</v>
      </c>
      <c r="BM54" s="109"/>
      <c r="BN54" s="99">
        <f>+BK54+BM54*$C54</f>
        <v>22</v>
      </c>
      <c r="BO54" s="108">
        <v>16</v>
      </c>
      <c r="BP54" s="100">
        <f>BN54-BO54</f>
        <v>6</v>
      </c>
      <c r="BQ54" s="109"/>
      <c r="BR54" s="99">
        <f>+BO54+BQ54*$C54</f>
        <v>16</v>
      </c>
      <c r="BS54" s="108">
        <v>16</v>
      </c>
      <c r="BT54" s="100">
        <f t="shared" si="6"/>
        <v>0</v>
      </c>
      <c r="BU54" s="109"/>
      <c r="BV54" s="99">
        <f>+BS54+BU54*$C54</f>
        <v>16</v>
      </c>
      <c r="BW54" s="108"/>
      <c r="BX54" s="100">
        <f t="shared" si="7"/>
        <v>16</v>
      </c>
      <c r="BY54" s="109"/>
      <c r="BZ54" s="99">
        <f>+BW54+BY54*$C54</f>
        <v>0</v>
      </c>
      <c r="CA54" s="108"/>
      <c r="CB54" s="100">
        <f t="shared" si="8"/>
        <v>0</v>
      </c>
      <c r="CC54" s="109"/>
      <c r="CD54" s="99">
        <f>+CA54+CC54*$C54</f>
        <v>0</v>
      </c>
      <c r="CE54" s="108"/>
      <c r="CF54" s="100">
        <f t="shared" si="9"/>
        <v>0</v>
      </c>
      <c r="CG54" s="109"/>
      <c r="CH54" s="99">
        <f>+CE54+CG54*$C54</f>
        <v>0</v>
      </c>
      <c r="CI54" s="108"/>
      <c r="CJ54" s="100">
        <f t="shared" si="10"/>
        <v>0</v>
      </c>
      <c r="CK54" s="109"/>
      <c r="CL54" s="99">
        <f>+CI54+CK54*$C54</f>
        <v>0</v>
      </c>
      <c r="CM54" s="108"/>
      <c r="CN54" s="100">
        <f t="shared" si="11"/>
        <v>0</v>
      </c>
      <c r="CO54" s="109"/>
      <c r="CP54" s="99">
        <f>+CM54+CO54*$C54</f>
        <v>0</v>
      </c>
      <c r="CQ54" s="108"/>
      <c r="CR54" s="100">
        <f t="shared" si="12"/>
        <v>0</v>
      </c>
      <c r="CS54" s="109"/>
      <c r="CT54" s="99">
        <f>+CQ54+CS54*$C54</f>
        <v>0</v>
      </c>
      <c r="CU54" s="108"/>
      <c r="CV54" s="100">
        <f t="shared" si="13"/>
        <v>0</v>
      </c>
      <c r="CW54" s="109"/>
      <c r="CX54" s="99">
        <f>+CU54+CW54*$C54</f>
        <v>0</v>
      </c>
    </row>
    <row r="55" spans="1:102" ht="20.100000000000001" hidden="1" customHeight="1" x14ac:dyDescent="0.25">
      <c r="A55" s="154" t="s">
        <v>204</v>
      </c>
      <c r="B55" s="156" t="s">
        <v>195</v>
      </c>
      <c r="C55" s="96">
        <v>24</v>
      </c>
      <c r="D55" s="97">
        <v>37</v>
      </c>
      <c r="E55" s="101">
        <v>1</v>
      </c>
      <c r="F55" s="99">
        <f t="shared" si="47"/>
        <v>61</v>
      </c>
      <c r="G55" s="97">
        <v>20</v>
      </c>
      <c r="H55" s="100">
        <f t="shared" si="1"/>
        <v>41</v>
      </c>
      <c r="I55" s="101">
        <v>2</v>
      </c>
      <c r="J55" s="99">
        <f t="shared" si="2"/>
        <v>68</v>
      </c>
      <c r="K55" s="97">
        <v>35</v>
      </c>
      <c r="L55" s="100">
        <f t="shared" si="3"/>
        <v>33</v>
      </c>
      <c r="M55" s="101">
        <v>1</v>
      </c>
      <c r="N55" s="99">
        <f t="shared" si="4"/>
        <v>59</v>
      </c>
      <c r="O55" s="97">
        <v>32</v>
      </c>
      <c r="P55" s="100">
        <v>41</v>
      </c>
      <c r="Q55" s="98"/>
      <c r="R55" s="99">
        <f t="shared" ref="R55:R61" si="49">+O55+Q55*$C55</f>
        <v>32</v>
      </c>
      <c r="S55" s="97"/>
      <c r="T55" s="100">
        <f t="shared" ref="T55:T61" si="50">R55-S55</f>
        <v>32</v>
      </c>
      <c r="U55" s="98">
        <v>2</v>
      </c>
      <c r="V55" s="99">
        <f t="shared" ref="V55:V61" si="51">+S55+U55*$C55</f>
        <v>48</v>
      </c>
      <c r="W55" s="97">
        <v>0</v>
      </c>
      <c r="X55" s="100">
        <f t="shared" si="48"/>
        <v>48</v>
      </c>
      <c r="Y55" s="98">
        <v>4</v>
      </c>
      <c r="Z55" s="99">
        <f t="shared" ref="Z55:Z61" si="52">+W55+Y55*$C55</f>
        <v>96</v>
      </c>
      <c r="AA55" s="97">
        <v>30</v>
      </c>
      <c r="AB55" s="100">
        <f t="shared" ref="AB55:AB61" si="53">Z55-AA55</f>
        <v>66</v>
      </c>
      <c r="AC55" s="98">
        <v>0</v>
      </c>
      <c r="AD55" s="99">
        <f t="shared" ref="AD55:AD61" si="54">+AA55+AC55*$C55</f>
        <v>30</v>
      </c>
      <c r="AE55" s="97">
        <v>6</v>
      </c>
      <c r="AF55" s="100">
        <f t="shared" ref="AF55:AF61" si="55">AD55-AE55</f>
        <v>24</v>
      </c>
      <c r="AG55" s="101">
        <v>2</v>
      </c>
      <c r="AH55" s="99">
        <f t="shared" ref="AH55:AH61" si="56">+AE55+AG55*$C55</f>
        <v>54</v>
      </c>
      <c r="AI55" s="97">
        <f>24+16</f>
        <v>40</v>
      </c>
      <c r="AJ55" s="100">
        <f t="shared" ref="AJ55:AJ61" si="57">AH55-AI55</f>
        <v>14</v>
      </c>
      <c r="AK55" s="98"/>
      <c r="AL55" s="99">
        <f t="shared" ref="AL55:AL61" si="58">+AI55+AK55*$C55</f>
        <v>40</v>
      </c>
      <c r="AM55" s="97">
        <v>19</v>
      </c>
      <c r="AN55" s="100">
        <f t="shared" ref="AN55:AN61" si="59">AL55-AM55</f>
        <v>21</v>
      </c>
      <c r="AO55" s="98">
        <v>1</v>
      </c>
      <c r="AP55" s="99">
        <f t="shared" ref="AP55:AP61" si="60">+AM55+AO55*$C55</f>
        <v>43</v>
      </c>
      <c r="AQ55" s="97">
        <v>0</v>
      </c>
      <c r="AR55" s="100">
        <f t="shared" ref="AR55:AR61" si="61">AP55-AQ55</f>
        <v>43</v>
      </c>
      <c r="AS55" s="98">
        <v>3</v>
      </c>
      <c r="AT55" s="99">
        <f t="shared" ref="AT55:AT61" si="62">+AQ55+AS55*$C55</f>
        <v>72</v>
      </c>
      <c r="AU55" s="97">
        <v>56</v>
      </c>
      <c r="AV55" s="100">
        <f t="shared" ref="AV55:AV61" si="63">AT55-AU55</f>
        <v>16</v>
      </c>
      <c r="AW55" s="98"/>
      <c r="AX55" s="99">
        <f t="shared" ref="AX55:AX61" si="64">+AU55+AW55*$C55</f>
        <v>56</v>
      </c>
      <c r="AY55" s="97">
        <f>24+9</f>
        <v>33</v>
      </c>
      <c r="AZ55" s="100">
        <f t="shared" ref="AZ55:AZ61" si="65">AX55-AY55</f>
        <v>23</v>
      </c>
      <c r="BA55" s="98">
        <v>1</v>
      </c>
      <c r="BB55" s="99">
        <f t="shared" ref="BB55:BB61" si="66">+AY55+BA55*$C55</f>
        <v>57</v>
      </c>
      <c r="BC55" s="97">
        <v>7</v>
      </c>
      <c r="BD55" s="100">
        <f t="shared" ref="BD55:BD61" si="67">BB55-BC55</f>
        <v>50</v>
      </c>
      <c r="BE55" s="98">
        <v>2</v>
      </c>
      <c r="BF55" s="99">
        <f t="shared" ref="BF55:BF61" si="68">+BC55+BE55*$C55</f>
        <v>55</v>
      </c>
      <c r="BG55" s="97">
        <f>24+8</f>
        <v>32</v>
      </c>
      <c r="BH55" s="100">
        <f t="shared" ref="BH55:BH61" si="69">BF55-BG55</f>
        <v>23</v>
      </c>
      <c r="BI55" s="98">
        <v>1</v>
      </c>
      <c r="BJ55" s="99">
        <f t="shared" ref="BJ55:BJ61" si="70">+BG55+BI55*$C55</f>
        <v>56</v>
      </c>
      <c r="BK55" s="97">
        <v>38</v>
      </c>
      <c r="BL55" s="100">
        <f t="shared" si="5"/>
        <v>18</v>
      </c>
      <c r="BM55" s="98">
        <v>1</v>
      </c>
      <c r="BN55" s="99">
        <f t="shared" ref="BN55:BN61" si="71">+BK55+BM55*$C55</f>
        <v>62</v>
      </c>
      <c r="BO55" s="97">
        <v>21</v>
      </c>
      <c r="BP55" s="100">
        <f t="shared" ref="BP55:BP61" si="72">BN55-BO55</f>
        <v>41</v>
      </c>
      <c r="BQ55" s="98">
        <v>2</v>
      </c>
      <c r="BR55" s="99">
        <f t="shared" ref="BR55:BR61" si="73">+BO55+BQ55*$C55</f>
        <v>69</v>
      </c>
      <c r="BS55" s="97">
        <v>54</v>
      </c>
      <c r="BT55" s="100">
        <f t="shared" si="6"/>
        <v>15</v>
      </c>
      <c r="BU55" s="98"/>
      <c r="BV55" s="99">
        <f t="shared" ref="BV55:BV61" si="74">+BS55+BU55*$C55</f>
        <v>54</v>
      </c>
      <c r="BW55" s="97"/>
      <c r="BX55" s="100">
        <f t="shared" si="7"/>
        <v>54</v>
      </c>
      <c r="BY55" s="98"/>
      <c r="BZ55" s="99">
        <f t="shared" ref="BZ55:BZ61" si="75">+BW55+BY55*$C55</f>
        <v>0</v>
      </c>
      <c r="CA55" s="97"/>
      <c r="CB55" s="100">
        <f t="shared" si="8"/>
        <v>0</v>
      </c>
      <c r="CC55" s="98"/>
      <c r="CD55" s="99">
        <f t="shared" ref="CD55:CD61" si="76">+CA55+CC55*$C55</f>
        <v>0</v>
      </c>
      <c r="CE55" s="97"/>
      <c r="CF55" s="100">
        <f t="shared" si="9"/>
        <v>0</v>
      </c>
      <c r="CG55" s="98"/>
      <c r="CH55" s="99">
        <f t="shared" ref="CH55:CH61" si="77">+CE55+CG55*$C55</f>
        <v>0</v>
      </c>
      <c r="CI55" s="97"/>
      <c r="CJ55" s="100">
        <f t="shared" si="10"/>
        <v>0</v>
      </c>
      <c r="CK55" s="98"/>
      <c r="CL55" s="99">
        <f t="shared" ref="CL55:CL61" si="78">+CI55+CK55*$C55</f>
        <v>0</v>
      </c>
      <c r="CM55" s="97"/>
      <c r="CN55" s="100">
        <f t="shared" si="11"/>
        <v>0</v>
      </c>
      <c r="CO55" s="98"/>
      <c r="CP55" s="99">
        <f t="shared" ref="CP55:CP61" si="79">+CM55+CO55*$C55</f>
        <v>0</v>
      </c>
      <c r="CQ55" s="97"/>
      <c r="CR55" s="100">
        <f t="shared" si="12"/>
        <v>0</v>
      </c>
      <c r="CS55" s="98"/>
      <c r="CT55" s="99">
        <f t="shared" ref="CT55:CT61" si="80">+CQ55+CS55*$C55</f>
        <v>0</v>
      </c>
      <c r="CU55" s="97"/>
      <c r="CV55" s="100">
        <f t="shared" si="13"/>
        <v>0</v>
      </c>
      <c r="CW55" s="98"/>
      <c r="CX55" s="99">
        <f t="shared" ref="CX55:CX61" si="81">+CU55+CW55*$C55</f>
        <v>0</v>
      </c>
    </row>
    <row r="56" spans="1:102" ht="20.100000000000001" customHeight="1" thickBot="1" x14ac:dyDescent="0.3">
      <c r="A56" s="154" t="s">
        <v>205</v>
      </c>
      <c r="B56" s="156" t="s">
        <v>195</v>
      </c>
      <c r="C56" s="96">
        <v>12</v>
      </c>
      <c r="D56" s="97">
        <v>7</v>
      </c>
      <c r="E56" s="101">
        <v>3</v>
      </c>
      <c r="F56" s="99">
        <f t="shared" si="47"/>
        <v>43</v>
      </c>
      <c r="G56" s="97">
        <v>21</v>
      </c>
      <c r="H56" s="100">
        <f t="shared" si="1"/>
        <v>22</v>
      </c>
      <c r="I56" s="101">
        <v>2</v>
      </c>
      <c r="J56" s="99">
        <f t="shared" si="2"/>
        <v>45</v>
      </c>
      <c r="K56" s="97">
        <v>26</v>
      </c>
      <c r="L56" s="100">
        <f t="shared" si="3"/>
        <v>19</v>
      </c>
      <c r="M56" s="101">
        <v>1</v>
      </c>
      <c r="N56" s="99">
        <f t="shared" si="4"/>
        <v>38</v>
      </c>
      <c r="O56" s="97">
        <v>17</v>
      </c>
      <c r="P56" s="100">
        <v>19</v>
      </c>
      <c r="Q56" s="98">
        <v>2</v>
      </c>
      <c r="R56" s="99">
        <f t="shared" si="49"/>
        <v>41</v>
      </c>
      <c r="S56" s="97">
        <v>22</v>
      </c>
      <c r="T56" s="100">
        <f t="shared" si="50"/>
        <v>19</v>
      </c>
      <c r="U56" s="98">
        <v>1</v>
      </c>
      <c r="V56" s="99">
        <f t="shared" si="51"/>
        <v>34</v>
      </c>
      <c r="W56" s="97">
        <v>13</v>
      </c>
      <c r="X56" s="100">
        <f t="shared" si="48"/>
        <v>21</v>
      </c>
      <c r="Y56" s="98">
        <v>2</v>
      </c>
      <c r="Z56" s="99">
        <f t="shared" si="52"/>
        <v>37</v>
      </c>
      <c r="AA56" s="97">
        <v>8</v>
      </c>
      <c r="AB56" s="100">
        <f t="shared" si="53"/>
        <v>29</v>
      </c>
      <c r="AC56" s="98">
        <v>3</v>
      </c>
      <c r="AD56" s="99">
        <f t="shared" si="54"/>
        <v>44</v>
      </c>
      <c r="AE56" s="97">
        <v>9</v>
      </c>
      <c r="AF56" s="100">
        <f t="shared" si="55"/>
        <v>35</v>
      </c>
      <c r="AG56" s="101">
        <v>3</v>
      </c>
      <c r="AH56" s="99">
        <f t="shared" si="56"/>
        <v>45</v>
      </c>
      <c r="AI56" s="97">
        <v>30</v>
      </c>
      <c r="AJ56" s="100">
        <f t="shared" si="57"/>
        <v>15</v>
      </c>
      <c r="AK56" s="101">
        <v>1</v>
      </c>
      <c r="AL56" s="99">
        <f t="shared" si="58"/>
        <v>42</v>
      </c>
      <c r="AM56" s="97">
        <v>4</v>
      </c>
      <c r="AN56" s="100">
        <f t="shared" si="59"/>
        <v>38</v>
      </c>
      <c r="AO56" s="98">
        <v>5</v>
      </c>
      <c r="AP56" s="99">
        <f t="shared" si="60"/>
        <v>64</v>
      </c>
      <c r="AQ56" s="97">
        <v>36</v>
      </c>
      <c r="AR56" s="100">
        <f t="shared" si="61"/>
        <v>28</v>
      </c>
      <c r="AS56" s="98">
        <v>2</v>
      </c>
      <c r="AT56" s="99">
        <f t="shared" si="62"/>
        <v>60</v>
      </c>
      <c r="AU56" s="97">
        <v>28</v>
      </c>
      <c r="AV56" s="100">
        <f t="shared" si="63"/>
        <v>32</v>
      </c>
      <c r="AW56" s="98">
        <v>3</v>
      </c>
      <c r="AX56" s="99">
        <f t="shared" si="64"/>
        <v>64</v>
      </c>
      <c r="AY56" s="97">
        <f>12+12+10</f>
        <v>34</v>
      </c>
      <c r="AZ56" s="100">
        <f t="shared" si="65"/>
        <v>30</v>
      </c>
      <c r="BA56" s="98">
        <v>1</v>
      </c>
      <c r="BB56" s="99">
        <f t="shared" si="66"/>
        <v>46</v>
      </c>
      <c r="BC56" s="97">
        <v>6</v>
      </c>
      <c r="BD56" s="100">
        <f t="shared" si="67"/>
        <v>40</v>
      </c>
      <c r="BE56" s="98">
        <v>4</v>
      </c>
      <c r="BF56" s="99">
        <f t="shared" si="68"/>
        <v>54</v>
      </c>
      <c r="BG56" s="97">
        <v>19</v>
      </c>
      <c r="BH56" s="100">
        <f t="shared" si="69"/>
        <v>35</v>
      </c>
      <c r="BI56" s="98">
        <v>3</v>
      </c>
      <c r="BJ56" s="99">
        <f t="shared" si="70"/>
        <v>55</v>
      </c>
      <c r="BK56" s="97">
        <v>45</v>
      </c>
      <c r="BL56" s="100">
        <f t="shared" si="5"/>
        <v>10</v>
      </c>
      <c r="BM56" s="98">
        <v>2</v>
      </c>
      <c r="BN56" s="99">
        <f t="shared" si="71"/>
        <v>69</v>
      </c>
      <c r="BO56" s="97">
        <v>40</v>
      </c>
      <c r="BP56" s="100">
        <f t="shared" si="72"/>
        <v>29</v>
      </c>
      <c r="BQ56" s="98">
        <v>1</v>
      </c>
      <c r="BR56" s="99">
        <f t="shared" si="73"/>
        <v>52</v>
      </c>
      <c r="BS56" s="97">
        <v>26</v>
      </c>
      <c r="BT56" s="100">
        <f t="shared" si="6"/>
        <v>26</v>
      </c>
      <c r="BU56" s="98">
        <v>3</v>
      </c>
      <c r="BV56" s="99">
        <f t="shared" si="74"/>
        <v>62</v>
      </c>
      <c r="BW56" s="97"/>
      <c r="BX56" s="100">
        <f t="shared" si="7"/>
        <v>62</v>
      </c>
      <c r="BY56" s="98"/>
      <c r="BZ56" s="99">
        <f t="shared" si="75"/>
        <v>0</v>
      </c>
      <c r="CA56" s="97"/>
      <c r="CB56" s="100">
        <f t="shared" si="8"/>
        <v>0</v>
      </c>
      <c r="CC56" s="98"/>
      <c r="CD56" s="99">
        <f t="shared" si="76"/>
        <v>0</v>
      </c>
      <c r="CE56" s="97"/>
      <c r="CF56" s="100">
        <f t="shared" si="9"/>
        <v>0</v>
      </c>
      <c r="CG56" s="98"/>
      <c r="CH56" s="99">
        <f t="shared" si="77"/>
        <v>0</v>
      </c>
      <c r="CI56" s="97"/>
      <c r="CJ56" s="100">
        <f t="shared" si="10"/>
        <v>0</v>
      </c>
      <c r="CK56" s="98"/>
      <c r="CL56" s="99">
        <f t="shared" si="78"/>
        <v>0</v>
      </c>
      <c r="CM56" s="97"/>
      <c r="CN56" s="100">
        <f t="shared" si="11"/>
        <v>0</v>
      </c>
      <c r="CO56" s="98"/>
      <c r="CP56" s="99">
        <f t="shared" si="79"/>
        <v>0</v>
      </c>
      <c r="CQ56" s="97"/>
      <c r="CR56" s="100">
        <f t="shared" si="12"/>
        <v>0</v>
      </c>
      <c r="CS56" s="98"/>
      <c r="CT56" s="99">
        <f t="shared" si="80"/>
        <v>0</v>
      </c>
      <c r="CU56" s="97"/>
      <c r="CV56" s="100">
        <f t="shared" si="13"/>
        <v>0</v>
      </c>
      <c r="CW56" s="98"/>
      <c r="CX56" s="99">
        <f t="shared" si="81"/>
        <v>0</v>
      </c>
    </row>
    <row r="57" spans="1:102" ht="20.100000000000001" hidden="1" customHeight="1" x14ac:dyDescent="0.25">
      <c r="A57" s="154" t="s">
        <v>206</v>
      </c>
      <c r="B57" s="156" t="s">
        <v>195</v>
      </c>
      <c r="C57" s="96">
        <v>20</v>
      </c>
      <c r="D57" s="97">
        <v>4</v>
      </c>
      <c r="E57" s="101">
        <v>3</v>
      </c>
      <c r="F57" s="99">
        <f t="shared" si="47"/>
        <v>64</v>
      </c>
      <c r="G57" s="97">
        <v>39</v>
      </c>
      <c r="H57" s="100">
        <f t="shared" si="1"/>
        <v>25</v>
      </c>
      <c r="I57" s="101">
        <v>1</v>
      </c>
      <c r="J57" s="99">
        <f t="shared" si="2"/>
        <v>59</v>
      </c>
      <c r="K57" s="97">
        <v>25</v>
      </c>
      <c r="L57" s="100">
        <f t="shared" si="3"/>
        <v>34</v>
      </c>
      <c r="M57" s="101">
        <v>2</v>
      </c>
      <c r="N57" s="99">
        <f t="shared" si="4"/>
        <v>65</v>
      </c>
      <c r="O57" s="97">
        <f>5*20+13</f>
        <v>113</v>
      </c>
      <c r="P57" s="100">
        <v>31</v>
      </c>
      <c r="Q57" s="98"/>
      <c r="R57" s="99">
        <f t="shared" si="49"/>
        <v>113</v>
      </c>
      <c r="S57" s="97">
        <v>88</v>
      </c>
      <c r="T57" s="100">
        <f t="shared" si="50"/>
        <v>25</v>
      </c>
      <c r="U57" s="98"/>
      <c r="V57" s="99">
        <f t="shared" si="51"/>
        <v>88</v>
      </c>
      <c r="W57" s="97">
        <v>50</v>
      </c>
      <c r="X57" s="100">
        <f t="shared" si="48"/>
        <v>38</v>
      </c>
      <c r="Y57" s="98">
        <v>2</v>
      </c>
      <c r="Z57" s="99">
        <f t="shared" si="52"/>
        <v>90</v>
      </c>
      <c r="AA57" s="97">
        <v>51</v>
      </c>
      <c r="AB57" s="100">
        <f t="shared" si="53"/>
        <v>39</v>
      </c>
      <c r="AC57" s="98">
        <v>0</v>
      </c>
      <c r="AD57" s="99">
        <f t="shared" si="54"/>
        <v>51</v>
      </c>
      <c r="AE57" s="97">
        <v>19</v>
      </c>
      <c r="AF57" s="100">
        <f t="shared" si="55"/>
        <v>32</v>
      </c>
      <c r="AG57" s="101">
        <v>2</v>
      </c>
      <c r="AH57" s="99">
        <f t="shared" si="56"/>
        <v>59</v>
      </c>
      <c r="AI57" s="97">
        <v>32</v>
      </c>
      <c r="AJ57" s="100">
        <f t="shared" si="57"/>
        <v>27</v>
      </c>
      <c r="AK57" s="98">
        <v>2</v>
      </c>
      <c r="AL57" s="99">
        <f t="shared" si="58"/>
        <v>72</v>
      </c>
      <c r="AM57" s="97">
        <v>42</v>
      </c>
      <c r="AN57" s="100">
        <f t="shared" si="59"/>
        <v>30</v>
      </c>
      <c r="AO57" s="98">
        <v>1</v>
      </c>
      <c r="AP57" s="99">
        <f t="shared" si="60"/>
        <v>62</v>
      </c>
      <c r="AQ57" s="97">
        <v>19</v>
      </c>
      <c r="AR57" s="100">
        <f t="shared" si="61"/>
        <v>43</v>
      </c>
      <c r="AS57" s="98">
        <v>2</v>
      </c>
      <c r="AT57" s="99">
        <f t="shared" si="62"/>
        <v>59</v>
      </c>
      <c r="AU57" s="97">
        <v>29</v>
      </c>
      <c r="AV57" s="100">
        <f t="shared" si="63"/>
        <v>30</v>
      </c>
      <c r="AW57" s="98">
        <v>2</v>
      </c>
      <c r="AX57" s="99">
        <f t="shared" si="64"/>
        <v>69</v>
      </c>
      <c r="AY57" s="97">
        <v>41</v>
      </c>
      <c r="AZ57" s="100">
        <f t="shared" si="65"/>
        <v>28</v>
      </c>
      <c r="BA57" s="98">
        <v>1</v>
      </c>
      <c r="BB57" s="99">
        <f t="shared" si="66"/>
        <v>61</v>
      </c>
      <c r="BC57" s="97">
        <v>39</v>
      </c>
      <c r="BD57" s="100">
        <f t="shared" si="67"/>
        <v>22</v>
      </c>
      <c r="BE57" s="98">
        <v>2</v>
      </c>
      <c r="BF57" s="99">
        <f t="shared" si="68"/>
        <v>79</v>
      </c>
      <c r="BG57" s="97">
        <v>46</v>
      </c>
      <c r="BH57" s="100">
        <f t="shared" si="69"/>
        <v>33</v>
      </c>
      <c r="BI57" s="98">
        <v>1</v>
      </c>
      <c r="BJ57" s="99">
        <f t="shared" si="70"/>
        <v>66</v>
      </c>
      <c r="BK57" s="97">
        <v>24</v>
      </c>
      <c r="BL57" s="100">
        <f t="shared" si="5"/>
        <v>42</v>
      </c>
      <c r="BM57" s="98">
        <v>2</v>
      </c>
      <c r="BN57" s="99">
        <f t="shared" si="71"/>
        <v>64</v>
      </c>
      <c r="BO57" s="97">
        <f>20+14</f>
        <v>34</v>
      </c>
      <c r="BP57" s="100">
        <f t="shared" si="72"/>
        <v>30</v>
      </c>
      <c r="BQ57" s="98">
        <v>1</v>
      </c>
      <c r="BR57" s="99">
        <f t="shared" si="73"/>
        <v>54</v>
      </c>
      <c r="BS57" s="97">
        <v>39</v>
      </c>
      <c r="BT57" s="100">
        <f t="shared" si="6"/>
        <v>15</v>
      </c>
      <c r="BU57" s="98"/>
      <c r="BV57" s="99">
        <f t="shared" si="74"/>
        <v>39</v>
      </c>
      <c r="BW57" s="97"/>
      <c r="BX57" s="100">
        <f t="shared" si="7"/>
        <v>39</v>
      </c>
      <c r="BY57" s="98"/>
      <c r="BZ57" s="99">
        <f t="shared" si="75"/>
        <v>0</v>
      </c>
      <c r="CA57" s="97"/>
      <c r="CB57" s="100">
        <f t="shared" si="8"/>
        <v>0</v>
      </c>
      <c r="CC57" s="98"/>
      <c r="CD57" s="99">
        <f t="shared" si="76"/>
        <v>0</v>
      </c>
      <c r="CE57" s="97"/>
      <c r="CF57" s="100">
        <f t="shared" si="9"/>
        <v>0</v>
      </c>
      <c r="CG57" s="98"/>
      <c r="CH57" s="99">
        <f t="shared" si="77"/>
        <v>0</v>
      </c>
      <c r="CI57" s="97"/>
      <c r="CJ57" s="100">
        <f t="shared" si="10"/>
        <v>0</v>
      </c>
      <c r="CK57" s="98"/>
      <c r="CL57" s="99">
        <f t="shared" si="78"/>
        <v>0</v>
      </c>
      <c r="CM57" s="97"/>
      <c r="CN57" s="100">
        <f t="shared" si="11"/>
        <v>0</v>
      </c>
      <c r="CO57" s="98"/>
      <c r="CP57" s="99">
        <f t="shared" si="79"/>
        <v>0</v>
      </c>
      <c r="CQ57" s="97"/>
      <c r="CR57" s="100">
        <f t="shared" si="12"/>
        <v>0</v>
      </c>
      <c r="CS57" s="98"/>
      <c r="CT57" s="99">
        <f t="shared" si="80"/>
        <v>0</v>
      </c>
      <c r="CU57" s="97"/>
      <c r="CV57" s="100">
        <f t="shared" si="13"/>
        <v>0</v>
      </c>
      <c r="CW57" s="98"/>
      <c r="CX57" s="99">
        <f t="shared" si="81"/>
        <v>0</v>
      </c>
    </row>
    <row r="58" spans="1:102" ht="20.100000000000001" hidden="1" customHeight="1" x14ac:dyDescent="0.25">
      <c r="A58" s="154" t="s">
        <v>207</v>
      </c>
      <c r="B58" s="156" t="s">
        <v>195</v>
      </c>
      <c r="C58" s="96">
        <v>12</v>
      </c>
      <c r="D58" s="97">
        <v>20</v>
      </c>
      <c r="E58" s="98"/>
      <c r="F58" s="99">
        <f t="shared" si="47"/>
        <v>20</v>
      </c>
      <c r="G58" s="97">
        <v>19</v>
      </c>
      <c r="H58" s="100">
        <f t="shared" si="1"/>
        <v>1</v>
      </c>
      <c r="I58" s="98"/>
      <c r="J58" s="99">
        <f t="shared" si="2"/>
        <v>19</v>
      </c>
      <c r="K58" s="97">
        <v>8</v>
      </c>
      <c r="L58" s="100">
        <f t="shared" si="3"/>
        <v>11</v>
      </c>
      <c r="M58" s="101">
        <v>1</v>
      </c>
      <c r="N58" s="99">
        <f t="shared" si="4"/>
        <v>20</v>
      </c>
      <c r="O58" s="97">
        <f>3*12+9</f>
        <v>45</v>
      </c>
      <c r="P58" s="100">
        <v>1</v>
      </c>
      <c r="Q58" s="98"/>
      <c r="R58" s="99">
        <f t="shared" si="49"/>
        <v>45</v>
      </c>
      <c r="S58" s="97">
        <v>33</v>
      </c>
      <c r="T58" s="100">
        <f t="shared" si="50"/>
        <v>12</v>
      </c>
      <c r="U58" s="98"/>
      <c r="V58" s="99">
        <f t="shared" si="51"/>
        <v>33</v>
      </c>
      <c r="W58" s="97">
        <v>32</v>
      </c>
      <c r="X58" s="100">
        <f t="shared" si="48"/>
        <v>1</v>
      </c>
      <c r="Y58" s="98">
        <v>0</v>
      </c>
      <c r="Z58" s="99">
        <f t="shared" si="52"/>
        <v>32</v>
      </c>
      <c r="AA58" s="97">
        <v>27</v>
      </c>
      <c r="AB58" s="100">
        <f t="shared" si="53"/>
        <v>5</v>
      </c>
      <c r="AC58" s="98">
        <v>0</v>
      </c>
      <c r="AD58" s="99">
        <f t="shared" si="54"/>
        <v>27</v>
      </c>
      <c r="AE58" s="97">
        <v>23</v>
      </c>
      <c r="AF58" s="100">
        <f t="shared" si="55"/>
        <v>4</v>
      </c>
      <c r="AG58" s="98"/>
      <c r="AH58" s="99">
        <f t="shared" si="56"/>
        <v>23</v>
      </c>
      <c r="AI58" s="97">
        <v>23</v>
      </c>
      <c r="AJ58" s="100">
        <f t="shared" si="57"/>
        <v>0</v>
      </c>
      <c r="AK58" s="98"/>
      <c r="AL58" s="99">
        <f t="shared" si="58"/>
        <v>23</v>
      </c>
      <c r="AM58" s="97">
        <v>21</v>
      </c>
      <c r="AN58" s="100">
        <f t="shared" si="59"/>
        <v>2</v>
      </c>
      <c r="AO58" s="98"/>
      <c r="AP58" s="99">
        <f t="shared" si="60"/>
        <v>21</v>
      </c>
      <c r="AQ58" s="97">
        <v>19</v>
      </c>
      <c r="AR58" s="100">
        <f t="shared" si="61"/>
        <v>2</v>
      </c>
      <c r="AS58" s="98"/>
      <c r="AT58" s="99">
        <f t="shared" si="62"/>
        <v>19</v>
      </c>
      <c r="AU58" s="97">
        <v>14</v>
      </c>
      <c r="AV58" s="100">
        <f t="shared" si="63"/>
        <v>5</v>
      </c>
      <c r="AW58" s="98"/>
      <c r="AX58" s="99">
        <f t="shared" si="64"/>
        <v>14</v>
      </c>
      <c r="AY58" s="97">
        <v>5</v>
      </c>
      <c r="AZ58" s="100">
        <f t="shared" si="65"/>
        <v>9</v>
      </c>
      <c r="BA58" s="98">
        <v>1</v>
      </c>
      <c r="BB58" s="99">
        <f t="shared" si="66"/>
        <v>17</v>
      </c>
      <c r="BC58" s="97">
        <v>13</v>
      </c>
      <c r="BD58" s="100">
        <f t="shared" si="67"/>
        <v>4</v>
      </c>
      <c r="BE58" s="98">
        <v>1</v>
      </c>
      <c r="BF58" s="99">
        <f t="shared" si="68"/>
        <v>25</v>
      </c>
      <c r="BG58" s="97">
        <v>24</v>
      </c>
      <c r="BH58" s="100">
        <f t="shared" si="69"/>
        <v>1</v>
      </c>
      <c r="BI58" s="98"/>
      <c r="BJ58" s="99">
        <f t="shared" si="70"/>
        <v>24</v>
      </c>
      <c r="BK58" s="97">
        <v>20</v>
      </c>
      <c r="BL58" s="100">
        <f t="shared" si="5"/>
        <v>4</v>
      </c>
      <c r="BM58" s="98"/>
      <c r="BN58" s="99">
        <f t="shared" si="71"/>
        <v>20</v>
      </c>
      <c r="BO58" s="97">
        <v>19</v>
      </c>
      <c r="BP58" s="100">
        <f t="shared" si="72"/>
        <v>1</v>
      </c>
      <c r="BQ58" s="98"/>
      <c r="BR58" s="99">
        <f t="shared" si="73"/>
        <v>19</v>
      </c>
      <c r="BS58" s="97">
        <v>17</v>
      </c>
      <c r="BT58" s="100">
        <f t="shared" si="6"/>
        <v>2</v>
      </c>
      <c r="BU58" s="98"/>
      <c r="BV58" s="99">
        <f t="shared" si="74"/>
        <v>17</v>
      </c>
      <c r="BW58" s="97"/>
      <c r="BX58" s="100">
        <f t="shared" si="7"/>
        <v>17</v>
      </c>
      <c r="BY58" s="98"/>
      <c r="BZ58" s="99">
        <f t="shared" si="75"/>
        <v>0</v>
      </c>
      <c r="CA58" s="97"/>
      <c r="CB58" s="100">
        <f t="shared" si="8"/>
        <v>0</v>
      </c>
      <c r="CC58" s="98"/>
      <c r="CD58" s="99">
        <f t="shared" si="76"/>
        <v>0</v>
      </c>
      <c r="CE58" s="97"/>
      <c r="CF58" s="100">
        <f t="shared" si="9"/>
        <v>0</v>
      </c>
      <c r="CG58" s="98"/>
      <c r="CH58" s="99">
        <f t="shared" si="77"/>
        <v>0</v>
      </c>
      <c r="CI58" s="97"/>
      <c r="CJ58" s="100">
        <f t="shared" si="10"/>
        <v>0</v>
      </c>
      <c r="CK58" s="98"/>
      <c r="CL58" s="99">
        <f t="shared" si="78"/>
        <v>0</v>
      </c>
      <c r="CM58" s="97"/>
      <c r="CN58" s="100">
        <f t="shared" si="11"/>
        <v>0</v>
      </c>
      <c r="CO58" s="98"/>
      <c r="CP58" s="99">
        <f t="shared" si="79"/>
        <v>0</v>
      </c>
      <c r="CQ58" s="97"/>
      <c r="CR58" s="100">
        <f t="shared" si="12"/>
        <v>0</v>
      </c>
      <c r="CS58" s="98"/>
      <c r="CT58" s="99">
        <f t="shared" si="80"/>
        <v>0</v>
      </c>
      <c r="CU58" s="97"/>
      <c r="CV58" s="100">
        <f t="shared" si="13"/>
        <v>0</v>
      </c>
      <c r="CW58" s="98"/>
      <c r="CX58" s="99">
        <f t="shared" si="81"/>
        <v>0</v>
      </c>
    </row>
    <row r="59" spans="1:102" ht="20.100000000000001" hidden="1" customHeight="1" thickBot="1" x14ac:dyDescent="0.3">
      <c r="A59" s="198" t="s">
        <v>208</v>
      </c>
      <c r="B59" s="197" t="s">
        <v>195</v>
      </c>
      <c r="C59" s="102">
        <v>20</v>
      </c>
      <c r="D59" s="103">
        <v>15</v>
      </c>
      <c r="E59" s="107"/>
      <c r="F59" s="105">
        <f t="shared" si="47"/>
        <v>15</v>
      </c>
      <c r="G59" s="103">
        <v>10</v>
      </c>
      <c r="H59" s="106">
        <f t="shared" si="1"/>
        <v>5</v>
      </c>
      <c r="I59" s="104">
        <v>1</v>
      </c>
      <c r="J59" s="105">
        <f t="shared" si="2"/>
        <v>30</v>
      </c>
      <c r="K59" s="103">
        <v>28</v>
      </c>
      <c r="L59" s="106">
        <f t="shared" si="3"/>
        <v>2</v>
      </c>
      <c r="M59" s="107">
        <v>0</v>
      </c>
      <c r="N59" s="105">
        <f t="shared" si="4"/>
        <v>28</v>
      </c>
      <c r="O59" s="103">
        <f>20+12</f>
        <v>32</v>
      </c>
      <c r="P59" s="106">
        <v>1</v>
      </c>
      <c r="Q59" s="107"/>
      <c r="R59" s="105">
        <f t="shared" si="49"/>
        <v>32</v>
      </c>
      <c r="S59" s="103">
        <v>29</v>
      </c>
      <c r="T59" s="106">
        <f t="shared" si="50"/>
        <v>3</v>
      </c>
      <c r="U59" s="107">
        <v>1</v>
      </c>
      <c r="V59" s="105">
        <f t="shared" si="51"/>
        <v>49</v>
      </c>
      <c r="W59" s="103">
        <v>27</v>
      </c>
      <c r="X59" s="100">
        <f t="shared" si="48"/>
        <v>22</v>
      </c>
      <c r="Y59" s="107">
        <v>1</v>
      </c>
      <c r="Z59" s="105">
        <f t="shared" si="52"/>
        <v>47</v>
      </c>
      <c r="AA59" s="103">
        <v>36</v>
      </c>
      <c r="AB59" s="106">
        <f t="shared" si="53"/>
        <v>11</v>
      </c>
      <c r="AC59" s="107"/>
      <c r="AD59" s="105">
        <f t="shared" si="54"/>
        <v>36</v>
      </c>
      <c r="AE59" s="103">
        <v>29</v>
      </c>
      <c r="AF59" s="106">
        <f t="shared" si="55"/>
        <v>7</v>
      </c>
      <c r="AG59" s="107"/>
      <c r="AH59" s="105">
        <f t="shared" si="56"/>
        <v>29</v>
      </c>
      <c r="AI59" s="103">
        <v>25</v>
      </c>
      <c r="AJ59" s="106">
        <f t="shared" si="57"/>
        <v>4</v>
      </c>
      <c r="AK59" s="107"/>
      <c r="AL59" s="105">
        <f t="shared" si="58"/>
        <v>25</v>
      </c>
      <c r="AM59" s="103">
        <v>22</v>
      </c>
      <c r="AN59" s="106">
        <f t="shared" si="59"/>
        <v>3</v>
      </c>
      <c r="AO59" s="107"/>
      <c r="AP59" s="105">
        <f t="shared" si="60"/>
        <v>22</v>
      </c>
      <c r="AQ59" s="103">
        <v>10</v>
      </c>
      <c r="AR59" s="106">
        <f t="shared" si="61"/>
        <v>12</v>
      </c>
      <c r="AS59" s="107">
        <v>1</v>
      </c>
      <c r="AT59" s="105">
        <f t="shared" si="62"/>
        <v>30</v>
      </c>
      <c r="AU59" s="103">
        <v>20</v>
      </c>
      <c r="AV59" s="106">
        <f t="shared" si="63"/>
        <v>10</v>
      </c>
      <c r="AW59" s="107">
        <v>1</v>
      </c>
      <c r="AX59" s="105">
        <f t="shared" si="64"/>
        <v>40</v>
      </c>
      <c r="AY59" s="103">
        <v>15</v>
      </c>
      <c r="AZ59" s="106">
        <f t="shared" si="65"/>
        <v>25</v>
      </c>
      <c r="BA59" s="107">
        <v>1</v>
      </c>
      <c r="BB59" s="105">
        <f t="shared" si="66"/>
        <v>35</v>
      </c>
      <c r="BC59" s="103">
        <v>23</v>
      </c>
      <c r="BD59" s="106">
        <f t="shared" si="67"/>
        <v>12</v>
      </c>
      <c r="BE59" s="107">
        <v>1</v>
      </c>
      <c r="BF59" s="105">
        <f t="shared" si="68"/>
        <v>43</v>
      </c>
      <c r="BG59" s="103">
        <v>31</v>
      </c>
      <c r="BH59" s="106">
        <f t="shared" si="69"/>
        <v>12</v>
      </c>
      <c r="BI59" s="107"/>
      <c r="BJ59" s="105">
        <f t="shared" si="70"/>
        <v>31</v>
      </c>
      <c r="BK59" s="103">
        <v>21</v>
      </c>
      <c r="BL59" s="106">
        <f t="shared" si="5"/>
        <v>10</v>
      </c>
      <c r="BM59" s="107"/>
      <c r="BN59" s="105">
        <f t="shared" si="71"/>
        <v>21</v>
      </c>
      <c r="BO59" s="103">
        <v>10</v>
      </c>
      <c r="BP59" s="106">
        <f t="shared" si="72"/>
        <v>11</v>
      </c>
      <c r="BQ59" s="107">
        <v>1</v>
      </c>
      <c r="BR59" s="105">
        <f t="shared" si="73"/>
        <v>30</v>
      </c>
      <c r="BS59" s="103">
        <v>30</v>
      </c>
      <c r="BT59" s="106">
        <f t="shared" si="6"/>
        <v>0</v>
      </c>
      <c r="BU59" s="107"/>
      <c r="BV59" s="105">
        <f t="shared" si="74"/>
        <v>30</v>
      </c>
      <c r="BW59" s="103"/>
      <c r="BX59" s="106">
        <f t="shared" si="7"/>
        <v>30</v>
      </c>
      <c r="BY59" s="107"/>
      <c r="BZ59" s="105">
        <f t="shared" si="75"/>
        <v>0</v>
      </c>
      <c r="CA59" s="103"/>
      <c r="CB59" s="106">
        <f t="shared" si="8"/>
        <v>0</v>
      </c>
      <c r="CC59" s="107"/>
      <c r="CD59" s="105">
        <f t="shared" si="76"/>
        <v>0</v>
      </c>
      <c r="CE59" s="103"/>
      <c r="CF59" s="106">
        <f t="shared" si="9"/>
        <v>0</v>
      </c>
      <c r="CG59" s="107"/>
      <c r="CH59" s="105">
        <f t="shared" si="77"/>
        <v>0</v>
      </c>
      <c r="CI59" s="103"/>
      <c r="CJ59" s="106">
        <f t="shared" si="10"/>
        <v>0</v>
      </c>
      <c r="CK59" s="107"/>
      <c r="CL59" s="105">
        <f t="shared" si="78"/>
        <v>0</v>
      </c>
      <c r="CM59" s="103"/>
      <c r="CN59" s="106">
        <f t="shared" si="11"/>
        <v>0</v>
      </c>
      <c r="CO59" s="107"/>
      <c r="CP59" s="105">
        <f t="shared" si="79"/>
        <v>0</v>
      </c>
      <c r="CQ59" s="103"/>
      <c r="CR59" s="106">
        <f t="shared" si="12"/>
        <v>0</v>
      </c>
      <c r="CS59" s="107"/>
      <c r="CT59" s="105">
        <f t="shared" si="80"/>
        <v>0</v>
      </c>
      <c r="CU59" s="103"/>
      <c r="CV59" s="106">
        <f t="shared" si="13"/>
        <v>0</v>
      </c>
      <c r="CW59" s="107"/>
      <c r="CX59" s="105">
        <f t="shared" si="81"/>
        <v>0</v>
      </c>
    </row>
    <row r="60" spans="1:102" ht="20.100000000000001" customHeight="1" thickTop="1" x14ac:dyDescent="0.25">
      <c r="A60" s="199" t="s">
        <v>209</v>
      </c>
      <c r="B60" s="196" t="s">
        <v>210</v>
      </c>
      <c r="C60" s="90">
        <v>1</v>
      </c>
      <c r="D60" s="91">
        <v>1</v>
      </c>
      <c r="E60" s="95">
        <v>5</v>
      </c>
      <c r="F60" s="93">
        <f t="shared" si="47"/>
        <v>6</v>
      </c>
      <c r="G60" s="91">
        <v>2</v>
      </c>
      <c r="H60" s="94">
        <f t="shared" si="1"/>
        <v>4</v>
      </c>
      <c r="I60" s="95">
        <v>4</v>
      </c>
      <c r="J60" s="93">
        <f t="shared" si="2"/>
        <v>6</v>
      </c>
      <c r="K60" s="91">
        <v>2</v>
      </c>
      <c r="L60" s="94">
        <f t="shared" si="3"/>
        <v>4</v>
      </c>
      <c r="M60" s="92">
        <v>3</v>
      </c>
      <c r="N60" s="93">
        <f t="shared" si="4"/>
        <v>5</v>
      </c>
      <c r="O60" s="91">
        <v>7</v>
      </c>
      <c r="P60" s="94">
        <v>1</v>
      </c>
      <c r="Q60" s="92"/>
      <c r="R60" s="93">
        <f t="shared" si="49"/>
        <v>7</v>
      </c>
      <c r="S60" s="91">
        <v>4</v>
      </c>
      <c r="T60" s="94">
        <f t="shared" si="50"/>
        <v>3</v>
      </c>
      <c r="U60" s="92"/>
      <c r="V60" s="93">
        <f t="shared" si="51"/>
        <v>4</v>
      </c>
      <c r="W60" s="91">
        <v>1</v>
      </c>
      <c r="X60" s="100">
        <f t="shared" si="48"/>
        <v>3</v>
      </c>
      <c r="Y60" s="92">
        <v>3</v>
      </c>
      <c r="Z60" s="93">
        <f t="shared" si="52"/>
        <v>4</v>
      </c>
      <c r="AA60" s="91">
        <v>2</v>
      </c>
      <c r="AB60" s="94">
        <f t="shared" si="53"/>
        <v>2</v>
      </c>
      <c r="AC60" s="92">
        <v>3</v>
      </c>
      <c r="AD60" s="93">
        <f t="shared" si="54"/>
        <v>5</v>
      </c>
      <c r="AE60" s="91">
        <v>1</v>
      </c>
      <c r="AF60" s="94">
        <f t="shared" si="55"/>
        <v>4</v>
      </c>
      <c r="AG60" s="95">
        <v>4</v>
      </c>
      <c r="AH60" s="93">
        <f t="shared" si="56"/>
        <v>5</v>
      </c>
      <c r="AI60" s="91">
        <v>4</v>
      </c>
      <c r="AJ60" s="94">
        <f t="shared" si="57"/>
        <v>1</v>
      </c>
      <c r="AK60" s="92"/>
      <c r="AL60" s="93">
        <f t="shared" si="58"/>
        <v>4</v>
      </c>
      <c r="AM60" s="91">
        <v>1</v>
      </c>
      <c r="AN60" s="94">
        <f t="shared" si="59"/>
        <v>3</v>
      </c>
      <c r="AO60" s="92">
        <v>3</v>
      </c>
      <c r="AP60" s="93">
        <f t="shared" si="60"/>
        <v>4</v>
      </c>
      <c r="AQ60" s="91">
        <v>2</v>
      </c>
      <c r="AR60" s="94">
        <f t="shared" si="61"/>
        <v>2</v>
      </c>
      <c r="AS60" s="92">
        <v>2</v>
      </c>
      <c r="AT60" s="93">
        <f t="shared" si="62"/>
        <v>4</v>
      </c>
      <c r="AU60" s="91">
        <v>2</v>
      </c>
      <c r="AV60" s="94">
        <f t="shared" si="63"/>
        <v>2</v>
      </c>
      <c r="AW60" s="92">
        <v>2</v>
      </c>
      <c r="AX60" s="93">
        <f t="shared" si="64"/>
        <v>4</v>
      </c>
      <c r="AY60" s="91">
        <v>1</v>
      </c>
      <c r="AZ60" s="94">
        <f t="shared" si="65"/>
        <v>3</v>
      </c>
      <c r="BA60" s="92">
        <v>3</v>
      </c>
      <c r="BB60" s="93">
        <f t="shared" si="66"/>
        <v>4</v>
      </c>
      <c r="BC60" s="91">
        <v>2</v>
      </c>
      <c r="BD60" s="94">
        <f t="shared" si="67"/>
        <v>2</v>
      </c>
      <c r="BE60" s="92">
        <v>2</v>
      </c>
      <c r="BF60" s="93">
        <f t="shared" si="68"/>
        <v>4</v>
      </c>
      <c r="BG60" s="91">
        <v>1</v>
      </c>
      <c r="BH60" s="94">
        <f t="shared" si="69"/>
        <v>3</v>
      </c>
      <c r="BI60" s="92">
        <v>3</v>
      </c>
      <c r="BJ60" s="93">
        <f t="shared" si="70"/>
        <v>4</v>
      </c>
      <c r="BK60" s="91">
        <v>2</v>
      </c>
      <c r="BL60" s="94">
        <f t="shared" si="5"/>
        <v>2</v>
      </c>
      <c r="BM60" s="92">
        <v>2</v>
      </c>
      <c r="BN60" s="93">
        <f t="shared" si="71"/>
        <v>4</v>
      </c>
      <c r="BO60" s="91">
        <v>2</v>
      </c>
      <c r="BP60" s="94">
        <f t="shared" si="72"/>
        <v>2</v>
      </c>
      <c r="BQ60" s="92">
        <v>2</v>
      </c>
      <c r="BR60" s="93">
        <f t="shared" si="73"/>
        <v>4</v>
      </c>
      <c r="BS60" s="91">
        <v>2</v>
      </c>
      <c r="BT60" s="94">
        <f t="shared" si="6"/>
        <v>2</v>
      </c>
      <c r="BU60" s="92">
        <v>2</v>
      </c>
      <c r="BV60" s="93">
        <f t="shared" si="74"/>
        <v>4</v>
      </c>
      <c r="BW60" s="91"/>
      <c r="BX60" s="94">
        <f t="shared" si="7"/>
        <v>4</v>
      </c>
      <c r="BY60" s="92"/>
      <c r="BZ60" s="93">
        <f t="shared" si="75"/>
        <v>0</v>
      </c>
      <c r="CA60" s="91"/>
      <c r="CB60" s="94">
        <f t="shared" si="8"/>
        <v>0</v>
      </c>
      <c r="CC60" s="92"/>
      <c r="CD60" s="93">
        <f t="shared" si="76"/>
        <v>0</v>
      </c>
      <c r="CE60" s="91"/>
      <c r="CF60" s="94">
        <f t="shared" si="9"/>
        <v>0</v>
      </c>
      <c r="CG60" s="92"/>
      <c r="CH60" s="93">
        <f t="shared" si="77"/>
        <v>0</v>
      </c>
      <c r="CI60" s="91"/>
      <c r="CJ60" s="94">
        <f t="shared" si="10"/>
        <v>0</v>
      </c>
      <c r="CK60" s="92"/>
      <c r="CL60" s="93">
        <f t="shared" si="78"/>
        <v>0</v>
      </c>
      <c r="CM60" s="91"/>
      <c r="CN60" s="94">
        <f t="shared" si="11"/>
        <v>0</v>
      </c>
      <c r="CO60" s="92"/>
      <c r="CP60" s="93">
        <f t="shared" si="79"/>
        <v>0</v>
      </c>
      <c r="CQ60" s="91"/>
      <c r="CR60" s="94">
        <f t="shared" si="12"/>
        <v>0</v>
      </c>
      <c r="CS60" s="92"/>
      <c r="CT60" s="93">
        <f t="shared" si="80"/>
        <v>0</v>
      </c>
      <c r="CU60" s="91"/>
      <c r="CV60" s="94">
        <f t="shared" si="13"/>
        <v>0</v>
      </c>
      <c r="CW60" s="92"/>
      <c r="CX60" s="93">
        <f t="shared" si="81"/>
        <v>0</v>
      </c>
    </row>
    <row r="61" spans="1:102" ht="20.100000000000001" customHeight="1" x14ac:dyDescent="0.25">
      <c r="A61" s="154" t="s">
        <v>211</v>
      </c>
      <c r="B61" s="156" t="s">
        <v>210</v>
      </c>
      <c r="C61" s="96">
        <v>1</v>
      </c>
      <c r="D61" s="97">
        <v>1</v>
      </c>
      <c r="E61" s="101">
        <v>3</v>
      </c>
      <c r="F61" s="99">
        <f t="shared" si="47"/>
        <v>4</v>
      </c>
      <c r="G61" s="97">
        <v>2</v>
      </c>
      <c r="H61" s="100">
        <f t="shared" si="1"/>
        <v>2</v>
      </c>
      <c r="I61" s="101">
        <v>2</v>
      </c>
      <c r="J61" s="99">
        <f t="shared" si="2"/>
        <v>4</v>
      </c>
      <c r="K61" s="97">
        <v>2</v>
      </c>
      <c r="L61" s="100">
        <f t="shared" si="3"/>
        <v>2</v>
      </c>
      <c r="M61" s="98">
        <v>1</v>
      </c>
      <c r="N61" s="99">
        <f t="shared" si="4"/>
        <v>3</v>
      </c>
      <c r="O61" s="97">
        <v>3</v>
      </c>
      <c r="P61" s="100">
        <v>2</v>
      </c>
      <c r="Q61" s="98">
        <v>1</v>
      </c>
      <c r="R61" s="99">
        <f t="shared" si="49"/>
        <v>4</v>
      </c>
      <c r="S61" s="97">
        <v>4</v>
      </c>
      <c r="T61" s="100">
        <f t="shared" si="50"/>
        <v>0</v>
      </c>
      <c r="U61" s="98"/>
      <c r="V61" s="99">
        <f t="shared" si="51"/>
        <v>4</v>
      </c>
      <c r="W61" s="97">
        <v>3</v>
      </c>
      <c r="X61" s="100">
        <f t="shared" si="48"/>
        <v>1</v>
      </c>
      <c r="Y61" s="98">
        <v>1</v>
      </c>
      <c r="Z61" s="99">
        <f t="shared" si="52"/>
        <v>4</v>
      </c>
      <c r="AA61" s="97">
        <v>2</v>
      </c>
      <c r="AB61" s="100">
        <f t="shared" si="53"/>
        <v>2</v>
      </c>
      <c r="AC61" s="98">
        <v>3</v>
      </c>
      <c r="AD61" s="99">
        <f t="shared" si="54"/>
        <v>5</v>
      </c>
      <c r="AE61" s="97">
        <v>1</v>
      </c>
      <c r="AF61" s="100">
        <f t="shared" si="55"/>
        <v>4</v>
      </c>
      <c r="AG61" s="101">
        <v>4</v>
      </c>
      <c r="AH61" s="99">
        <f t="shared" si="56"/>
        <v>5</v>
      </c>
      <c r="AI61" s="97">
        <v>4</v>
      </c>
      <c r="AJ61" s="100">
        <f t="shared" si="57"/>
        <v>1</v>
      </c>
      <c r="AK61" s="98"/>
      <c r="AL61" s="99">
        <f t="shared" si="58"/>
        <v>4</v>
      </c>
      <c r="AM61" s="97">
        <v>3</v>
      </c>
      <c r="AN61" s="100">
        <f t="shared" si="59"/>
        <v>1</v>
      </c>
      <c r="AO61" s="98"/>
      <c r="AP61" s="99">
        <f t="shared" si="60"/>
        <v>3</v>
      </c>
      <c r="AQ61" s="97">
        <v>2</v>
      </c>
      <c r="AR61" s="100">
        <f t="shared" si="61"/>
        <v>1</v>
      </c>
      <c r="AS61" s="98">
        <v>1</v>
      </c>
      <c r="AT61" s="99">
        <f t="shared" si="62"/>
        <v>3</v>
      </c>
      <c r="AU61" s="97">
        <v>2</v>
      </c>
      <c r="AV61" s="100">
        <f t="shared" si="63"/>
        <v>1</v>
      </c>
      <c r="AW61" s="98">
        <v>1</v>
      </c>
      <c r="AX61" s="99">
        <f t="shared" si="64"/>
        <v>3</v>
      </c>
      <c r="AY61" s="97">
        <v>2</v>
      </c>
      <c r="AZ61" s="100">
        <f t="shared" si="65"/>
        <v>1</v>
      </c>
      <c r="BA61" s="98">
        <v>1</v>
      </c>
      <c r="BB61" s="99">
        <f t="shared" si="66"/>
        <v>3</v>
      </c>
      <c r="BC61" s="97">
        <v>1</v>
      </c>
      <c r="BD61" s="100">
        <f t="shared" si="67"/>
        <v>2</v>
      </c>
      <c r="BE61" s="98">
        <v>2</v>
      </c>
      <c r="BF61" s="99">
        <f t="shared" si="68"/>
        <v>3</v>
      </c>
      <c r="BG61" s="97">
        <v>2</v>
      </c>
      <c r="BH61" s="100">
        <f t="shared" si="69"/>
        <v>1</v>
      </c>
      <c r="BI61" s="98">
        <v>1</v>
      </c>
      <c r="BJ61" s="99">
        <f t="shared" si="70"/>
        <v>3</v>
      </c>
      <c r="BK61" s="97">
        <v>2</v>
      </c>
      <c r="BL61" s="100">
        <f t="shared" si="5"/>
        <v>1</v>
      </c>
      <c r="BM61" s="98">
        <v>1</v>
      </c>
      <c r="BN61" s="99">
        <f t="shared" si="71"/>
        <v>3</v>
      </c>
      <c r="BO61" s="97">
        <v>2</v>
      </c>
      <c r="BP61" s="100">
        <f t="shared" si="72"/>
        <v>1</v>
      </c>
      <c r="BQ61" s="98">
        <v>1</v>
      </c>
      <c r="BR61" s="99">
        <f t="shared" si="73"/>
        <v>3</v>
      </c>
      <c r="BS61" s="97">
        <v>2</v>
      </c>
      <c r="BT61" s="100">
        <f t="shared" si="6"/>
        <v>1</v>
      </c>
      <c r="BU61" s="98">
        <v>1</v>
      </c>
      <c r="BV61" s="99">
        <f t="shared" si="74"/>
        <v>3</v>
      </c>
      <c r="BW61" s="97"/>
      <c r="BX61" s="100">
        <f t="shared" si="7"/>
        <v>3</v>
      </c>
      <c r="BY61" s="98"/>
      <c r="BZ61" s="99">
        <f t="shared" si="75"/>
        <v>0</v>
      </c>
      <c r="CA61" s="97"/>
      <c r="CB61" s="100">
        <f t="shared" si="8"/>
        <v>0</v>
      </c>
      <c r="CC61" s="98"/>
      <c r="CD61" s="99">
        <f t="shared" si="76"/>
        <v>0</v>
      </c>
      <c r="CE61" s="97"/>
      <c r="CF61" s="100">
        <f t="shared" si="9"/>
        <v>0</v>
      </c>
      <c r="CG61" s="98"/>
      <c r="CH61" s="99">
        <f t="shared" si="77"/>
        <v>0</v>
      </c>
      <c r="CI61" s="97"/>
      <c r="CJ61" s="100">
        <f t="shared" si="10"/>
        <v>0</v>
      </c>
      <c r="CK61" s="98"/>
      <c r="CL61" s="99">
        <f t="shared" si="78"/>
        <v>0</v>
      </c>
      <c r="CM61" s="97"/>
      <c r="CN61" s="100">
        <f t="shared" si="11"/>
        <v>0</v>
      </c>
      <c r="CO61" s="98"/>
      <c r="CP61" s="99">
        <f t="shared" si="79"/>
        <v>0</v>
      </c>
      <c r="CQ61" s="97"/>
      <c r="CR61" s="100">
        <f t="shared" si="12"/>
        <v>0</v>
      </c>
      <c r="CS61" s="98"/>
      <c r="CT61" s="99">
        <f t="shared" si="80"/>
        <v>0</v>
      </c>
      <c r="CU61" s="97"/>
      <c r="CV61" s="100">
        <f t="shared" si="13"/>
        <v>0</v>
      </c>
      <c r="CW61" s="98"/>
      <c r="CX61" s="99">
        <f t="shared" si="81"/>
        <v>0</v>
      </c>
    </row>
    <row r="62" spans="1:102" ht="20.100000000000001" customHeight="1" thickBot="1" x14ac:dyDescent="0.3">
      <c r="A62" s="198" t="s">
        <v>233</v>
      </c>
      <c r="B62" s="197" t="s">
        <v>210</v>
      </c>
      <c r="C62" s="102">
        <v>1</v>
      </c>
      <c r="D62" s="103"/>
      <c r="E62" s="107"/>
      <c r="F62" s="105">
        <f t="shared" si="47"/>
        <v>0</v>
      </c>
      <c r="G62" s="103"/>
      <c r="H62" s="106">
        <f>F62-G62</f>
        <v>0</v>
      </c>
      <c r="I62" s="107"/>
      <c r="J62" s="105">
        <f>+G62+I62*$C62</f>
        <v>0</v>
      </c>
      <c r="K62" s="103">
        <v>0</v>
      </c>
      <c r="L62" s="106">
        <f>J62-K62</f>
        <v>0</v>
      </c>
      <c r="M62" s="107">
        <v>0</v>
      </c>
      <c r="N62" s="105">
        <f>+K62+M62*$C62</f>
        <v>0</v>
      </c>
      <c r="O62" s="103">
        <v>1</v>
      </c>
      <c r="P62" s="106">
        <v>3</v>
      </c>
      <c r="Q62" s="107">
        <v>3</v>
      </c>
      <c r="R62" s="105">
        <f>+O62+Q62*$C62</f>
        <v>4</v>
      </c>
      <c r="S62" s="103">
        <v>4</v>
      </c>
      <c r="T62" s="106">
        <f>R62-S62</f>
        <v>0</v>
      </c>
      <c r="U62" s="107"/>
      <c r="V62" s="105">
        <f>+S62+U62*$C62</f>
        <v>4</v>
      </c>
      <c r="W62" s="103">
        <v>3</v>
      </c>
      <c r="X62" s="100">
        <f t="shared" si="48"/>
        <v>1</v>
      </c>
      <c r="Y62" s="107">
        <v>0</v>
      </c>
      <c r="Z62" s="105">
        <f>+W62+Y62*$C62</f>
        <v>3</v>
      </c>
      <c r="AA62" s="103">
        <v>2</v>
      </c>
      <c r="AB62" s="106">
        <f>Z62-AA62</f>
        <v>1</v>
      </c>
      <c r="AC62" s="107">
        <v>1</v>
      </c>
      <c r="AD62" s="105">
        <f>+AA62+AC62*$C62</f>
        <v>3</v>
      </c>
      <c r="AE62" s="103">
        <v>3</v>
      </c>
      <c r="AF62" s="106">
        <f>AD62-AE62</f>
        <v>0</v>
      </c>
      <c r="AG62" s="107"/>
      <c r="AH62" s="105">
        <f>+AE62+AG62*$C62</f>
        <v>3</v>
      </c>
      <c r="AI62" s="103">
        <v>3</v>
      </c>
      <c r="AJ62" s="106">
        <f>AH62-AI62</f>
        <v>0</v>
      </c>
      <c r="AK62" s="107"/>
      <c r="AL62" s="105">
        <f>+AI62+AK62*$C62</f>
        <v>3</v>
      </c>
      <c r="AM62" s="103">
        <v>3</v>
      </c>
      <c r="AN62" s="106">
        <f>AL62-AM62</f>
        <v>0</v>
      </c>
      <c r="AO62" s="107"/>
      <c r="AP62" s="105">
        <f>+AM62+AO62*$C62</f>
        <v>3</v>
      </c>
      <c r="AQ62" s="103">
        <v>2</v>
      </c>
      <c r="AR62" s="106">
        <f>AP62-AQ62</f>
        <v>1</v>
      </c>
      <c r="AS62" s="107"/>
      <c r="AT62" s="105">
        <f>+AQ62+AS62*$C62</f>
        <v>2</v>
      </c>
      <c r="AU62" s="103">
        <v>1</v>
      </c>
      <c r="AV62" s="106">
        <f>AT62-AU62</f>
        <v>1</v>
      </c>
      <c r="AW62" s="107">
        <v>1</v>
      </c>
      <c r="AX62" s="105">
        <f>+AU62+AW62*$C62</f>
        <v>2</v>
      </c>
      <c r="AY62" s="103">
        <v>1</v>
      </c>
      <c r="AZ62" s="106">
        <f>AX62-AY62</f>
        <v>1</v>
      </c>
      <c r="BA62" s="107">
        <v>1</v>
      </c>
      <c r="BB62" s="105">
        <f>+AY62+BA62*$C62</f>
        <v>2</v>
      </c>
      <c r="BC62" s="103"/>
      <c r="BD62" s="106">
        <f>BB62-BC62</f>
        <v>2</v>
      </c>
      <c r="BE62" s="107">
        <v>2</v>
      </c>
      <c r="BF62" s="105">
        <f>+BC62+BE62*$C62</f>
        <v>2</v>
      </c>
      <c r="BG62" s="103">
        <v>1</v>
      </c>
      <c r="BH62" s="106">
        <f>BF62-BG62</f>
        <v>1</v>
      </c>
      <c r="BI62" s="107">
        <v>1</v>
      </c>
      <c r="BJ62" s="105">
        <f>+BG62+BI62*$C62</f>
        <v>2</v>
      </c>
      <c r="BK62" s="103">
        <v>2</v>
      </c>
      <c r="BL62" s="106">
        <f t="shared" si="5"/>
        <v>0</v>
      </c>
      <c r="BM62" s="107"/>
      <c r="BN62" s="105">
        <f>+BK62+BM62*$C62</f>
        <v>2</v>
      </c>
      <c r="BO62" s="103">
        <v>1</v>
      </c>
      <c r="BP62" s="106">
        <f>BN62-BO62</f>
        <v>1</v>
      </c>
      <c r="BQ62" s="107">
        <v>1</v>
      </c>
      <c r="BR62" s="105">
        <f>+BO62+BQ62*$C62</f>
        <v>2</v>
      </c>
      <c r="BS62" s="103">
        <v>1</v>
      </c>
      <c r="BT62" s="106">
        <f t="shared" si="6"/>
        <v>1</v>
      </c>
      <c r="BU62" s="107">
        <v>1</v>
      </c>
      <c r="BV62" s="105">
        <f>+BS62+BU62*$C62</f>
        <v>2</v>
      </c>
      <c r="BW62" s="103"/>
      <c r="BX62" s="106">
        <f t="shared" si="7"/>
        <v>2</v>
      </c>
      <c r="BY62" s="107"/>
      <c r="BZ62" s="105">
        <f>+BW62+BY62*$C62</f>
        <v>0</v>
      </c>
      <c r="CA62" s="103"/>
      <c r="CB62" s="106">
        <f t="shared" si="8"/>
        <v>0</v>
      </c>
      <c r="CC62" s="107"/>
      <c r="CD62" s="105">
        <f>+CA62+CC62*$C62</f>
        <v>0</v>
      </c>
      <c r="CE62" s="103"/>
      <c r="CF62" s="106">
        <f t="shared" si="9"/>
        <v>0</v>
      </c>
      <c r="CG62" s="107"/>
      <c r="CH62" s="105">
        <f>+CE62+CG62*$C62</f>
        <v>0</v>
      </c>
      <c r="CI62" s="103"/>
      <c r="CJ62" s="106">
        <f t="shared" si="10"/>
        <v>0</v>
      </c>
      <c r="CK62" s="107"/>
      <c r="CL62" s="105">
        <f>+CI62+CK62*$C62</f>
        <v>0</v>
      </c>
      <c r="CM62" s="103"/>
      <c r="CN62" s="106">
        <f t="shared" si="11"/>
        <v>0</v>
      </c>
      <c r="CO62" s="107"/>
      <c r="CP62" s="105">
        <f>+CM62+CO62*$C62</f>
        <v>0</v>
      </c>
      <c r="CQ62" s="103"/>
      <c r="CR62" s="106">
        <f t="shared" si="12"/>
        <v>0</v>
      </c>
      <c r="CS62" s="107"/>
      <c r="CT62" s="105">
        <f>+CQ62+CS62*$C62</f>
        <v>0</v>
      </c>
      <c r="CU62" s="103"/>
      <c r="CV62" s="106">
        <f t="shared" si="13"/>
        <v>0</v>
      </c>
      <c r="CW62" s="107"/>
      <c r="CX62" s="105">
        <f>+CU62+CW62*$C62</f>
        <v>0</v>
      </c>
    </row>
    <row r="63" spans="1:102" ht="20.100000000000001" hidden="1" customHeight="1" thickTop="1" x14ac:dyDescent="0.25">
      <c r="A63" s="200" t="s">
        <v>212</v>
      </c>
      <c r="B63" s="201" t="s">
        <v>195</v>
      </c>
      <c r="C63" s="110">
        <v>24</v>
      </c>
      <c r="D63" s="111">
        <v>25</v>
      </c>
      <c r="E63" s="112"/>
      <c r="F63" s="113">
        <f t="shared" si="47"/>
        <v>25</v>
      </c>
      <c r="G63" s="111">
        <v>21</v>
      </c>
      <c r="H63" s="114">
        <f t="shared" si="1"/>
        <v>4</v>
      </c>
      <c r="I63" s="112"/>
      <c r="J63" s="113">
        <f t="shared" si="2"/>
        <v>21</v>
      </c>
      <c r="K63" s="111">
        <v>7</v>
      </c>
      <c r="L63" s="114">
        <f t="shared" si="3"/>
        <v>14</v>
      </c>
      <c r="M63" s="112">
        <v>0</v>
      </c>
      <c r="N63" s="113">
        <f t="shared" si="4"/>
        <v>7</v>
      </c>
      <c r="O63" s="111">
        <v>24</v>
      </c>
      <c r="P63" s="114">
        <v>7</v>
      </c>
      <c r="Q63" s="112"/>
      <c r="R63" s="113">
        <f>+O63+Q63*$C63</f>
        <v>24</v>
      </c>
      <c r="S63" s="111">
        <v>17</v>
      </c>
      <c r="T63" s="114">
        <f>R63-S63</f>
        <v>7</v>
      </c>
      <c r="U63" s="112"/>
      <c r="V63" s="113">
        <f>+S63+U63*$C63</f>
        <v>17</v>
      </c>
      <c r="W63" s="111">
        <v>14</v>
      </c>
      <c r="X63" s="100">
        <f t="shared" si="48"/>
        <v>3</v>
      </c>
      <c r="Y63" s="112">
        <v>0</v>
      </c>
      <c r="Z63" s="113">
        <f>+W63+Y63*$C63</f>
        <v>14</v>
      </c>
      <c r="AA63" s="111">
        <v>6</v>
      </c>
      <c r="AB63" s="114">
        <f>Z63-AA63</f>
        <v>8</v>
      </c>
      <c r="AC63" s="112">
        <v>1</v>
      </c>
      <c r="AD63" s="113">
        <f>+AA63+AC63*$C63</f>
        <v>30</v>
      </c>
      <c r="AE63" s="111">
        <v>26</v>
      </c>
      <c r="AF63" s="114">
        <f>AD63-AE63</f>
        <v>4</v>
      </c>
      <c r="AG63" s="112"/>
      <c r="AH63" s="113">
        <f>+AE63+AG63*$C63</f>
        <v>26</v>
      </c>
      <c r="AI63" s="111">
        <v>25</v>
      </c>
      <c r="AJ63" s="114">
        <f>AH63-AI63</f>
        <v>1</v>
      </c>
      <c r="AK63" s="112"/>
      <c r="AL63" s="113">
        <f>+AI63+AK63*$C63</f>
        <v>25</v>
      </c>
      <c r="AM63" s="111">
        <v>15</v>
      </c>
      <c r="AN63" s="114">
        <f>AL63-AM63</f>
        <v>10</v>
      </c>
      <c r="AO63" s="112">
        <v>1</v>
      </c>
      <c r="AP63" s="113">
        <f>+AM63+AO63*$C63</f>
        <v>39</v>
      </c>
      <c r="AQ63" s="111">
        <v>26</v>
      </c>
      <c r="AR63" s="114">
        <f>AP63-AQ63</f>
        <v>13</v>
      </c>
      <c r="AS63" s="112"/>
      <c r="AT63" s="113">
        <f>+AQ63+AS63*$C63</f>
        <v>26</v>
      </c>
      <c r="AU63" s="111">
        <v>22</v>
      </c>
      <c r="AV63" s="114">
        <f>AT63-AU63</f>
        <v>4</v>
      </c>
      <c r="AW63" s="112"/>
      <c r="AX63" s="113">
        <f>+AU63+AW63*$C63</f>
        <v>22</v>
      </c>
      <c r="AY63" s="111">
        <v>20</v>
      </c>
      <c r="AZ63" s="114">
        <f>AX63-AY63</f>
        <v>2</v>
      </c>
      <c r="BA63" s="112"/>
      <c r="BB63" s="113">
        <f>+AY63+BA63*$C63</f>
        <v>20</v>
      </c>
      <c r="BC63" s="111">
        <v>15</v>
      </c>
      <c r="BD63" s="114">
        <f>BB63-BC63</f>
        <v>5</v>
      </c>
      <c r="BE63" s="112"/>
      <c r="BF63" s="113">
        <f>+BC63+BE63*$C63</f>
        <v>15</v>
      </c>
      <c r="BG63" s="111">
        <v>10</v>
      </c>
      <c r="BH63" s="114">
        <f>BF63-BG63</f>
        <v>5</v>
      </c>
      <c r="BI63" s="112">
        <v>1</v>
      </c>
      <c r="BJ63" s="113">
        <f>+BG63+BI63*$C63</f>
        <v>34</v>
      </c>
      <c r="BK63" s="111">
        <v>26</v>
      </c>
      <c r="BL63" s="114">
        <f t="shared" si="5"/>
        <v>8</v>
      </c>
      <c r="BM63" s="112"/>
      <c r="BN63" s="113">
        <f>+BK63+BM63*$C63</f>
        <v>26</v>
      </c>
      <c r="BO63" s="111">
        <v>22</v>
      </c>
      <c r="BP63" s="114">
        <f>BN63-BO63</f>
        <v>4</v>
      </c>
      <c r="BQ63" s="112"/>
      <c r="BR63" s="113">
        <f>+BO63+BQ63*$C63</f>
        <v>22</v>
      </c>
      <c r="BS63" s="111">
        <v>16</v>
      </c>
      <c r="BT63" s="114">
        <f t="shared" si="6"/>
        <v>6</v>
      </c>
      <c r="BU63" s="112"/>
      <c r="BV63" s="113">
        <f>+BS63+BU63*$C63</f>
        <v>16</v>
      </c>
      <c r="BW63" s="111"/>
      <c r="BX63" s="114">
        <f t="shared" si="7"/>
        <v>16</v>
      </c>
      <c r="BY63" s="112"/>
      <c r="BZ63" s="113">
        <f>+BW63+BY63*$C63</f>
        <v>0</v>
      </c>
      <c r="CA63" s="111"/>
      <c r="CB63" s="114">
        <f t="shared" si="8"/>
        <v>0</v>
      </c>
      <c r="CC63" s="112"/>
      <c r="CD63" s="113">
        <f>+CA63+CC63*$C63</f>
        <v>0</v>
      </c>
      <c r="CE63" s="111"/>
      <c r="CF63" s="114">
        <f t="shared" si="9"/>
        <v>0</v>
      </c>
      <c r="CG63" s="112"/>
      <c r="CH63" s="113">
        <f>+CE63+CG63*$C63</f>
        <v>0</v>
      </c>
      <c r="CI63" s="111"/>
      <c r="CJ63" s="114">
        <f t="shared" si="10"/>
        <v>0</v>
      </c>
      <c r="CK63" s="112"/>
      <c r="CL63" s="113">
        <f>+CI63+CK63*$C63</f>
        <v>0</v>
      </c>
      <c r="CM63" s="111"/>
      <c r="CN63" s="114">
        <f t="shared" si="11"/>
        <v>0</v>
      </c>
      <c r="CO63" s="112"/>
      <c r="CP63" s="113">
        <f>+CM63+CO63*$C63</f>
        <v>0</v>
      </c>
      <c r="CQ63" s="111"/>
      <c r="CR63" s="114">
        <f t="shared" si="12"/>
        <v>0</v>
      </c>
      <c r="CS63" s="112"/>
      <c r="CT63" s="113">
        <f>+CQ63+CS63*$C63</f>
        <v>0</v>
      </c>
      <c r="CU63" s="111"/>
      <c r="CV63" s="114">
        <f t="shared" si="13"/>
        <v>0</v>
      </c>
      <c r="CW63" s="112"/>
      <c r="CX63" s="113">
        <f>+CU63+CW63*$C63</f>
        <v>0</v>
      </c>
    </row>
    <row r="64" spans="1:102" ht="20.100000000000001" hidden="1" customHeight="1" thickBot="1" x14ac:dyDescent="0.3">
      <c r="A64" s="198" t="s">
        <v>227</v>
      </c>
      <c r="B64" s="197" t="s">
        <v>182</v>
      </c>
      <c r="C64" s="102">
        <v>24</v>
      </c>
      <c r="D64" s="103"/>
      <c r="E64" s="107"/>
      <c r="F64" s="105">
        <f t="shared" si="47"/>
        <v>0</v>
      </c>
      <c r="G64" s="103"/>
      <c r="H64" s="106">
        <f t="shared" si="1"/>
        <v>0</v>
      </c>
      <c r="I64" s="107"/>
      <c r="J64" s="105">
        <f t="shared" si="2"/>
        <v>0</v>
      </c>
      <c r="K64" s="103">
        <v>0</v>
      </c>
      <c r="L64" s="106">
        <f t="shared" si="3"/>
        <v>0</v>
      </c>
      <c r="M64" s="107">
        <v>0</v>
      </c>
      <c r="N64" s="105">
        <f t="shared" si="4"/>
        <v>0</v>
      </c>
      <c r="O64" s="103">
        <v>15</v>
      </c>
      <c r="P64" s="106">
        <v>8</v>
      </c>
      <c r="Q64" s="107"/>
      <c r="R64" s="105">
        <f>+O64+Q64*$C64</f>
        <v>15</v>
      </c>
      <c r="S64" s="103">
        <v>11</v>
      </c>
      <c r="T64" s="106">
        <f>R64-S64</f>
        <v>4</v>
      </c>
      <c r="U64" s="107"/>
      <c r="V64" s="105">
        <f>+S64+U64*$C64</f>
        <v>11</v>
      </c>
      <c r="W64" s="103">
        <v>7</v>
      </c>
      <c r="X64" s="100">
        <f t="shared" si="48"/>
        <v>4</v>
      </c>
      <c r="Y64" s="107">
        <v>1</v>
      </c>
      <c r="Z64" s="105">
        <f>+W64+Y64*$C64</f>
        <v>31</v>
      </c>
      <c r="AA64" s="103">
        <v>28</v>
      </c>
      <c r="AB64" s="106">
        <f>Z64-AA64</f>
        <v>3</v>
      </c>
      <c r="AC64" s="107">
        <v>0</v>
      </c>
      <c r="AD64" s="105">
        <f>+AA64+AC64*$C64</f>
        <v>28</v>
      </c>
      <c r="AE64" s="103">
        <v>17</v>
      </c>
      <c r="AF64" s="106">
        <f>AD64-AE64</f>
        <v>11</v>
      </c>
      <c r="AG64" s="104">
        <v>1</v>
      </c>
      <c r="AH64" s="105">
        <f>+AE64+AG64*$C64</f>
        <v>41</v>
      </c>
      <c r="AI64" s="103">
        <f>24+13</f>
        <v>37</v>
      </c>
      <c r="AJ64" s="106">
        <f>AH64-AI64</f>
        <v>4</v>
      </c>
      <c r="AK64" s="107"/>
      <c r="AL64" s="105">
        <f>+AI64+AK64*$C64</f>
        <v>37</v>
      </c>
      <c r="AM64" s="103">
        <f>24+13</f>
        <v>37</v>
      </c>
      <c r="AN64" s="106">
        <f>AL64-AM64</f>
        <v>0</v>
      </c>
      <c r="AO64" s="107"/>
      <c r="AP64" s="105">
        <f>+AM64+AO64*$C64</f>
        <v>37</v>
      </c>
      <c r="AQ64" s="103">
        <v>25</v>
      </c>
      <c r="AR64" s="106">
        <f>AP64-AQ64</f>
        <v>12</v>
      </c>
      <c r="AS64" s="107"/>
      <c r="AT64" s="105">
        <f>+AQ64+AS64*$C64</f>
        <v>25</v>
      </c>
      <c r="AU64" s="103">
        <v>24</v>
      </c>
      <c r="AV64" s="106">
        <f>AT64-AU64</f>
        <v>1</v>
      </c>
      <c r="AW64" s="107"/>
      <c r="AX64" s="105">
        <f>+AU64+AW64*$C64</f>
        <v>24</v>
      </c>
      <c r="AY64" s="103">
        <v>24</v>
      </c>
      <c r="AZ64" s="106">
        <f>AX64-AY64</f>
        <v>0</v>
      </c>
      <c r="BA64" s="107"/>
      <c r="BB64" s="105">
        <f>+AY64+BA64*$C64</f>
        <v>24</v>
      </c>
      <c r="BC64" s="103">
        <v>24</v>
      </c>
      <c r="BD64" s="106">
        <f>BB64-BC64</f>
        <v>0</v>
      </c>
      <c r="BE64" s="107"/>
      <c r="BF64" s="105">
        <f>+BC64+BE64*$C64</f>
        <v>24</v>
      </c>
      <c r="BG64" s="103">
        <v>18</v>
      </c>
      <c r="BH64" s="106">
        <f>BF64-BG64</f>
        <v>6</v>
      </c>
      <c r="BI64" s="107"/>
      <c r="BJ64" s="105">
        <f>+BG64+BI64*$C64</f>
        <v>18</v>
      </c>
      <c r="BK64" s="103">
        <v>13</v>
      </c>
      <c r="BL64" s="106">
        <f t="shared" si="5"/>
        <v>5</v>
      </c>
      <c r="BM64" s="107"/>
      <c r="BN64" s="105">
        <f>+BK64+BM64*$C64</f>
        <v>13</v>
      </c>
      <c r="BO64" s="103">
        <v>11</v>
      </c>
      <c r="BP64" s="106">
        <f>BN64-BO64</f>
        <v>2</v>
      </c>
      <c r="BQ64" s="107"/>
      <c r="BR64" s="105">
        <f>+BO64+BQ64*$C64</f>
        <v>11</v>
      </c>
      <c r="BS64" s="103">
        <v>9</v>
      </c>
      <c r="BT64" s="106">
        <f t="shared" si="6"/>
        <v>2</v>
      </c>
      <c r="BU64" s="107"/>
      <c r="BV64" s="105">
        <f>+BS64+BU64*$C64</f>
        <v>9</v>
      </c>
      <c r="BW64" s="103"/>
      <c r="BX64" s="106">
        <f t="shared" si="7"/>
        <v>9</v>
      </c>
      <c r="BY64" s="107"/>
      <c r="BZ64" s="105">
        <f>+BW64+BY64*$C64</f>
        <v>0</v>
      </c>
      <c r="CA64" s="103"/>
      <c r="CB64" s="106">
        <f t="shared" si="8"/>
        <v>0</v>
      </c>
      <c r="CC64" s="107"/>
      <c r="CD64" s="105">
        <f>+CA64+CC64*$C64</f>
        <v>0</v>
      </c>
      <c r="CE64" s="103"/>
      <c r="CF64" s="106">
        <f t="shared" si="9"/>
        <v>0</v>
      </c>
      <c r="CG64" s="107"/>
      <c r="CH64" s="105">
        <f>+CE64+CG64*$C64</f>
        <v>0</v>
      </c>
      <c r="CI64" s="103"/>
      <c r="CJ64" s="106">
        <f t="shared" si="10"/>
        <v>0</v>
      </c>
      <c r="CK64" s="107"/>
      <c r="CL64" s="105">
        <f>+CI64+CK64*$C64</f>
        <v>0</v>
      </c>
      <c r="CM64" s="103"/>
      <c r="CN64" s="106">
        <f t="shared" si="11"/>
        <v>0</v>
      </c>
      <c r="CO64" s="107"/>
      <c r="CP64" s="105">
        <f>+CM64+CO64*$C64</f>
        <v>0</v>
      </c>
      <c r="CQ64" s="103"/>
      <c r="CR64" s="106">
        <f t="shared" si="12"/>
        <v>0</v>
      </c>
      <c r="CS64" s="107"/>
      <c r="CT64" s="105">
        <f>+CQ64+CS64*$C64</f>
        <v>0</v>
      </c>
      <c r="CU64" s="103"/>
      <c r="CV64" s="106">
        <f t="shared" si="13"/>
        <v>0</v>
      </c>
      <c r="CW64" s="107"/>
      <c r="CX64" s="105">
        <f>+CU64+CW64*$C64</f>
        <v>0</v>
      </c>
    </row>
    <row r="65" spans="1:102" ht="20.100000000000001" hidden="1" customHeight="1" thickTop="1" x14ac:dyDescent="0.25">
      <c r="A65" s="200" t="s">
        <v>213</v>
      </c>
      <c r="B65" s="201" t="s">
        <v>210</v>
      </c>
      <c r="C65" s="110">
        <v>1</v>
      </c>
      <c r="D65" s="115">
        <v>1</v>
      </c>
      <c r="E65" s="116"/>
      <c r="F65" s="113">
        <f t="shared" si="47"/>
        <v>1</v>
      </c>
      <c r="G65" s="115">
        <v>1</v>
      </c>
      <c r="H65" s="114">
        <f t="shared" si="1"/>
        <v>0</v>
      </c>
      <c r="I65" s="116"/>
      <c r="J65" s="113">
        <f t="shared" si="2"/>
        <v>1</v>
      </c>
      <c r="K65" s="115">
        <v>1</v>
      </c>
      <c r="L65" s="114">
        <f t="shared" si="3"/>
        <v>0</v>
      </c>
      <c r="M65" s="116">
        <v>0</v>
      </c>
      <c r="N65" s="113">
        <f t="shared" si="4"/>
        <v>1</v>
      </c>
      <c r="O65" s="115">
        <v>1</v>
      </c>
      <c r="P65" s="114">
        <v>0</v>
      </c>
      <c r="Q65" s="116"/>
      <c r="R65" s="113">
        <f>+O65+Q65*$C65</f>
        <v>1</v>
      </c>
      <c r="S65" s="115">
        <v>1</v>
      </c>
      <c r="T65" s="114">
        <f>R65-S65</f>
        <v>0</v>
      </c>
      <c r="U65" s="116"/>
      <c r="V65" s="113">
        <f>+S65+U65*$C65</f>
        <v>1</v>
      </c>
      <c r="W65" s="115">
        <v>1</v>
      </c>
      <c r="X65" s="100">
        <f t="shared" si="48"/>
        <v>0</v>
      </c>
      <c r="Y65" s="116"/>
      <c r="Z65" s="113">
        <f>+W65+Y65*$C65</f>
        <v>1</v>
      </c>
      <c r="AA65" s="115">
        <v>1</v>
      </c>
      <c r="AB65" s="114">
        <f>Z65-AA65</f>
        <v>0</v>
      </c>
      <c r="AC65" s="116">
        <v>0</v>
      </c>
      <c r="AD65" s="113">
        <f>+AA65+AC65*$C65</f>
        <v>1</v>
      </c>
      <c r="AE65" s="115">
        <v>1</v>
      </c>
      <c r="AF65" s="114">
        <f>AD65-AE65</f>
        <v>0</v>
      </c>
      <c r="AG65" s="116"/>
      <c r="AH65" s="113">
        <f>+AE65+AG65*$C65</f>
        <v>1</v>
      </c>
      <c r="AI65" s="115">
        <v>1</v>
      </c>
      <c r="AJ65" s="114">
        <f>AH65-AI65</f>
        <v>0</v>
      </c>
      <c r="AK65" s="116"/>
      <c r="AL65" s="113">
        <f>+AI65+AK65*$C65</f>
        <v>1</v>
      </c>
      <c r="AM65" s="115">
        <v>1</v>
      </c>
      <c r="AN65" s="114">
        <f>AL65-AM65</f>
        <v>0</v>
      </c>
      <c r="AO65" s="116"/>
      <c r="AP65" s="113">
        <f>+AM65+AO65*$C65</f>
        <v>1</v>
      </c>
      <c r="AQ65" s="115">
        <v>1</v>
      </c>
      <c r="AR65" s="114">
        <f>AP65-AQ65</f>
        <v>0</v>
      </c>
      <c r="AS65" s="116"/>
      <c r="AT65" s="113">
        <f>+AQ65+AS65*$C65</f>
        <v>1</v>
      </c>
      <c r="AU65" s="115">
        <v>1</v>
      </c>
      <c r="AV65" s="114">
        <f>AT65-AU65</f>
        <v>0</v>
      </c>
      <c r="AW65" s="116"/>
      <c r="AX65" s="113">
        <f>+AU65+AW65*$C65</f>
        <v>1</v>
      </c>
      <c r="AY65" s="115">
        <v>1</v>
      </c>
      <c r="AZ65" s="114">
        <f>AX65-AY65</f>
        <v>0</v>
      </c>
      <c r="BA65" s="116"/>
      <c r="BB65" s="113">
        <f>+AY65+BA65*$C65</f>
        <v>1</v>
      </c>
      <c r="BC65" s="115"/>
      <c r="BD65" s="114">
        <f>BB65-BC65</f>
        <v>1</v>
      </c>
      <c r="BE65" s="116">
        <v>1</v>
      </c>
      <c r="BF65" s="113">
        <f>+BC65+BE65*$C65</f>
        <v>1</v>
      </c>
      <c r="BG65" s="115">
        <v>1</v>
      </c>
      <c r="BH65" s="114">
        <f>BF65-BG65</f>
        <v>0</v>
      </c>
      <c r="BI65" s="116"/>
      <c r="BJ65" s="113">
        <f>+BG65+BI65*$C65</f>
        <v>1</v>
      </c>
      <c r="BK65" s="115">
        <v>1</v>
      </c>
      <c r="BL65" s="114">
        <f t="shared" si="5"/>
        <v>0</v>
      </c>
      <c r="BM65" s="116"/>
      <c r="BN65" s="113">
        <f>+BK65+BM65*$C65</f>
        <v>1</v>
      </c>
      <c r="BO65" s="115">
        <v>1</v>
      </c>
      <c r="BP65" s="114">
        <f>BN65-BO65</f>
        <v>0</v>
      </c>
      <c r="BQ65" s="116"/>
      <c r="BR65" s="113">
        <f>+BO65+BQ65*$C65</f>
        <v>1</v>
      </c>
      <c r="BS65" s="115">
        <v>1</v>
      </c>
      <c r="BT65" s="114">
        <f t="shared" si="6"/>
        <v>0</v>
      </c>
      <c r="BU65" s="116"/>
      <c r="BV65" s="113">
        <f>+BS65+BU65*$C65</f>
        <v>1</v>
      </c>
      <c r="BW65" s="115"/>
      <c r="BX65" s="114">
        <f t="shared" si="7"/>
        <v>1</v>
      </c>
      <c r="BY65" s="116"/>
      <c r="BZ65" s="113">
        <f>+BW65+BY65*$C65</f>
        <v>0</v>
      </c>
      <c r="CA65" s="115"/>
      <c r="CB65" s="114">
        <f t="shared" si="8"/>
        <v>0</v>
      </c>
      <c r="CC65" s="116"/>
      <c r="CD65" s="113">
        <f>+CA65+CC65*$C65</f>
        <v>0</v>
      </c>
      <c r="CE65" s="115"/>
      <c r="CF65" s="114">
        <f t="shared" si="9"/>
        <v>0</v>
      </c>
      <c r="CG65" s="116"/>
      <c r="CH65" s="113">
        <f>+CE65+CG65*$C65</f>
        <v>0</v>
      </c>
      <c r="CI65" s="115"/>
      <c r="CJ65" s="114">
        <f t="shared" si="10"/>
        <v>0</v>
      </c>
      <c r="CK65" s="116"/>
      <c r="CL65" s="113">
        <f>+CI65+CK65*$C65</f>
        <v>0</v>
      </c>
      <c r="CM65" s="115"/>
      <c r="CN65" s="114">
        <f t="shared" si="11"/>
        <v>0</v>
      </c>
      <c r="CO65" s="116"/>
      <c r="CP65" s="113">
        <f>+CM65+CO65*$C65</f>
        <v>0</v>
      </c>
      <c r="CQ65" s="115"/>
      <c r="CR65" s="114">
        <f t="shared" si="12"/>
        <v>0</v>
      </c>
      <c r="CS65" s="116"/>
      <c r="CT65" s="113">
        <f>+CQ65+CS65*$C65</f>
        <v>0</v>
      </c>
      <c r="CU65" s="115"/>
      <c r="CV65" s="114">
        <f t="shared" si="13"/>
        <v>0</v>
      </c>
      <c r="CW65" s="116"/>
      <c r="CX65" s="113">
        <f>+CU65+CW65*$C65</f>
        <v>0</v>
      </c>
    </row>
    <row r="66" spans="1:102" ht="20.100000000000001" customHeight="1" thickTop="1" x14ac:dyDescent="0.25"/>
  </sheetData>
  <autoFilter ref="A1:CX65" xr:uid="{CB639D3C-3D24-41D0-98A6-1802C354935F}">
    <filterColumn colId="0" showButton="0"/>
    <filterColumn colId="1" showButton="0"/>
    <filterColumn colId="72">
      <customFilters>
        <customFilter operator="notEqual" val=" "/>
      </customFilters>
    </filterColumn>
  </autoFilter>
  <mergeCells count="26">
    <mergeCell ref="A1:C1"/>
    <mergeCell ref="W2:Z2"/>
    <mergeCell ref="AY2:BB2"/>
    <mergeCell ref="BC2:BF2"/>
    <mergeCell ref="AE2:AH2"/>
    <mergeCell ref="AI2:AL2"/>
    <mergeCell ref="AM2:AP2"/>
    <mergeCell ref="AQ2:AT2"/>
    <mergeCell ref="AU2:AX2"/>
    <mergeCell ref="AA2:AD2"/>
    <mergeCell ref="O2:R2"/>
    <mergeCell ref="S2:V2"/>
    <mergeCell ref="D2:F2"/>
    <mergeCell ref="BO2:BR2"/>
    <mergeCell ref="G2:J2"/>
    <mergeCell ref="K2:N2"/>
    <mergeCell ref="BK2:BN2"/>
    <mergeCell ref="BG2:BJ2"/>
    <mergeCell ref="CM2:CP2"/>
    <mergeCell ref="CQ2:CT2"/>
    <mergeCell ref="CU2:CX2"/>
    <mergeCell ref="BS2:BV2"/>
    <mergeCell ref="BW2:BZ2"/>
    <mergeCell ref="CA2:CD2"/>
    <mergeCell ref="CE2:CH2"/>
    <mergeCell ref="CI2:CL2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3C95-E2D1-46C3-AE9B-AEDE5A1279D1}">
  <sheetPr>
    <tabColor rgb="FFFFC000"/>
  </sheetPr>
  <dimension ref="A1:EM66"/>
  <sheetViews>
    <sheetView zoomScale="110" zoomScaleNormal="110" workbookViewId="0">
      <pane xSplit="3" ySplit="4" topLeftCell="DI5" activePane="bottomRight" state="frozen"/>
      <selection pane="topRight" activeCell="D1" sqref="D1"/>
      <selection pane="bottomLeft" activeCell="A4" sqref="A4"/>
      <selection pane="bottomRight" activeCell="DF24" sqref="DF24"/>
    </sheetView>
  </sheetViews>
  <sheetFormatPr baseColWidth="10" defaultColWidth="11.42578125" defaultRowHeight="12" x14ac:dyDescent="0.2"/>
  <cols>
    <col min="1" max="1" width="30.140625" style="37" bestFit="1" customWidth="1"/>
    <col min="2" max="2" width="7.5703125" style="37" customWidth="1"/>
    <col min="3" max="3" width="6" style="37" bestFit="1" customWidth="1"/>
    <col min="4" max="143" width="10.28515625" style="37" customWidth="1"/>
    <col min="144" max="16384" width="11.42578125" style="37"/>
  </cols>
  <sheetData>
    <row r="1" spans="1:143" ht="12.75" thickBot="1" x14ac:dyDescent="0.25">
      <c r="A1" s="233" t="s">
        <v>276</v>
      </c>
      <c r="B1" s="234"/>
      <c r="C1" s="234"/>
      <c r="E1" s="150"/>
      <c r="I1" s="150"/>
      <c r="M1" s="150"/>
      <c r="Q1" s="150"/>
      <c r="U1" s="150"/>
      <c r="Y1" s="150"/>
      <c r="AC1" s="150"/>
      <c r="AG1" s="150"/>
      <c r="AK1" s="150"/>
      <c r="AO1" s="150"/>
      <c r="AS1" s="150"/>
      <c r="AW1" s="150"/>
      <c r="BA1" s="150"/>
      <c r="BE1" s="150"/>
      <c r="BI1" s="150"/>
      <c r="BM1" s="150"/>
      <c r="BQ1" s="150"/>
      <c r="BU1" s="150"/>
      <c r="BY1" s="150"/>
      <c r="CC1" s="150"/>
      <c r="CG1" s="150"/>
      <c r="CK1" s="150"/>
      <c r="CO1" s="150"/>
      <c r="CS1" s="150"/>
      <c r="CW1" s="150"/>
      <c r="DA1" s="150"/>
      <c r="DE1" s="150"/>
      <c r="DI1" s="150"/>
      <c r="DM1" s="150"/>
      <c r="DQ1" s="150"/>
      <c r="DU1" s="150"/>
      <c r="DY1" s="150"/>
      <c r="EC1" s="150"/>
      <c r="EG1" s="150"/>
      <c r="EK1" s="150"/>
    </row>
    <row r="2" spans="1:143" s="89" customFormat="1" ht="18" customHeight="1" x14ac:dyDescent="0.25">
      <c r="A2" s="50"/>
      <c r="B2" s="50"/>
      <c r="C2" s="122"/>
      <c r="D2" s="241" t="s">
        <v>262</v>
      </c>
      <c r="E2" s="242"/>
      <c r="F2" s="242"/>
      <c r="G2" s="243"/>
      <c r="H2" s="241" t="s">
        <v>371</v>
      </c>
      <c r="I2" s="242"/>
      <c r="J2" s="242"/>
      <c r="K2" s="242"/>
      <c r="L2" s="235" t="s">
        <v>370</v>
      </c>
      <c r="M2" s="236"/>
      <c r="N2" s="236"/>
      <c r="O2" s="237"/>
      <c r="P2" s="235" t="s">
        <v>371</v>
      </c>
      <c r="Q2" s="236"/>
      <c r="R2" s="236"/>
      <c r="S2" s="237"/>
      <c r="T2" s="235" t="s">
        <v>370</v>
      </c>
      <c r="U2" s="236"/>
      <c r="V2" s="236"/>
      <c r="W2" s="237"/>
      <c r="X2" s="235" t="s">
        <v>371</v>
      </c>
      <c r="Y2" s="236"/>
      <c r="Z2" s="236"/>
      <c r="AA2" s="237"/>
      <c r="AB2" s="235" t="s">
        <v>370</v>
      </c>
      <c r="AC2" s="236"/>
      <c r="AD2" s="236"/>
      <c r="AE2" s="237"/>
      <c r="AF2" s="235" t="s">
        <v>371</v>
      </c>
      <c r="AG2" s="236"/>
      <c r="AH2" s="236"/>
      <c r="AI2" s="237"/>
      <c r="AJ2" s="235" t="s">
        <v>370</v>
      </c>
      <c r="AK2" s="236"/>
      <c r="AL2" s="236"/>
      <c r="AM2" s="237"/>
      <c r="AN2" s="235" t="s">
        <v>371</v>
      </c>
      <c r="AO2" s="236"/>
      <c r="AP2" s="236"/>
      <c r="AQ2" s="237"/>
      <c r="AR2" s="235" t="s">
        <v>370</v>
      </c>
      <c r="AS2" s="236"/>
      <c r="AT2" s="236"/>
      <c r="AU2" s="237"/>
      <c r="AV2" s="235" t="s">
        <v>371</v>
      </c>
      <c r="AW2" s="236"/>
      <c r="AX2" s="236"/>
      <c r="AY2" s="237"/>
      <c r="AZ2" s="235" t="s">
        <v>370</v>
      </c>
      <c r="BA2" s="236"/>
      <c r="BB2" s="236"/>
      <c r="BC2" s="237"/>
      <c r="BD2" s="235" t="s">
        <v>371</v>
      </c>
      <c r="BE2" s="236"/>
      <c r="BF2" s="236"/>
      <c r="BG2" s="237"/>
      <c r="BH2" s="235" t="s">
        <v>370</v>
      </c>
      <c r="BI2" s="236"/>
      <c r="BJ2" s="236"/>
      <c r="BK2" s="237"/>
      <c r="BL2" s="235" t="s">
        <v>371</v>
      </c>
      <c r="BM2" s="236"/>
      <c r="BN2" s="236"/>
      <c r="BO2" s="237"/>
      <c r="BP2" s="235" t="s">
        <v>370</v>
      </c>
      <c r="BQ2" s="236"/>
      <c r="BR2" s="236"/>
      <c r="BS2" s="237"/>
      <c r="BT2" s="235" t="s">
        <v>371</v>
      </c>
      <c r="BU2" s="236"/>
      <c r="BV2" s="236"/>
      <c r="BW2" s="237"/>
      <c r="BX2" s="235" t="s">
        <v>370</v>
      </c>
      <c r="BY2" s="236"/>
      <c r="BZ2" s="236"/>
      <c r="CA2" s="237"/>
      <c r="CB2" s="235" t="s">
        <v>371</v>
      </c>
      <c r="CC2" s="236"/>
      <c r="CD2" s="236"/>
      <c r="CE2" s="237"/>
      <c r="CF2" s="235" t="s">
        <v>370</v>
      </c>
      <c r="CG2" s="236"/>
      <c r="CH2" s="236"/>
      <c r="CI2" s="237"/>
      <c r="CJ2" s="235" t="s">
        <v>371</v>
      </c>
      <c r="CK2" s="236"/>
      <c r="CL2" s="236"/>
      <c r="CM2" s="237"/>
      <c r="CN2" s="235" t="s">
        <v>370</v>
      </c>
      <c r="CO2" s="236"/>
      <c r="CP2" s="236"/>
      <c r="CQ2" s="237"/>
      <c r="CR2" s="235" t="s">
        <v>371</v>
      </c>
      <c r="CS2" s="236"/>
      <c r="CT2" s="236"/>
      <c r="CU2" s="237"/>
      <c r="CV2" s="235" t="s">
        <v>370</v>
      </c>
      <c r="CW2" s="236"/>
      <c r="CX2" s="236"/>
      <c r="CY2" s="237"/>
      <c r="CZ2" s="235" t="s">
        <v>371</v>
      </c>
      <c r="DA2" s="236"/>
      <c r="DB2" s="236"/>
      <c r="DC2" s="237"/>
      <c r="DD2" s="235" t="s">
        <v>370</v>
      </c>
      <c r="DE2" s="236"/>
      <c r="DF2" s="236"/>
      <c r="DG2" s="237"/>
      <c r="DH2" s="235" t="s">
        <v>371</v>
      </c>
      <c r="DI2" s="236"/>
      <c r="DJ2" s="236"/>
      <c r="DK2" s="237"/>
      <c r="DL2" s="235" t="s">
        <v>370</v>
      </c>
      <c r="DM2" s="236"/>
      <c r="DN2" s="236"/>
      <c r="DO2" s="237"/>
      <c r="DP2" s="235" t="s">
        <v>371</v>
      </c>
      <c r="DQ2" s="236"/>
      <c r="DR2" s="236"/>
      <c r="DS2" s="237"/>
      <c r="DT2" s="235" t="s">
        <v>370</v>
      </c>
      <c r="DU2" s="236"/>
      <c r="DV2" s="236"/>
      <c r="DW2" s="237"/>
      <c r="DX2" s="235" t="s">
        <v>371</v>
      </c>
      <c r="DY2" s="236"/>
      <c r="DZ2" s="236"/>
      <c r="EA2" s="237"/>
      <c r="EB2" s="235" t="s">
        <v>370</v>
      </c>
      <c r="EC2" s="236"/>
      <c r="ED2" s="236"/>
      <c r="EE2" s="237"/>
      <c r="EF2" s="235" t="s">
        <v>371</v>
      </c>
      <c r="EG2" s="236"/>
      <c r="EH2" s="236"/>
      <c r="EI2" s="237"/>
      <c r="EJ2" s="235" t="s">
        <v>370</v>
      </c>
      <c r="EK2" s="236"/>
      <c r="EL2" s="236"/>
      <c r="EM2" s="237"/>
    </row>
    <row r="3" spans="1:143" s="89" customFormat="1" ht="18.75" customHeight="1" thickBot="1" x14ac:dyDescent="0.3">
      <c r="A3" s="50"/>
      <c r="B3" s="50"/>
      <c r="C3" s="122"/>
      <c r="D3" s="238">
        <v>46190</v>
      </c>
      <c r="E3" s="239"/>
      <c r="F3" s="239"/>
      <c r="G3" s="240"/>
      <c r="H3" s="238"/>
      <c r="I3" s="239"/>
      <c r="J3" s="239"/>
      <c r="K3" s="240"/>
      <c r="L3" s="238">
        <v>46194</v>
      </c>
      <c r="M3" s="239"/>
      <c r="N3" s="239"/>
      <c r="O3" s="240"/>
      <c r="P3" s="238">
        <v>46197</v>
      </c>
      <c r="Q3" s="239"/>
      <c r="R3" s="239"/>
      <c r="S3" s="240"/>
      <c r="T3" s="238">
        <v>46201</v>
      </c>
      <c r="U3" s="239"/>
      <c r="V3" s="239"/>
      <c r="W3" s="240"/>
      <c r="X3" s="238" t="s">
        <v>372</v>
      </c>
      <c r="Y3" s="239"/>
      <c r="Z3" s="239"/>
      <c r="AA3" s="240"/>
      <c r="AB3" s="238">
        <v>46208</v>
      </c>
      <c r="AC3" s="239"/>
      <c r="AD3" s="239"/>
      <c r="AE3" s="240"/>
      <c r="AF3" s="238">
        <v>46211</v>
      </c>
      <c r="AG3" s="239"/>
      <c r="AH3" s="239"/>
      <c r="AI3" s="240"/>
      <c r="AJ3" s="238">
        <v>46215</v>
      </c>
      <c r="AK3" s="239"/>
      <c r="AL3" s="239"/>
      <c r="AM3" s="240"/>
      <c r="AN3" s="238">
        <v>46218</v>
      </c>
      <c r="AO3" s="239"/>
      <c r="AP3" s="239"/>
      <c r="AQ3" s="240"/>
      <c r="AR3" s="238">
        <v>46222</v>
      </c>
      <c r="AS3" s="239"/>
      <c r="AT3" s="239"/>
      <c r="AU3" s="240"/>
      <c r="AV3" s="238">
        <v>46225</v>
      </c>
      <c r="AW3" s="239"/>
      <c r="AX3" s="239"/>
      <c r="AY3" s="240"/>
      <c r="AZ3" s="238">
        <v>46229</v>
      </c>
      <c r="BA3" s="239"/>
      <c r="BB3" s="239"/>
      <c r="BC3" s="240"/>
      <c r="BD3" s="238">
        <v>46232</v>
      </c>
      <c r="BE3" s="239"/>
      <c r="BF3" s="239"/>
      <c r="BG3" s="240"/>
      <c r="BH3" s="238">
        <v>46236</v>
      </c>
      <c r="BI3" s="239"/>
      <c r="BJ3" s="239"/>
      <c r="BK3" s="240"/>
      <c r="BL3" s="238">
        <v>46239</v>
      </c>
      <c r="BM3" s="239"/>
      <c r="BN3" s="239"/>
      <c r="BO3" s="240"/>
      <c r="BP3" s="238">
        <v>46243</v>
      </c>
      <c r="BQ3" s="239"/>
      <c r="BR3" s="239"/>
      <c r="BS3" s="240"/>
      <c r="BT3" s="238">
        <v>46246</v>
      </c>
      <c r="BU3" s="239"/>
      <c r="BV3" s="239"/>
      <c r="BW3" s="240"/>
      <c r="BX3" s="238">
        <v>46250</v>
      </c>
      <c r="BY3" s="239"/>
      <c r="BZ3" s="239"/>
      <c r="CA3" s="240"/>
      <c r="CB3" s="238">
        <v>46253</v>
      </c>
      <c r="CC3" s="239"/>
      <c r="CD3" s="239"/>
      <c r="CE3" s="240"/>
      <c r="CF3" s="238">
        <v>46257</v>
      </c>
      <c r="CG3" s="239"/>
      <c r="CH3" s="239"/>
      <c r="CI3" s="240"/>
      <c r="CJ3" s="238">
        <v>46260</v>
      </c>
      <c r="CK3" s="239"/>
      <c r="CL3" s="239"/>
      <c r="CM3" s="240"/>
      <c r="CN3" s="238">
        <v>46264</v>
      </c>
      <c r="CO3" s="239"/>
      <c r="CP3" s="239"/>
      <c r="CQ3" s="240"/>
      <c r="CR3" s="238">
        <v>46267</v>
      </c>
      <c r="CS3" s="239"/>
      <c r="CT3" s="239"/>
      <c r="CU3" s="240"/>
      <c r="CV3" s="238">
        <v>46271</v>
      </c>
      <c r="CW3" s="239"/>
      <c r="CX3" s="239"/>
      <c r="CY3" s="240"/>
      <c r="CZ3" s="238">
        <v>46274</v>
      </c>
      <c r="DA3" s="239"/>
      <c r="DB3" s="239"/>
      <c r="DC3" s="240"/>
      <c r="DD3" s="238">
        <v>46278</v>
      </c>
      <c r="DE3" s="239"/>
      <c r="DF3" s="239"/>
      <c r="DG3" s="240"/>
      <c r="DH3" s="238"/>
      <c r="DI3" s="239"/>
      <c r="DJ3" s="239"/>
      <c r="DK3" s="240"/>
      <c r="DL3" s="238"/>
      <c r="DM3" s="239"/>
      <c r="DN3" s="239"/>
      <c r="DO3" s="240"/>
      <c r="DP3" s="238"/>
      <c r="DQ3" s="239"/>
      <c r="DR3" s="239"/>
      <c r="DS3" s="240"/>
      <c r="DT3" s="238"/>
      <c r="DU3" s="239"/>
      <c r="DV3" s="239"/>
      <c r="DW3" s="240"/>
      <c r="DX3" s="238"/>
      <c r="DY3" s="239"/>
      <c r="DZ3" s="239"/>
      <c r="EA3" s="240"/>
      <c r="EB3" s="238"/>
      <c r="EC3" s="239"/>
      <c r="ED3" s="239"/>
      <c r="EE3" s="240"/>
      <c r="EF3" s="238"/>
      <c r="EG3" s="239"/>
      <c r="EH3" s="239"/>
      <c r="EI3" s="240"/>
      <c r="EJ3" s="238"/>
      <c r="EK3" s="239"/>
      <c r="EL3" s="239"/>
      <c r="EM3" s="240"/>
    </row>
    <row r="4" spans="1:143" ht="42" customHeight="1" x14ac:dyDescent="0.2">
      <c r="A4" s="11" t="s">
        <v>1</v>
      </c>
      <c r="B4" s="138" t="s">
        <v>345</v>
      </c>
      <c r="C4" s="123" t="s">
        <v>2</v>
      </c>
      <c r="D4" s="22" t="s">
        <v>221</v>
      </c>
      <c r="E4" s="133" t="s">
        <v>220</v>
      </c>
      <c r="F4" s="134" t="s">
        <v>219</v>
      </c>
      <c r="G4" s="135" t="s">
        <v>222</v>
      </c>
      <c r="H4" s="22" t="s">
        <v>221</v>
      </c>
      <c r="I4" s="133" t="s">
        <v>220</v>
      </c>
      <c r="J4" s="134" t="s">
        <v>219</v>
      </c>
      <c r="K4" s="135" t="s">
        <v>222</v>
      </c>
      <c r="L4" s="22" t="s">
        <v>221</v>
      </c>
      <c r="M4" s="133" t="s">
        <v>220</v>
      </c>
      <c r="N4" s="134" t="s">
        <v>219</v>
      </c>
      <c r="O4" s="135" t="s">
        <v>222</v>
      </c>
      <c r="P4" s="22" t="s">
        <v>221</v>
      </c>
      <c r="Q4" s="133" t="s">
        <v>220</v>
      </c>
      <c r="R4" s="134" t="s">
        <v>219</v>
      </c>
      <c r="S4" s="135" t="s">
        <v>222</v>
      </c>
      <c r="T4" s="22" t="s">
        <v>221</v>
      </c>
      <c r="U4" s="133" t="s">
        <v>220</v>
      </c>
      <c r="V4" s="134" t="s">
        <v>219</v>
      </c>
      <c r="W4" s="135" t="s">
        <v>222</v>
      </c>
      <c r="X4" s="22" t="s">
        <v>221</v>
      </c>
      <c r="Y4" s="133" t="s">
        <v>220</v>
      </c>
      <c r="Z4" s="134" t="s">
        <v>219</v>
      </c>
      <c r="AA4" s="135" t="s">
        <v>222</v>
      </c>
      <c r="AB4" s="22" t="s">
        <v>221</v>
      </c>
      <c r="AC4" s="133" t="s">
        <v>220</v>
      </c>
      <c r="AD4" s="134" t="s">
        <v>219</v>
      </c>
      <c r="AE4" s="135" t="s">
        <v>222</v>
      </c>
      <c r="AF4" s="22" t="s">
        <v>221</v>
      </c>
      <c r="AG4" s="133" t="s">
        <v>220</v>
      </c>
      <c r="AH4" s="134" t="s">
        <v>219</v>
      </c>
      <c r="AI4" s="135" t="s">
        <v>222</v>
      </c>
      <c r="AJ4" s="22" t="s">
        <v>221</v>
      </c>
      <c r="AK4" s="133" t="s">
        <v>220</v>
      </c>
      <c r="AL4" s="134" t="s">
        <v>219</v>
      </c>
      <c r="AM4" s="135" t="s">
        <v>222</v>
      </c>
      <c r="AN4" s="22" t="s">
        <v>221</v>
      </c>
      <c r="AO4" s="133" t="s">
        <v>220</v>
      </c>
      <c r="AP4" s="134" t="s">
        <v>219</v>
      </c>
      <c r="AQ4" s="135" t="s">
        <v>222</v>
      </c>
      <c r="AR4" s="22" t="s">
        <v>221</v>
      </c>
      <c r="AS4" s="133" t="s">
        <v>220</v>
      </c>
      <c r="AT4" s="134" t="s">
        <v>219</v>
      </c>
      <c r="AU4" s="135" t="s">
        <v>222</v>
      </c>
      <c r="AV4" s="22" t="s">
        <v>221</v>
      </c>
      <c r="AW4" s="133" t="s">
        <v>220</v>
      </c>
      <c r="AX4" s="134" t="s">
        <v>219</v>
      </c>
      <c r="AY4" s="135" t="s">
        <v>222</v>
      </c>
      <c r="AZ4" s="22" t="s">
        <v>221</v>
      </c>
      <c r="BA4" s="133" t="s">
        <v>220</v>
      </c>
      <c r="BB4" s="134" t="s">
        <v>219</v>
      </c>
      <c r="BC4" s="135" t="s">
        <v>222</v>
      </c>
      <c r="BD4" s="22" t="s">
        <v>221</v>
      </c>
      <c r="BE4" s="133" t="s">
        <v>220</v>
      </c>
      <c r="BF4" s="134" t="s">
        <v>219</v>
      </c>
      <c r="BG4" s="135" t="s">
        <v>222</v>
      </c>
      <c r="BH4" s="22" t="s">
        <v>221</v>
      </c>
      <c r="BI4" s="133" t="s">
        <v>220</v>
      </c>
      <c r="BJ4" s="134" t="s">
        <v>219</v>
      </c>
      <c r="BK4" s="135" t="s">
        <v>222</v>
      </c>
      <c r="BL4" s="22" t="s">
        <v>221</v>
      </c>
      <c r="BM4" s="133" t="s">
        <v>220</v>
      </c>
      <c r="BN4" s="134" t="s">
        <v>377</v>
      </c>
      <c r="BO4" s="135" t="s">
        <v>222</v>
      </c>
      <c r="BP4" s="22" t="s">
        <v>221</v>
      </c>
      <c r="BQ4" s="133" t="s">
        <v>220</v>
      </c>
      <c r="BR4" s="134" t="s">
        <v>219</v>
      </c>
      <c r="BS4" s="135" t="s">
        <v>222</v>
      </c>
      <c r="BT4" s="22" t="s">
        <v>221</v>
      </c>
      <c r="BU4" s="133" t="s">
        <v>220</v>
      </c>
      <c r="BV4" s="134" t="s">
        <v>219</v>
      </c>
      <c r="BW4" s="135" t="s">
        <v>222</v>
      </c>
      <c r="BX4" s="22" t="s">
        <v>221</v>
      </c>
      <c r="BY4" s="133" t="s">
        <v>220</v>
      </c>
      <c r="BZ4" s="134" t="s">
        <v>219</v>
      </c>
      <c r="CA4" s="135" t="s">
        <v>222</v>
      </c>
      <c r="CB4" s="22" t="s">
        <v>221</v>
      </c>
      <c r="CC4" s="133" t="s">
        <v>220</v>
      </c>
      <c r="CD4" s="134" t="s">
        <v>219</v>
      </c>
      <c r="CE4" s="135" t="s">
        <v>222</v>
      </c>
      <c r="CF4" s="22" t="s">
        <v>221</v>
      </c>
      <c r="CG4" s="133" t="s">
        <v>220</v>
      </c>
      <c r="CH4" s="134" t="s">
        <v>219</v>
      </c>
      <c r="CI4" s="135" t="s">
        <v>222</v>
      </c>
      <c r="CJ4" s="22" t="s">
        <v>221</v>
      </c>
      <c r="CK4" s="133" t="s">
        <v>220</v>
      </c>
      <c r="CL4" s="134" t="s">
        <v>219</v>
      </c>
      <c r="CM4" s="135" t="s">
        <v>222</v>
      </c>
      <c r="CN4" s="22" t="s">
        <v>221</v>
      </c>
      <c r="CO4" s="133" t="s">
        <v>220</v>
      </c>
      <c r="CP4" s="134" t="s">
        <v>219</v>
      </c>
      <c r="CQ4" s="135" t="s">
        <v>222</v>
      </c>
      <c r="CR4" s="22" t="s">
        <v>221</v>
      </c>
      <c r="CS4" s="133" t="s">
        <v>220</v>
      </c>
      <c r="CT4" s="134" t="s">
        <v>219</v>
      </c>
      <c r="CU4" s="135" t="s">
        <v>222</v>
      </c>
      <c r="CV4" s="22" t="s">
        <v>221</v>
      </c>
      <c r="CW4" s="133" t="s">
        <v>220</v>
      </c>
      <c r="CX4" s="134" t="s">
        <v>219</v>
      </c>
      <c r="CY4" s="135" t="s">
        <v>222</v>
      </c>
      <c r="CZ4" s="22" t="s">
        <v>221</v>
      </c>
      <c r="DA4" s="133" t="s">
        <v>220</v>
      </c>
      <c r="DB4" s="134" t="s">
        <v>219</v>
      </c>
      <c r="DC4" s="135" t="s">
        <v>222</v>
      </c>
      <c r="DD4" s="22" t="s">
        <v>221</v>
      </c>
      <c r="DE4" s="133" t="s">
        <v>220</v>
      </c>
      <c r="DF4" s="134" t="s">
        <v>219</v>
      </c>
      <c r="DG4" s="135" t="s">
        <v>222</v>
      </c>
      <c r="DH4" s="22" t="s">
        <v>221</v>
      </c>
      <c r="DI4" s="133" t="s">
        <v>220</v>
      </c>
      <c r="DJ4" s="134" t="s">
        <v>219</v>
      </c>
      <c r="DK4" s="135" t="s">
        <v>222</v>
      </c>
      <c r="DL4" s="22" t="s">
        <v>221</v>
      </c>
      <c r="DM4" s="133" t="s">
        <v>220</v>
      </c>
      <c r="DN4" s="134" t="s">
        <v>219</v>
      </c>
      <c r="DO4" s="135" t="s">
        <v>222</v>
      </c>
      <c r="DP4" s="22" t="s">
        <v>221</v>
      </c>
      <c r="DQ4" s="133" t="s">
        <v>220</v>
      </c>
      <c r="DR4" s="134" t="s">
        <v>219</v>
      </c>
      <c r="DS4" s="135" t="s">
        <v>222</v>
      </c>
      <c r="DT4" s="22" t="s">
        <v>221</v>
      </c>
      <c r="DU4" s="133" t="s">
        <v>220</v>
      </c>
      <c r="DV4" s="134" t="s">
        <v>219</v>
      </c>
      <c r="DW4" s="135" t="s">
        <v>222</v>
      </c>
      <c r="DX4" s="22" t="s">
        <v>221</v>
      </c>
      <c r="DY4" s="133" t="s">
        <v>220</v>
      </c>
      <c r="DZ4" s="134" t="s">
        <v>219</v>
      </c>
      <c r="EA4" s="135" t="s">
        <v>222</v>
      </c>
      <c r="EB4" s="22" t="s">
        <v>221</v>
      </c>
      <c r="EC4" s="133" t="s">
        <v>220</v>
      </c>
      <c r="ED4" s="134" t="s">
        <v>219</v>
      </c>
      <c r="EE4" s="135" t="s">
        <v>222</v>
      </c>
      <c r="EF4" s="22" t="s">
        <v>221</v>
      </c>
      <c r="EG4" s="133" t="s">
        <v>220</v>
      </c>
      <c r="EH4" s="134" t="s">
        <v>219</v>
      </c>
      <c r="EI4" s="135" t="s">
        <v>222</v>
      </c>
      <c r="EJ4" s="22" t="s">
        <v>221</v>
      </c>
      <c r="EK4" s="133" t="s">
        <v>220</v>
      </c>
      <c r="EL4" s="134" t="s">
        <v>219</v>
      </c>
      <c r="EM4" s="135" t="s">
        <v>222</v>
      </c>
    </row>
    <row r="5" spans="1:143" s="89" customFormat="1" ht="20.100000000000001" customHeight="1" x14ac:dyDescent="0.25">
      <c r="A5" s="19" t="s">
        <v>245</v>
      </c>
      <c r="B5" s="156" t="s">
        <v>246</v>
      </c>
      <c r="C5" s="124">
        <v>1</v>
      </c>
      <c r="D5" s="75">
        <v>1</v>
      </c>
      <c r="E5" s="126">
        <v>1</v>
      </c>
      <c r="F5" s="127">
        <v>5</v>
      </c>
      <c r="G5" s="128">
        <f>+D5+F5*$C5</f>
        <v>6</v>
      </c>
      <c r="H5" s="75">
        <v>5</v>
      </c>
      <c r="I5" s="126">
        <f>G5-H5</f>
        <v>1</v>
      </c>
      <c r="J5" s="127"/>
      <c r="K5" s="128">
        <f>+H5+J5*$C5</f>
        <v>5</v>
      </c>
      <c r="L5" s="75">
        <v>4</v>
      </c>
      <c r="M5" s="126">
        <f>K5-L5</f>
        <v>1</v>
      </c>
      <c r="N5" s="127"/>
      <c r="O5" s="128">
        <f>+L5+N5*$C5</f>
        <v>4</v>
      </c>
      <c r="P5" s="75">
        <v>1</v>
      </c>
      <c r="Q5" s="126">
        <f>O5-P5</f>
        <v>3</v>
      </c>
      <c r="R5" s="127">
        <v>1</v>
      </c>
      <c r="S5" s="128">
        <f>+P5+R5*$C5</f>
        <v>2</v>
      </c>
      <c r="T5" s="75">
        <v>1</v>
      </c>
      <c r="U5" s="126">
        <f>S5-T5</f>
        <v>1</v>
      </c>
      <c r="V5" s="127">
        <v>2</v>
      </c>
      <c r="W5" s="128">
        <f>+T5+V5*$C5</f>
        <v>3</v>
      </c>
      <c r="X5" s="75">
        <v>0</v>
      </c>
      <c r="Y5" s="126">
        <f>W5-X5</f>
        <v>3</v>
      </c>
      <c r="Z5" s="127">
        <v>3</v>
      </c>
      <c r="AA5" s="128">
        <f>+X5+Z5*$C5</f>
        <v>3</v>
      </c>
      <c r="AB5" s="75">
        <v>2</v>
      </c>
      <c r="AC5" s="126">
        <f>AA5-AB5</f>
        <v>1</v>
      </c>
      <c r="AD5" s="127">
        <v>4</v>
      </c>
      <c r="AE5" s="128">
        <f>+AB5+AD5*$C5</f>
        <v>6</v>
      </c>
      <c r="AF5" s="75">
        <v>6</v>
      </c>
      <c r="AG5" s="126">
        <f>AE5-AF5</f>
        <v>0</v>
      </c>
      <c r="AH5" s="127"/>
      <c r="AI5" s="128">
        <f>+AF5+AH5*$C5</f>
        <v>6</v>
      </c>
      <c r="AJ5" s="75">
        <v>3</v>
      </c>
      <c r="AK5" s="126">
        <f>AI5-AJ5</f>
        <v>3</v>
      </c>
      <c r="AL5" s="202">
        <v>1</v>
      </c>
      <c r="AM5" s="128">
        <f>+AJ5+AL5*$C5</f>
        <v>4</v>
      </c>
      <c r="AN5" s="75">
        <v>3</v>
      </c>
      <c r="AO5" s="126">
        <f>AM5-AN5</f>
        <v>1</v>
      </c>
      <c r="AP5" s="127"/>
      <c r="AQ5" s="128">
        <f>+AN5+AP5*$C5</f>
        <v>3</v>
      </c>
      <c r="AR5" s="75">
        <v>2</v>
      </c>
      <c r="AS5" s="126">
        <f>AQ5-AR5</f>
        <v>1</v>
      </c>
      <c r="AT5" s="127">
        <v>1</v>
      </c>
      <c r="AU5" s="128">
        <f>+AR5+AT5*$C5</f>
        <v>3</v>
      </c>
      <c r="AV5" s="75">
        <v>3</v>
      </c>
      <c r="AW5" s="126">
        <f>AU5-AV5</f>
        <v>0</v>
      </c>
      <c r="AX5" s="127"/>
      <c r="AY5" s="128">
        <f>+AV5+AX5*$C5</f>
        <v>3</v>
      </c>
      <c r="AZ5" s="75">
        <v>3</v>
      </c>
      <c r="BA5" s="126">
        <f>AY5-AZ5</f>
        <v>0</v>
      </c>
      <c r="BB5" s="127"/>
      <c r="BC5" s="128">
        <f>+AZ5+BB5*$C5</f>
        <v>3</v>
      </c>
      <c r="BD5" s="75">
        <v>2</v>
      </c>
      <c r="BE5" s="126">
        <f>BC5-BD5</f>
        <v>1</v>
      </c>
      <c r="BF5" s="127">
        <v>1</v>
      </c>
      <c r="BG5" s="128">
        <f>+BD5+BF5*$C5</f>
        <v>3</v>
      </c>
      <c r="BH5" s="75">
        <v>2</v>
      </c>
      <c r="BI5" s="126">
        <f>BG5-BH5</f>
        <v>1</v>
      </c>
      <c r="BJ5" s="127"/>
      <c r="BK5" s="128">
        <f>+BH5+BJ5*$C5</f>
        <v>2</v>
      </c>
      <c r="BL5" s="75">
        <v>1</v>
      </c>
      <c r="BM5" s="126">
        <f>BK5-BL5</f>
        <v>1</v>
      </c>
      <c r="BN5" s="127">
        <v>1</v>
      </c>
      <c r="BO5" s="128">
        <f>+BL5+BN5*$C5</f>
        <v>2</v>
      </c>
      <c r="BP5" s="75">
        <v>1</v>
      </c>
      <c r="BQ5" s="126">
        <f>BO5-BP5</f>
        <v>1</v>
      </c>
      <c r="BR5" s="127">
        <v>1</v>
      </c>
      <c r="BS5" s="128">
        <f>+BP5+BR5*$C5</f>
        <v>2</v>
      </c>
      <c r="BT5" s="75">
        <v>1</v>
      </c>
      <c r="BU5" s="126">
        <f>BS5-BT5</f>
        <v>1</v>
      </c>
      <c r="BV5" s="127">
        <v>1</v>
      </c>
      <c r="BW5" s="128">
        <f>+BT5+BV5*$C5</f>
        <v>2</v>
      </c>
      <c r="BX5" s="75">
        <v>2</v>
      </c>
      <c r="BY5" s="126">
        <f>BW5-BX5</f>
        <v>0</v>
      </c>
      <c r="BZ5" s="127"/>
      <c r="CA5" s="128">
        <f>+BX5+BZ5*$C5</f>
        <v>2</v>
      </c>
      <c r="CB5" s="75">
        <v>1</v>
      </c>
      <c r="CC5" s="126">
        <f>CA5-CB5</f>
        <v>1</v>
      </c>
      <c r="CD5" s="127">
        <v>1</v>
      </c>
      <c r="CE5" s="128">
        <f>+CB5+CD5*$C5</f>
        <v>2</v>
      </c>
      <c r="CF5" s="75">
        <v>0</v>
      </c>
      <c r="CG5" s="126">
        <f>CE5-CF5</f>
        <v>2</v>
      </c>
      <c r="CH5" s="127">
        <v>2</v>
      </c>
      <c r="CI5" s="128">
        <f>+CF5+CH5*$C5</f>
        <v>2</v>
      </c>
      <c r="CJ5" s="75">
        <v>1</v>
      </c>
      <c r="CK5" s="126">
        <f>CI5-CJ5</f>
        <v>1</v>
      </c>
      <c r="CL5" s="127">
        <v>2</v>
      </c>
      <c r="CM5" s="128">
        <f>+CJ5+CL5*$C5</f>
        <v>3</v>
      </c>
      <c r="CN5" s="75">
        <v>2</v>
      </c>
      <c r="CO5" s="126">
        <f>CM5-CN5</f>
        <v>1</v>
      </c>
      <c r="CP5" s="127">
        <v>1</v>
      </c>
      <c r="CQ5" s="128">
        <f>+CN5+CP5*$C5</f>
        <v>3</v>
      </c>
      <c r="CR5" s="75">
        <v>2</v>
      </c>
      <c r="CS5" s="126">
        <f>CQ5-CR5</f>
        <v>1</v>
      </c>
      <c r="CT5" s="127">
        <v>1</v>
      </c>
      <c r="CU5" s="128">
        <f>+CR5+CT5*$C5</f>
        <v>3</v>
      </c>
      <c r="CV5" s="75">
        <v>2</v>
      </c>
      <c r="CW5" s="126">
        <f>CU5-CV5</f>
        <v>1</v>
      </c>
      <c r="CX5" s="127">
        <v>1</v>
      </c>
      <c r="CY5" s="128">
        <f>+CV5+CX5*$C5</f>
        <v>3</v>
      </c>
      <c r="CZ5" s="75">
        <v>3</v>
      </c>
      <c r="DA5" s="126">
        <f>CY5-CZ5</f>
        <v>0</v>
      </c>
      <c r="DB5" s="127"/>
      <c r="DC5" s="128">
        <f>+CZ5+DB5*$C5</f>
        <v>3</v>
      </c>
      <c r="DD5" s="75">
        <v>2</v>
      </c>
      <c r="DE5" s="126">
        <f>DC5-DD5</f>
        <v>1</v>
      </c>
      <c r="DF5" s="127">
        <v>1</v>
      </c>
      <c r="DG5" s="128">
        <f>+DD5+DF5*$C5</f>
        <v>3</v>
      </c>
      <c r="DH5" s="75"/>
      <c r="DI5" s="126">
        <f>DG5-DH5</f>
        <v>3</v>
      </c>
      <c r="DJ5" s="127"/>
      <c r="DK5" s="128">
        <f>+DH5+DJ5*$C5</f>
        <v>0</v>
      </c>
      <c r="DL5" s="75"/>
      <c r="DM5" s="126">
        <f>DK5-DL5</f>
        <v>0</v>
      </c>
      <c r="DN5" s="127"/>
      <c r="DO5" s="128">
        <f>+DL5+DN5*$C5</f>
        <v>0</v>
      </c>
      <c r="DP5" s="75"/>
      <c r="DQ5" s="126">
        <f>DO5-DP5</f>
        <v>0</v>
      </c>
      <c r="DR5" s="127"/>
      <c r="DS5" s="128">
        <f>+DP5+DR5*$C5</f>
        <v>0</v>
      </c>
      <c r="DT5" s="75"/>
      <c r="DU5" s="126">
        <f>DS5-DT5</f>
        <v>0</v>
      </c>
      <c r="DV5" s="127"/>
      <c r="DW5" s="128">
        <f>+DT5+DV5*$C5</f>
        <v>0</v>
      </c>
      <c r="DX5" s="75"/>
      <c r="DY5" s="126">
        <f>DW5-DX5</f>
        <v>0</v>
      </c>
      <c r="DZ5" s="127"/>
      <c r="EA5" s="128">
        <f>+DX5+DZ5*$C5</f>
        <v>0</v>
      </c>
      <c r="EB5" s="75"/>
      <c r="EC5" s="126">
        <f>EA5-EB5</f>
        <v>0</v>
      </c>
      <c r="ED5" s="127"/>
      <c r="EE5" s="128">
        <f>+EB5+ED5*$C5</f>
        <v>0</v>
      </c>
      <c r="EF5" s="75"/>
      <c r="EG5" s="126">
        <f>EE5-EF5</f>
        <v>0</v>
      </c>
      <c r="EH5" s="127"/>
      <c r="EI5" s="128">
        <f>+EF5+EH5*$C5</f>
        <v>0</v>
      </c>
      <c r="EJ5" s="75"/>
      <c r="EK5" s="126">
        <f>EI5-EJ5</f>
        <v>0</v>
      </c>
      <c r="EL5" s="127"/>
      <c r="EM5" s="128">
        <f>+EJ5+EL5*$C5</f>
        <v>0</v>
      </c>
    </row>
    <row r="6" spans="1:143" s="89" customFormat="1" ht="20.100000000000001" customHeight="1" x14ac:dyDescent="0.25">
      <c r="A6" s="19" t="s">
        <v>247</v>
      </c>
      <c r="B6" s="156" t="s">
        <v>248</v>
      </c>
      <c r="C6" s="124">
        <v>1</v>
      </c>
      <c r="D6" s="75">
        <v>1</v>
      </c>
      <c r="E6" s="126">
        <v>1</v>
      </c>
      <c r="F6" s="127">
        <v>2</v>
      </c>
      <c r="G6" s="128">
        <f>+D6+F6*$C6</f>
        <v>3</v>
      </c>
      <c r="H6" s="75">
        <v>2</v>
      </c>
      <c r="I6" s="126">
        <f>G6-H6</f>
        <v>1</v>
      </c>
      <c r="J6" s="127">
        <v>2</v>
      </c>
      <c r="K6" s="128">
        <f>+H6+J6*$C6</f>
        <v>4</v>
      </c>
      <c r="L6" s="75">
        <v>3</v>
      </c>
      <c r="M6" s="126">
        <f>K6-L6</f>
        <v>1</v>
      </c>
      <c r="N6" s="127"/>
      <c r="O6" s="128">
        <f>+L6+N6*$C6</f>
        <v>3</v>
      </c>
      <c r="P6" s="75">
        <v>3</v>
      </c>
      <c r="Q6" s="126">
        <f>O6-P6</f>
        <v>0</v>
      </c>
      <c r="R6" s="127"/>
      <c r="S6" s="128">
        <f>+P6+R6*$C6</f>
        <v>3</v>
      </c>
      <c r="T6" s="75">
        <v>2</v>
      </c>
      <c r="U6" s="126">
        <f>S6-T6</f>
        <v>1</v>
      </c>
      <c r="V6" s="127">
        <v>1</v>
      </c>
      <c r="W6" s="128">
        <f>+T6+V6*$C6</f>
        <v>3</v>
      </c>
      <c r="X6" s="75">
        <v>3</v>
      </c>
      <c r="Y6" s="126">
        <f>W6-X6</f>
        <v>0</v>
      </c>
      <c r="Z6" s="127"/>
      <c r="AA6" s="128">
        <f>+X6+Z6*$C6</f>
        <v>3</v>
      </c>
      <c r="AB6" s="75">
        <v>2</v>
      </c>
      <c r="AC6" s="126">
        <f>AA6-AB6</f>
        <v>1</v>
      </c>
      <c r="AD6" s="127">
        <v>1</v>
      </c>
      <c r="AE6" s="128">
        <f>+AB6+AD6*$C6</f>
        <v>3</v>
      </c>
      <c r="AF6" s="75">
        <v>2</v>
      </c>
      <c r="AG6" s="126">
        <f t="shared" ref="AG6:AG20" si="0">AE6-AF6</f>
        <v>1</v>
      </c>
      <c r="AH6" s="127"/>
      <c r="AI6" s="128">
        <f>+AF6+AH6*$C6</f>
        <v>2</v>
      </c>
      <c r="AJ6" s="75">
        <v>2</v>
      </c>
      <c r="AK6" s="126">
        <f t="shared" ref="AK6:AK20" si="1">AI6-AJ6</f>
        <v>0</v>
      </c>
      <c r="AL6" s="127"/>
      <c r="AM6" s="128">
        <f t="shared" ref="AM6:AM20" si="2">+AJ6+AL6*$C6</f>
        <v>2</v>
      </c>
      <c r="AN6" s="75">
        <v>1</v>
      </c>
      <c r="AO6" s="126">
        <f>AM6-AN6</f>
        <v>1</v>
      </c>
      <c r="AP6" s="202">
        <v>1</v>
      </c>
      <c r="AQ6" s="128">
        <f>+AN6+AP6*$C6</f>
        <v>2</v>
      </c>
      <c r="AR6" s="75">
        <v>1</v>
      </c>
      <c r="AS6" s="126">
        <f>AQ6-AR6</f>
        <v>1</v>
      </c>
      <c r="AT6" s="127">
        <v>1</v>
      </c>
      <c r="AU6" s="128">
        <f>+AR6+AT6*$C6</f>
        <v>2</v>
      </c>
      <c r="AV6" s="75">
        <v>2</v>
      </c>
      <c r="AW6" s="126">
        <f>AU6-AV6</f>
        <v>0</v>
      </c>
      <c r="AX6" s="127"/>
      <c r="AY6" s="128">
        <f>+AV6+AX6*$C6</f>
        <v>2</v>
      </c>
      <c r="AZ6" s="75">
        <v>1</v>
      </c>
      <c r="BA6" s="126">
        <f>AY6-AZ6</f>
        <v>1</v>
      </c>
      <c r="BB6" s="127">
        <v>2</v>
      </c>
      <c r="BC6" s="128">
        <f>+AZ6+BB6*$C6</f>
        <v>3</v>
      </c>
      <c r="BD6" s="75">
        <v>2</v>
      </c>
      <c r="BE6" s="126">
        <f>BC6-BD6</f>
        <v>1</v>
      </c>
      <c r="BF6" s="127"/>
      <c r="BG6" s="128">
        <f>+BD6+BF6*$C6</f>
        <v>2</v>
      </c>
      <c r="BH6" s="75"/>
      <c r="BI6" s="126">
        <f>BG6-BH6</f>
        <v>2</v>
      </c>
      <c r="BJ6" s="127">
        <v>2</v>
      </c>
      <c r="BK6" s="128">
        <f>+BH6+BJ6*$C6</f>
        <v>2</v>
      </c>
      <c r="BL6" s="75">
        <v>2</v>
      </c>
      <c r="BM6" s="126">
        <f>BK6-BL6</f>
        <v>0</v>
      </c>
      <c r="BN6" s="127">
        <v>1</v>
      </c>
      <c r="BO6" s="128">
        <f>+BL6+BN6*$C6</f>
        <v>3</v>
      </c>
      <c r="BP6" s="75">
        <v>1</v>
      </c>
      <c r="BQ6" s="126">
        <f>BO6-BP6</f>
        <v>2</v>
      </c>
      <c r="BR6" s="127">
        <v>2</v>
      </c>
      <c r="BS6" s="128">
        <f>+BP6+BR6*$C6</f>
        <v>3</v>
      </c>
      <c r="BT6" s="75">
        <v>2</v>
      </c>
      <c r="BU6" s="126">
        <f>BS6-BT6</f>
        <v>1</v>
      </c>
      <c r="BV6" s="127">
        <v>1</v>
      </c>
      <c r="BW6" s="128">
        <f>+BT6+BV6*$C6</f>
        <v>3</v>
      </c>
      <c r="BX6" s="75">
        <v>1</v>
      </c>
      <c r="BY6" s="126">
        <f>BW6-BX6</f>
        <v>2</v>
      </c>
      <c r="BZ6" s="127">
        <v>2</v>
      </c>
      <c r="CA6" s="128">
        <f>+BX6+BZ6*$C6</f>
        <v>3</v>
      </c>
      <c r="CB6" s="75">
        <v>3</v>
      </c>
      <c r="CC6" s="126">
        <f>CA6-CB6</f>
        <v>0</v>
      </c>
      <c r="CD6" s="127"/>
      <c r="CE6" s="128">
        <f>+CB6+CD6*$C6</f>
        <v>3</v>
      </c>
      <c r="CF6" s="75">
        <v>2</v>
      </c>
      <c r="CG6" s="126">
        <f>CE6-CF6</f>
        <v>1</v>
      </c>
      <c r="CH6" s="127"/>
      <c r="CI6" s="128">
        <f>+CF6+CH6*$C6</f>
        <v>2</v>
      </c>
      <c r="CJ6" s="75">
        <v>1</v>
      </c>
      <c r="CK6" s="126">
        <f>CI6-CJ6</f>
        <v>1</v>
      </c>
      <c r="CL6" s="127">
        <v>2</v>
      </c>
      <c r="CM6" s="128">
        <f>+CJ6+CL6*$C6</f>
        <v>3</v>
      </c>
      <c r="CN6" s="75">
        <v>3</v>
      </c>
      <c r="CO6" s="126">
        <f>CM6-CN6</f>
        <v>0</v>
      </c>
      <c r="CP6" s="127"/>
      <c r="CQ6" s="128">
        <f>+CN6+CP6*$C6</f>
        <v>3</v>
      </c>
      <c r="CR6" s="75">
        <v>3</v>
      </c>
      <c r="CS6" s="126">
        <f>CQ6-CR6</f>
        <v>0</v>
      </c>
      <c r="CT6" s="127"/>
      <c r="CU6" s="128">
        <f>+CR6+CT6*$C6</f>
        <v>3</v>
      </c>
      <c r="CV6" s="75">
        <v>1</v>
      </c>
      <c r="CW6" s="126">
        <f t="shared" ref="CW6:CW20" si="3">CU6-CV6</f>
        <v>2</v>
      </c>
      <c r="CX6" s="127"/>
      <c r="CY6" s="128">
        <f>+CV6+CX6*$C6</f>
        <v>1</v>
      </c>
      <c r="CZ6" s="75">
        <v>2</v>
      </c>
      <c r="DA6" s="126">
        <f>CY6-CZ6</f>
        <v>-1</v>
      </c>
      <c r="DB6" s="127"/>
      <c r="DC6" s="128">
        <f>+CZ6+DB6*$C6</f>
        <v>2</v>
      </c>
      <c r="DD6" s="75">
        <v>0</v>
      </c>
      <c r="DE6" s="126">
        <f>DC6-DD6</f>
        <v>2</v>
      </c>
      <c r="DF6" s="127">
        <v>2</v>
      </c>
      <c r="DG6" s="128">
        <f>+DD6+DF6*$C6</f>
        <v>2</v>
      </c>
      <c r="DH6" s="75"/>
      <c r="DI6" s="126">
        <f>DG6-DH6</f>
        <v>2</v>
      </c>
      <c r="DJ6" s="127"/>
      <c r="DK6" s="128">
        <f>+DH6+DJ6*$C6</f>
        <v>0</v>
      </c>
      <c r="DL6" s="75"/>
      <c r="DM6" s="126">
        <f>DK6-DL6</f>
        <v>0</v>
      </c>
      <c r="DN6" s="127"/>
      <c r="DO6" s="128">
        <f>+DL6+DN6*$C6</f>
        <v>0</v>
      </c>
      <c r="DP6" s="75"/>
      <c r="DQ6" s="126">
        <f>DO6-DP6</f>
        <v>0</v>
      </c>
      <c r="DR6" s="127"/>
      <c r="DS6" s="128">
        <f>+DP6+DR6*$C6</f>
        <v>0</v>
      </c>
      <c r="DT6" s="75"/>
      <c r="DU6" s="126">
        <f>DS6-DT6</f>
        <v>0</v>
      </c>
      <c r="DV6" s="127"/>
      <c r="DW6" s="128">
        <f>+DT6+DV6*$C6</f>
        <v>0</v>
      </c>
      <c r="DX6" s="75"/>
      <c r="DY6" s="126">
        <f>DW6-DX6</f>
        <v>0</v>
      </c>
      <c r="DZ6" s="127"/>
      <c r="EA6" s="128">
        <f>+DX6+DZ6*$C6</f>
        <v>0</v>
      </c>
      <c r="EB6" s="75"/>
      <c r="EC6" s="126">
        <f>EA6-EB6</f>
        <v>0</v>
      </c>
      <c r="ED6" s="127"/>
      <c r="EE6" s="128">
        <f>+EB6+ED6*$C6</f>
        <v>0</v>
      </c>
      <c r="EF6" s="75"/>
      <c r="EG6" s="126">
        <f>EE6-EF6</f>
        <v>0</v>
      </c>
      <c r="EH6" s="127"/>
      <c r="EI6" s="128">
        <f>+EF6+EH6*$C6</f>
        <v>0</v>
      </c>
      <c r="EJ6" s="75"/>
      <c r="EK6" s="126">
        <f>EI6-EJ6</f>
        <v>0</v>
      </c>
      <c r="EL6" s="127"/>
      <c r="EM6" s="128">
        <f>+EJ6+EL6*$C6</f>
        <v>0</v>
      </c>
    </row>
    <row r="7" spans="1:143" s="89" customFormat="1" ht="20.100000000000001" customHeight="1" x14ac:dyDescent="0.25">
      <c r="A7" s="19" t="s">
        <v>252</v>
      </c>
      <c r="B7" s="156" t="s">
        <v>249</v>
      </c>
      <c r="C7" s="124">
        <v>5</v>
      </c>
      <c r="D7" s="75">
        <v>6.5</v>
      </c>
      <c r="E7" s="126">
        <v>1</v>
      </c>
      <c r="F7" s="127"/>
      <c r="G7" s="128">
        <f>+D7+F7*$C7</f>
        <v>6.5</v>
      </c>
      <c r="H7" s="75">
        <v>4.8</v>
      </c>
      <c r="I7" s="126">
        <f>G7-H7</f>
        <v>1.7000000000000002</v>
      </c>
      <c r="J7" s="127"/>
      <c r="K7" s="128">
        <f>+H7+J7*$C7</f>
        <v>4.8</v>
      </c>
      <c r="L7" s="75">
        <v>3</v>
      </c>
      <c r="M7" s="126">
        <f>K7-L7</f>
        <v>1.7999999999999998</v>
      </c>
      <c r="N7" s="127">
        <v>1</v>
      </c>
      <c r="O7" s="128">
        <f>+L7+N7*$C7</f>
        <v>8</v>
      </c>
      <c r="P7" s="75">
        <v>7.5</v>
      </c>
      <c r="Q7" s="126">
        <f>O7-P7</f>
        <v>0.5</v>
      </c>
      <c r="R7" s="127">
        <v>1</v>
      </c>
      <c r="S7" s="128">
        <f>+P7+R7*$C7</f>
        <v>12.5</v>
      </c>
      <c r="T7" s="75">
        <v>12</v>
      </c>
      <c r="U7" s="126">
        <f>S7-T7</f>
        <v>0.5</v>
      </c>
      <c r="V7" s="127"/>
      <c r="W7" s="128">
        <f>+T7+V7*$C7</f>
        <v>12</v>
      </c>
      <c r="X7" s="75">
        <v>11.5</v>
      </c>
      <c r="Y7" s="126">
        <f>W7-X7</f>
        <v>0.5</v>
      </c>
      <c r="Z7" s="127"/>
      <c r="AA7" s="128">
        <f>+X7+Z7*$C7</f>
        <v>11.5</v>
      </c>
      <c r="AB7" s="75">
        <v>9.3000000000000007</v>
      </c>
      <c r="AC7" s="126">
        <f>AA7-AB7</f>
        <v>2.1999999999999993</v>
      </c>
      <c r="AD7" s="127"/>
      <c r="AE7" s="128">
        <f>+AB7+AD7*$C7</f>
        <v>9.3000000000000007</v>
      </c>
      <c r="AF7" s="75">
        <v>8.5</v>
      </c>
      <c r="AG7" s="126">
        <f t="shared" si="0"/>
        <v>0.80000000000000071</v>
      </c>
      <c r="AH7" s="127"/>
      <c r="AI7" s="128">
        <f>+AF7+AH7*$C7</f>
        <v>8.5</v>
      </c>
      <c r="AJ7" s="75">
        <v>7.1</v>
      </c>
      <c r="AK7" s="126">
        <f t="shared" si="1"/>
        <v>1.4000000000000004</v>
      </c>
      <c r="AL7" s="127"/>
      <c r="AM7" s="128">
        <f t="shared" si="2"/>
        <v>7.1</v>
      </c>
      <c r="AN7" s="75">
        <v>5.8</v>
      </c>
      <c r="AO7" s="126">
        <f>AM7-AN7</f>
        <v>1.2999999999999998</v>
      </c>
      <c r="AP7" s="127"/>
      <c r="AQ7" s="128">
        <f>+AN7+AP7*$C7</f>
        <v>5.8</v>
      </c>
      <c r="AR7" s="75">
        <v>3.8</v>
      </c>
      <c r="AS7" s="126">
        <f>AQ7-AR7</f>
        <v>2</v>
      </c>
      <c r="AT7" s="127">
        <v>1</v>
      </c>
      <c r="AU7" s="128">
        <f>+AR7+AT7*$C7</f>
        <v>8.8000000000000007</v>
      </c>
      <c r="AV7" s="75">
        <v>8.6999999999999993</v>
      </c>
      <c r="AW7" s="126">
        <f>AU7-AV7</f>
        <v>0.10000000000000142</v>
      </c>
      <c r="AX7" s="127"/>
      <c r="AY7" s="128">
        <f>+AV7+AX7*$C7</f>
        <v>8.6999999999999993</v>
      </c>
      <c r="AZ7" s="75">
        <v>7</v>
      </c>
      <c r="BA7" s="126">
        <f>AY7-AZ7</f>
        <v>1.6999999999999993</v>
      </c>
      <c r="BB7" s="127"/>
      <c r="BC7" s="128">
        <f>+AZ7+BB7*$C7</f>
        <v>7</v>
      </c>
      <c r="BD7" s="75">
        <v>6.5</v>
      </c>
      <c r="BE7" s="126">
        <f>BC7-BD7</f>
        <v>0.5</v>
      </c>
      <c r="BF7" s="127"/>
      <c r="BG7" s="128">
        <f>+BD7+BF7*$C7</f>
        <v>6.5</v>
      </c>
      <c r="BH7" s="75">
        <v>5</v>
      </c>
      <c r="BI7" s="126">
        <f>BG7-BH7</f>
        <v>1.5</v>
      </c>
      <c r="BJ7" s="127"/>
      <c r="BK7" s="128">
        <f>+BH7+BJ7*$C7</f>
        <v>5</v>
      </c>
      <c r="BL7" s="75">
        <v>3.4</v>
      </c>
      <c r="BM7" s="126">
        <f>BK7-BL7</f>
        <v>1.6</v>
      </c>
      <c r="BN7" s="127"/>
      <c r="BO7" s="128">
        <f>+BL7+BN7*$C7</f>
        <v>3.4</v>
      </c>
      <c r="BP7" s="75">
        <v>1.7</v>
      </c>
      <c r="BQ7" s="126">
        <f>BO7-BP7</f>
        <v>1.7</v>
      </c>
      <c r="BR7" s="127">
        <v>1</v>
      </c>
      <c r="BS7" s="128">
        <f>+BP7+BR7*$C7</f>
        <v>6.7</v>
      </c>
      <c r="BT7" s="75">
        <v>6.7</v>
      </c>
      <c r="BU7" s="126">
        <f>BS7-BT7</f>
        <v>0</v>
      </c>
      <c r="BV7" s="127"/>
      <c r="BW7" s="128">
        <f>+BT7+BV7*$C7</f>
        <v>6.7</v>
      </c>
      <c r="BX7" s="75">
        <v>3.5</v>
      </c>
      <c r="BY7" s="126">
        <f>BW7-BX7</f>
        <v>3.2</v>
      </c>
      <c r="BZ7" s="127">
        <v>1</v>
      </c>
      <c r="CA7" s="128">
        <f>+BX7+BZ7*$C7</f>
        <v>8.5</v>
      </c>
      <c r="CB7" s="75">
        <v>3</v>
      </c>
      <c r="CC7" s="126">
        <f>CA7-CB7</f>
        <v>5.5</v>
      </c>
      <c r="CD7" s="127">
        <v>1</v>
      </c>
      <c r="CE7" s="128">
        <f>+CB7+CD7*$C7</f>
        <v>8</v>
      </c>
      <c r="CF7" s="75">
        <v>8</v>
      </c>
      <c r="CG7" s="126">
        <f>CE7-CF7</f>
        <v>0</v>
      </c>
      <c r="CH7" s="127"/>
      <c r="CI7" s="128">
        <f>+CF7+CH7*$C7</f>
        <v>8</v>
      </c>
      <c r="CJ7" s="75">
        <v>8</v>
      </c>
      <c r="CK7" s="126">
        <f>CI7-CJ7</f>
        <v>0</v>
      </c>
      <c r="CL7" s="127"/>
      <c r="CM7" s="128">
        <f>+CJ7+CL7*$C7</f>
        <v>8</v>
      </c>
      <c r="CN7" s="75">
        <v>6.7</v>
      </c>
      <c r="CO7" s="126">
        <f>CM7-CN7</f>
        <v>1.2999999999999998</v>
      </c>
      <c r="CP7" s="127"/>
      <c r="CQ7" s="128">
        <f>+CN7+CP7*$C7</f>
        <v>6.7</v>
      </c>
      <c r="CR7" s="75">
        <v>4.5999999999999996</v>
      </c>
      <c r="CS7" s="126">
        <f>CQ7-CR7</f>
        <v>2.1000000000000005</v>
      </c>
      <c r="CT7" s="127"/>
      <c r="CU7" s="128">
        <f>+CR7+CT7*$C7</f>
        <v>4.5999999999999996</v>
      </c>
      <c r="CV7" s="75">
        <v>3.6</v>
      </c>
      <c r="CW7" s="126">
        <f t="shared" si="3"/>
        <v>0.99999999999999956</v>
      </c>
      <c r="CX7" s="127"/>
      <c r="CY7" s="128">
        <f>+CV7+CX7*$C7</f>
        <v>3.6</v>
      </c>
      <c r="CZ7" s="75">
        <v>3.2</v>
      </c>
      <c r="DA7" s="126">
        <f>CY7-CZ7</f>
        <v>0.39999999999999991</v>
      </c>
      <c r="DB7" s="127"/>
      <c r="DC7" s="128">
        <f>+CZ7+DB7*$C7</f>
        <v>3.2</v>
      </c>
      <c r="DD7" s="75">
        <v>1.1499999999999999</v>
      </c>
      <c r="DE7" s="126">
        <f>DC7-DD7</f>
        <v>2.0500000000000003</v>
      </c>
      <c r="DF7" s="127">
        <v>2</v>
      </c>
      <c r="DG7" s="128">
        <f>+DD7+DF7*$C7</f>
        <v>11.15</v>
      </c>
      <c r="DH7" s="75"/>
      <c r="DI7" s="126">
        <f>DG7-DH7</f>
        <v>11.15</v>
      </c>
      <c r="DJ7" s="127"/>
      <c r="DK7" s="128">
        <f>+DH7+DJ7*$C7</f>
        <v>0</v>
      </c>
      <c r="DL7" s="75"/>
      <c r="DM7" s="126">
        <f>DK7-DL7</f>
        <v>0</v>
      </c>
      <c r="DN7" s="127"/>
      <c r="DO7" s="128">
        <f>+DL7+DN7*$C7</f>
        <v>0</v>
      </c>
      <c r="DP7" s="75"/>
      <c r="DQ7" s="126">
        <f>DO7-DP7</f>
        <v>0</v>
      </c>
      <c r="DR7" s="127"/>
      <c r="DS7" s="128">
        <f>+DP7+DR7*$C7</f>
        <v>0</v>
      </c>
      <c r="DT7" s="75"/>
      <c r="DU7" s="126">
        <f>DS7-DT7</f>
        <v>0</v>
      </c>
      <c r="DV7" s="127"/>
      <c r="DW7" s="128">
        <f>+DT7+DV7*$C7</f>
        <v>0</v>
      </c>
      <c r="DX7" s="75"/>
      <c r="DY7" s="126">
        <f>DW7-DX7</f>
        <v>0</v>
      </c>
      <c r="DZ7" s="127"/>
      <c r="EA7" s="128">
        <f>+DX7+DZ7*$C7</f>
        <v>0</v>
      </c>
      <c r="EB7" s="75"/>
      <c r="EC7" s="126">
        <f>EA7-EB7</f>
        <v>0</v>
      </c>
      <c r="ED7" s="127"/>
      <c r="EE7" s="128">
        <f>+EB7+ED7*$C7</f>
        <v>0</v>
      </c>
      <c r="EF7" s="75"/>
      <c r="EG7" s="126">
        <f>EE7-EF7</f>
        <v>0</v>
      </c>
      <c r="EH7" s="127"/>
      <c r="EI7" s="128">
        <f>+EF7+EH7*$C7</f>
        <v>0</v>
      </c>
      <c r="EJ7" s="75"/>
      <c r="EK7" s="126">
        <f>EI7-EJ7</f>
        <v>0</v>
      </c>
      <c r="EL7" s="127"/>
      <c r="EM7" s="128">
        <f>+EJ7+EL7*$C7</f>
        <v>0</v>
      </c>
    </row>
    <row r="8" spans="1:143" s="89" customFormat="1" ht="20.100000000000001" customHeight="1" x14ac:dyDescent="0.25">
      <c r="A8" s="19" t="s">
        <v>253</v>
      </c>
      <c r="B8" s="156" t="s">
        <v>249</v>
      </c>
      <c r="C8" s="124">
        <v>1</v>
      </c>
      <c r="D8" s="75">
        <v>1.9</v>
      </c>
      <c r="E8" s="126">
        <v>1.1000000000000001</v>
      </c>
      <c r="F8" s="127">
        <v>2</v>
      </c>
      <c r="G8" s="128">
        <f t="shared" ref="G8:G20" si="4">+D8+F8*$C8</f>
        <v>3.9</v>
      </c>
      <c r="H8" s="75">
        <v>3.5</v>
      </c>
      <c r="I8" s="126">
        <f t="shared" ref="I8:I20" si="5">G8-H8</f>
        <v>0.39999999999999991</v>
      </c>
      <c r="J8" s="127">
        <v>1</v>
      </c>
      <c r="K8" s="128">
        <f t="shared" ref="K8:K20" si="6">+H8+J8*$C8</f>
        <v>4.5</v>
      </c>
      <c r="L8" s="75">
        <v>4.2</v>
      </c>
      <c r="M8" s="126">
        <f t="shared" ref="M8:M20" si="7">K8-L8</f>
        <v>0.29999999999999982</v>
      </c>
      <c r="N8" s="127"/>
      <c r="O8" s="128">
        <f t="shared" ref="O8:O20" si="8">+L8+N8*$C8</f>
        <v>4.2</v>
      </c>
      <c r="P8" s="75">
        <v>3.7</v>
      </c>
      <c r="Q8" s="126">
        <f t="shared" ref="Q8:Q20" si="9">O8-P8</f>
        <v>0.5</v>
      </c>
      <c r="R8" s="127"/>
      <c r="S8" s="128">
        <f t="shared" ref="S8:S20" si="10">+P8+R8*$C8</f>
        <v>3.7</v>
      </c>
      <c r="T8" s="75">
        <v>2.5</v>
      </c>
      <c r="U8" s="126">
        <f t="shared" ref="U8:U20" si="11">S8-T8</f>
        <v>1.2000000000000002</v>
      </c>
      <c r="V8" s="127">
        <v>1</v>
      </c>
      <c r="W8" s="128">
        <f t="shared" ref="W8:W20" si="12">+T8+V8*$C8</f>
        <v>3.5</v>
      </c>
      <c r="X8" s="75">
        <v>3.4</v>
      </c>
      <c r="Y8" s="126">
        <f t="shared" ref="Y8:Y20" si="13">W8-X8</f>
        <v>0.10000000000000009</v>
      </c>
      <c r="Z8" s="127"/>
      <c r="AA8" s="128">
        <f t="shared" ref="AA8:AA20" si="14">+X8+Z8*$C8</f>
        <v>3.4</v>
      </c>
      <c r="AB8" s="75">
        <v>2.2999999999999998</v>
      </c>
      <c r="AC8" s="126">
        <f t="shared" ref="AC8:AC20" si="15">AA8-AB8</f>
        <v>1.1000000000000001</v>
      </c>
      <c r="AD8" s="127">
        <v>1</v>
      </c>
      <c r="AE8" s="128">
        <f t="shared" ref="AE8:AE20" si="16">+AB8+AD8*$C8</f>
        <v>3.3</v>
      </c>
      <c r="AF8" s="75">
        <v>3</v>
      </c>
      <c r="AG8" s="126">
        <f t="shared" si="0"/>
        <v>0.29999999999999982</v>
      </c>
      <c r="AH8" s="127"/>
      <c r="AI8" s="128">
        <f t="shared" ref="AI8:AI20" si="17">+AF8+AH8*$C8</f>
        <v>3</v>
      </c>
      <c r="AJ8" s="75">
        <v>1.8</v>
      </c>
      <c r="AK8" s="126">
        <f t="shared" si="1"/>
        <v>1.2</v>
      </c>
      <c r="AL8" s="127"/>
      <c r="AM8" s="128">
        <f t="shared" si="2"/>
        <v>1.8</v>
      </c>
      <c r="AN8" s="75">
        <v>1.25</v>
      </c>
      <c r="AO8" s="126">
        <f t="shared" ref="AO8:AO20" si="18">AM8-AN8</f>
        <v>0.55000000000000004</v>
      </c>
      <c r="AP8" s="202">
        <v>1</v>
      </c>
      <c r="AQ8" s="128">
        <f t="shared" ref="AQ8:AQ20" si="19">+AN8+AP8*$C8</f>
        <v>2.25</v>
      </c>
      <c r="AR8" s="75">
        <v>1.8</v>
      </c>
      <c r="AS8" s="126">
        <f t="shared" ref="AS8:AS20" si="20">AQ8-AR8</f>
        <v>0.44999999999999996</v>
      </c>
      <c r="AT8" s="127">
        <v>1</v>
      </c>
      <c r="AU8" s="128">
        <f t="shared" ref="AU8:AU20" si="21">+AR8+AT8*$C8</f>
        <v>2.8</v>
      </c>
      <c r="AV8" s="75">
        <v>2.6</v>
      </c>
      <c r="AW8" s="126">
        <f t="shared" ref="AW8:AW20" si="22">AU8-AV8</f>
        <v>0.19999999999999973</v>
      </c>
      <c r="AX8" s="127"/>
      <c r="AY8" s="128">
        <f t="shared" ref="AY8:AY20" si="23">+AV8+AX8*$C8</f>
        <v>2.6</v>
      </c>
      <c r="AZ8" s="75">
        <v>1.4</v>
      </c>
      <c r="BA8" s="126">
        <f t="shared" ref="BA8:BA20" si="24">AY8-AZ8</f>
        <v>1.2000000000000002</v>
      </c>
      <c r="BB8" s="127">
        <v>1</v>
      </c>
      <c r="BC8" s="128">
        <f t="shared" ref="BC8:BC20" si="25">+AZ8+BB8*$C8</f>
        <v>2.4</v>
      </c>
      <c r="BD8" s="75">
        <v>2.2999999999999998</v>
      </c>
      <c r="BE8" s="126">
        <f t="shared" ref="BE8:BE20" si="26">BC8-BD8</f>
        <v>0.10000000000000009</v>
      </c>
      <c r="BF8" s="127"/>
      <c r="BG8" s="128">
        <f t="shared" ref="BG8:BG20" si="27">+BD8+BF8*$C8</f>
        <v>2.2999999999999998</v>
      </c>
      <c r="BH8" s="75">
        <v>1</v>
      </c>
      <c r="BI8" s="126">
        <f t="shared" ref="BI8:BI20" si="28">BG8-BH8</f>
        <v>1.2999999999999998</v>
      </c>
      <c r="BJ8" s="127">
        <v>1</v>
      </c>
      <c r="BK8" s="128">
        <f t="shared" ref="BK8:BK20" si="29">+BH8+BJ8*$C8</f>
        <v>2</v>
      </c>
      <c r="BL8" s="75">
        <v>1.1499999999999999</v>
      </c>
      <c r="BM8" s="126">
        <f t="shared" ref="BM8:BM20" si="30">BK8-BL8</f>
        <v>0.85000000000000009</v>
      </c>
      <c r="BN8" s="127">
        <v>1</v>
      </c>
      <c r="BO8" s="128">
        <f t="shared" ref="BO8:BO20" si="31">+BL8+BN8*$C8</f>
        <v>2.15</v>
      </c>
      <c r="BP8" s="75">
        <v>1.5</v>
      </c>
      <c r="BQ8" s="126">
        <f t="shared" ref="BQ8:BQ20" si="32">BO8-BP8</f>
        <v>0.64999999999999991</v>
      </c>
      <c r="BR8" s="127">
        <v>1</v>
      </c>
      <c r="BS8" s="128">
        <f t="shared" ref="BS8:BS20" si="33">+BP8+BR8*$C8</f>
        <v>2.5</v>
      </c>
      <c r="BT8" s="75">
        <v>1.8</v>
      </c>
      <c r="BU8" s="126">
        <f t="shared" ref="BU8:BU20" si="34">BS8-BT8</f>
        <v>0.7</v>
      </c>
      <c r="BV8" s="127">
        <v>1</v>
      </c>
      <c r="BW8" s="128">
        <f t="shared" ref="BW8:BW20" si="35">+BT8+BV8*$C8</f>
        <v>2.8</v>
      </c>
      <c r="BX8" s="75">
        <v>1.5</v>
      </c>
      <c r="BY8" s="126">
        <f t="shared" ref="BY8:BY20" si="36">BW8-BX8</f>
        <v>1.2999999999999998</v>
      </c>
      <c r="BZ8" s="127">
        <v>1</v>
      </c>
      <c r="CA8" s="128">
        <f t="shared" ref="CA8:CA20" si="37">+BX8+BZ8*$C8</f>
        <v>2.5</v>
      </c>
      <c r="CB8" s="75">
        <v>1</v>
      </c>
      <c r="CC8" s="126">
        <f t="shared" ref="CC8:CC20" si="38">CA8-CB8</f>
        <v>1.5</v>
      </c>
      <c r="CD8" s="127">
        <v>5</v>
      </c>
      <c r="CE8" s="128">
        <f t="shared" ref="CE8:CE20" si="39">+CB8+CD8*$C8</f>
        <v>6</v>
      </c>
      <c r="CF8" s="75">
        <v>5</v>
      </c>
      <c r="CG8" s="126">
        <f t="shared" ref="CG8:CG20" si="40">CE8-CF8</f>
        <v>1</v>
      </c>
      <c r="CH8" s="127"/>
      <c r="CI8" s="128">
        <f t="shared" ref="CI8:CI20" si="41">+CF8+CH8*$C8</f>
        <v>5</v>
      </c>
      <c r="CJ8" s="75">
        <v>4</v>
      </c>
      <c r="CK8" s="126">
        <f t="shared" ref="CK8:CK20" si="42">CI8-CJ8</f>
        <v>1</v>
      </c>
      <c r="CL8" s="127"/>
      <c r="CM8" s="128">
        <f t="shared" ref="CM8:CM20" si="43">+CJ8+CL8*$C8</f>
        <v>4</v>
      </c>
      <c r="CN8" s="75">
        <v>3.2</v>
      </c>
      <c r="CO8" s="126">
        <f t="shared" ref="CO8:CO20" si="44">CM8-CN8</f>
        <v>0.79999999999999982</v>
      </c>
      <c r="CP8" s="127"/>
      <c r="CQ8" s="128">
        <f t="shared" ref="CQ8:CQ20" si="45">+CN8+CP8*$C8</f>
        <v>3.2</v>
      </c>
      <c r="CR8" s="75">
        <v>3</v>
      </c>
      <c r="CS8" s="126">
        <f t="shared" ref="CS8:CS20" si="46">CQ8-CR8</f>
        <v>0.20000000000000018</v>
      </c>
      <c r="CT8" s="127"/>
      <c r="CU8" s="128">
        <f t="shared" ref="CU8:CU20" si="47">+CR8+CT8*$C8</f>
        <v>3</v>
      </c>
      <c r="CV8" s="75">
        <v>2.5</v>
      </c>
      <c r="CW8" s="126">
        <f t="shared" si="3"/>
        <v>0.5</v>
      </c>
      <c r="CX8" s="127"/>
      <c r="CY8" s="128">
        <f t="shared" ref="CY8:CY20" si="48">+CV8+CX8*$C8</f>
        <v>2.5</v>
      </c>
      <c r="CZ8" s="75">
        <v>2.1</v>
      </c>
      <c r="DA8" s="126">
        <f t="shared" ref="DA8:DA19" si="49">CY8-CZ8</f>
        <v>0.39999999999999991</v>
      </c>
      <c r="DB8" s="127"/>
      <c r="DC8" s="128">
        <f t="shared" ref="DC8:DC20" si="50">+CZ8+DB8*$C8</f>
        <v>2.1</v>
      </c>
      <c r="DD8" s="75">
        <v>1.5</v>
      </c>
      <c r="DE8" s="126">
        <f t="shared" ref="DE8:DE20" si="51">DC8-DD8</f>
        <v>0.60000000000000009</v>
      </c>
      <c r="DF8" s="127">
        <v>1</v>
      </c>
      <c r="DG8" s="128">
        <f t="shared" ref="DG8:DG20" si="52">+DD8+DF8*$C8</f>
        <v>2.5</v>
      </c>
      <c r="DH8" s="75"/>
      <c r="DI8" s="126">
        <f t="shared" ref="DI8:DI20" si="53">DG8-DH8</f>
        <v>2.5</v>
      </c>
      <c r="DJ8" s="127"/>
      <c r="DK8" s="128">
        <f t="shared" ref="DK8:DK20" si="54">+DH8+DJ8*$C8</f>
        <v>0</v>
      </c>
      <c r="DL8" s="75"/>
      <c r="DM8" s="126">
        <f t="shared" ref="DM8:DM20" si="55">DK8-DL8</f>
        <v>0</v>
      </c>
      <c r="DN8" s="127"/>
      <c r="DO8" s="128">
        <f t="shared" ref="DO8:DO20" si="56">+DL8+DN8*$C8</f>
        <v>0</v>
      </c>
      <c r="DP8" s="75"/>
      <c r="DQ8" s="126">
        <f t="shared" ref="DQ8:DQ20" si="57">DO8-DP8</f>
        <v>0</v>
      </c>
      <c r="DR8" s="127"/>
      <c r="DS8" s="128">
        <f t="shared" ref="DS8:DS20" si="58">+DP8+DR8*$C8</f>
        <v>0</v>
      </c>
      <c r="DT8" s="75"/>
      <c r="DU8" s="126">
        <f t="shared" ref="DU8:DU20" si="59">DS8-DT8</f>
        <v>0</v>
      </c>
      <c r="DV8" s="127"/>
      <c r="DW8" s="128">
        <f t="shared" ref="DW8:DW20" si="60">+DT8+DV8*$C8</f>
        <v>0</v>
      </c>
      <c r="DX8" s="75"/>
      <c r="DY8" s="126">
        <f t="shared" ref="DY8:DY20" si="61">DW8-DX8</f>
        <v>0</v>
      </c>
      <c r="DZ8" s="127"/>
      <c r="EA8" s="128">
        <f t="shared" ref="EA8:EA20" si="62">+DX8+DZ8*$C8</f>
        <v>0</v>
      </c>
      <c r="EB8" s="75"/>
      <c r="EC8" s="126">
        <f t="shared" ref="EC8:EC20" si="63">EA8-EB8</f>
        <v>0</v>
      </c>
      <c r="ED8" s="127"/>
      <c r="EE8" s="128">
        <f t="shared" ref="EE8:EE20" si="64">+EB8+ED8*$C8</f>
        <v>0</v>
      </c>
      <c r="EF8" s="75"/>
      <c r="EG8" s="126">
        <f t="shared" ref="EG8:EG20" si="65">EE8-EF8</f>
        <v>0</v>
      </c>
      <c r="EH8" s="127"/>
      <c r="EI8" s="128">
        <f t="shared" ref="EI8:EI20" si="66">+EF8+EH8*$C8</f>
        <v>0</v>
      </c>
      <c r="EJ8" s="75"/>
      <c r="EK8" s="126">
        <f t="shared" ref="EK8:EK20" si="67">EI8-EJ8</f>
        <v>0</v>
      </c>
      <c r="EL8" s="127"/>
      <c r="EM8" s="128">
        <f t="shared" ref="EM8:EM20" si="68">+EJ8+EL8*$C8</f>
        <v>0</v>
      </c>
    </row>
    <row r="9" spans="1:143" s="89" customFormat="1" ht="20.100000000000001" customHeight="1" x14ac:dyDescent="0.25">
      <c r="A9" s="19" t="s">
        <v>250</v>
      </c>
      <c r="B9" s="156" t="s">
        <v>248</v>
      </c>
      <c r="C9" s="124">
        <v>1</v>
      </c>
      <c r="D9" s="75">
        <v>2</v>
      </c>
      <c r="E9" s="126">
        <v>2</v>
      </c>
      <c r="F9" s="127">
        <v>2</v>
      </c>
      <c r="G9" s="128">
        <f t="shared" si="4"/>
        <v>4</v>
      </c>
      <c r="H9" s="75">
        <v>2</v>
      </c>
      <c r="I9" s="126">
        <f t="shared" si="5"/>
        <v>2</v>
      </c>
      <c r="J9" s="127">
        <v>2</v>
      </c>
      <c r="K9" s="128">
        <f t="shared" si="6"/>
        <v>4</v>
      </c>
      <c r="L9" s="75">
        <v>2</v>
      </c>
      <c r="M9" s="126">
        <f t="shared" si="7"/>
        <v>2</v>
      </c>
      <c r="N9" s="127">
        <v>2</v>
      </c>
      <c r="O9" s="128">
        <f t="shared" si="8"/>
        <v>4</v>
      </c>
      <c r="P9" s="75">
        <v>4</v>
      </c>
      <c r="Q9" s="126">
        <f t="shared" si="9"/>
        <v>0</v>
      </c>
      <c r="R9" s="127"/>
      <c r="S9" s="128">
        <f t="shared" si="10"/>
        <v>4</v>
      </c>
      <c r="T9" s="75">
        <v>3</v>
      </c>
      <c r="U9" s="126">
        <f t="shared" si="11"/>
        <v>1</v>
      </c>
      <c r="V9" s="127">
        <v>1</v>
      </c>
      <c r="W9" s="128">
        <f t="shared" si="12"/>
        <v>4</v>
      </c>
      <c r="X9" s="75">
        <v>3</v>
      </c>
      <c r="Y9" s="126">
        <f t="shared" si="13"/>
        <v>1</v>
      </c>
      <c r="Z9" s="127"/>
      <c r="AA9" s="128">
        <f t="shared" si="14"/>
        <v>3</v>
      </c>
      <c r="AB9" s="75"/>
      <c r="AC9" s="126">
        <f t="shared" si="15"/>
        <v>3</v>
      </c>
      <c r="AD9" s="127">
        <v>4</v>
      </c>
      <c r="AE9" s="128">
        <f t="shared" si="16"/>
        <v>4</v>
      </c>
      <c r="AF9" s="75">
        <v>4</v>
      </c>
      <c r="AG9" s="126">
        <f t="shared" si="0"/>
        <v>0</v>
      </c>
      <c r="AH9" s="127">
        <v>2</v>
      </c>
      <c r="AI9" s="128">
        <f t="shared" si="17"/>
        <v>6</v>
      </c>
      <c r="AJ9" s="75">
        <v>3</v>
      </c>
      <c r="AK9" s="126">
        <f t="shared" si="1"/>
        <v>3</v>
      </c>
      <c r="AL9" s="202">
        <v>2</v>
      </c>
      <c r="AM9" s="128">
        <f t="shared" si="2"/>
        <v>5</v>
      </c>
      <c r="AN9" s="75">
        <v>2</v>
      </c>
      <c r="AO9" s="126">
        <f t="shared" si="18"/>
        <v>3</v>
      </c>
      <c r="AP9" s="202">
        <v>2</v>
      </c>
      <c r="AQ9" s="128">
        <f t="shared" si="19"/>
        <v>4</v>
      </c>
      <c r="AR9" s="75">
        <v>2</v>
      </c>
      <c r="AS9" s="126">
        <f t="shared" si="20"/>
        <v>2</v>
      </c>
      <c r="AT9" s="127">
        <v>2</v>
      </c>
      <c r="AU9" s="128">
        <f t="shared" si="21"/>
        <v>4</v>
      </c>
      <c r="AV9" s="75">
        <v>2</v>
      </c>
      <c r="AW9" s="126">
        <f t="shared" si="22"/>
        <v>2</v>
      </c>
      <c r="AX9" s="202">
        <v>3</v>
      </c>
      <c r="AY9" s="128">
        <f t="shared" si="23"/>
        <v>5</v>
      </c>
      <c r="AZ9" s="75">
        <v>4</v>
      </c>
      <c r="BA9" s="126">
        <f t="shared" si="24"/>
        <v>1</v>
      </c>
      <c r="BB9" s="127"/>
      <c r="BC9" s="128">
        <f t="shared" si="25"/>
        <v>4</v>
      </c>
      <c r="BD9" s="75">
        <v>2</v>
      </c>
      <c r="BE9" s="126">
        <f t="shared" si="26"/>
        <v>2</v>
      </c>
      <c r="BF9" s="127">
        <v>1</v>
      </c>
      <c r="BG9" s="128">
        <f t="shared" si="27"/>
        <v>3</v>
      </c>
      <c r="BH9" s="75">
        <v>1</v>
      </c>
      <c r="BI9" s="126">
        <f t="shared" si="28"/>
        <v>2</v>
      </c>
      <c r="BJ9" s="127">
        <v>1</v>
      </c>
      <c r="BK9" s="128">
        <f t="shared" si="29"/>
        <v>2</v>
      </c>
      <c r="BL9" s="75">
        <v>1</v>
      </c>
      <c r="BM9" s="126">
        <f t="shared" si="30"/>
        <v>1</v>
      </c>
      <c r="BN9" s="127">
        <v>1</v>
      </c>
      <c r="BO9" s="128">
        <f t="shared" si="31"/>
        <v>2</v>
      </c>
      <c r="BP9" s="75">
        <v>0</v>
      </c>
      <c r="BQ9" s="126">
        <f t="shared" si="32"/>
        <v>2</v>
      </c>
      <c r="BR9" s="127">
        <v>3</v>
      </c>
      <c r="BS9" s="128">
        <f t="shared" si="33"/>
        <v>3</v>
      </c>
      <c r="BT9" s="75">
        <v>3</v>
      </c>
      <c r="BU9" s="126">
        <f t="shared" si="34"/>
        <v>0</v>
      </c>
      <c r="BV9" s="127"/>
      <c r="BW9" s="128">
        <f t="shared" si="35"/>
        <v>3</v>
      </c>
      <c r="BX9" s="75">
        <v>1</v>
      </c>
      <c r="BY9" s="126">
        <f t="shared" si="36"/>
        <v>2</v>
      </c>
      <c r="BZ9" s="127">
        <v>2</v>
      </c>
      <c r="CA9" s="128">
        <f t="shared" si="37"/>
        <v>3</v>
      </c>
      <c r="CB9" s="75">
        <v>2</v>
      </c>
      <c r="CC9" s="126">
        <f t="shared" si="38"/>
        <v>1</v>
      </c>
      <c r="CD9" s="127">
        <v>2</v>
      </c>
      <c r="CE9" s="128">
        <f t="shared" si="39"/>
        <v>4</v>
      </c>
      <c r="CF9" s="75">
        <v>2</v>
      </c>
      <c r="CG9" s="126">
        <f t="shared" si="40"/>
        <v>2</v>
      </c>
      <c r="CH9" s="127">
        <v>2</v>
      </c>
      <c r="CI9" s="128">
        <f t="shared" si="41"/>
        <v>4</v>
      </c>
      <c r="CJ9" s="75">
        <v>1</v>
      </c>
      <c r="CK9" s="126">
        <f t="shared" si="42"/>
        <v>3</v>
      </c>
      <c r="CL9" s="127">
        <v>3</v>
      </c>
      <c r="CM9" s="128">
        <f t="shared" si="43"/>
        <v>4</v>
      </c>
      <c r="CN9" s="75">
        <v>3</v>
      </c>
      <c r="CO9" s="126">
        <f t="shared" si="44"/>
        <v>1</v>
      </c>
      <c r="CP9" s="127">
        <v>1</v>
      </c>
      <c r="CQ9" s="128">
        <f t="shared" si="45"/>
        <v>4</v>
      </c>
      <c r="CR9" s="75">
        <v>1</v>
      </c>
      <c r="CS9" s="126">
        <f t="shared" si="46"/>
        <v>3</v>
      </c>
      <c r="CT9" s="127">
        <v>2</v>
      </c>
      <c r="CU9" s="128">
        <f t="shared" si="47"/>
        <v>3</v>
      </c>
      <c r="CV9" s="75">
        <v>1</v>
      </c>
      <c r="CW9" s="126">
        <f t="shared" si="3"/>
        <v>2</v>
      </c>
      <c r="CX9" s="127">
        <v>2</v>
      </c>
      <c r="CY9" s="128">
        <f t="shared" si="48"/>
        <v>3</v>
      </c>
      <c r="CZ9" s="75">
        <v>2</v>
      </c>
      <c r="DA9" s="126">
        <f t="shared" si="49"/>
        <v>1</v>
      </c>
      <c r="DB9" s="127">
        <v>2</v>
      </c>
      <c r="DC9" s="128">
        <f t="shared" si="50"/>
        <v>4</v>
      </c>
      <c r="DD9" s="75">
        <v>1</v>
      </c>
      <c r="DE9" s="126">
        <f t="shared" si="51"/>
        <v>3</v>
      </c>
      <c r="DF9" s="127">
        <v>3</v>
      </c>
      <c r="DG9" s="128">
        <f t="shared" si="52"/>
        <v>4</v>
      </c>
      <c r="DH9" s="75"/>
      <c r="DI9" s="126">
        <f t="shared" si="53"/>
        <v>4</v>
      </c>
      <c r="DJ9" s="127"/>
      <c r="DK9" s="128">
        <f t="shared" si="54"/>
        <v>0</v>
      </c>
      <c r="DL9" s="75"/>
      <c r="DM9" s="126">
        <f t="shared" si="55"/>
        <v>0</v>
      </c>
      <c r="DN9" s="127"/>
      <c r="DO9" s="128">
        <f t="shared" si="56"/>
        <v>0</v>
      </c>
      <c r="DP9" s="75"/>
      <c r="DQ9" s="126">
        <f t="shared" si="57"/>
        <v>0</v>
      </c>
      <c r="DR9" s="127"/>
      <c r="DS9" s="128">
        <f t="shared" si="58"/>
        <v>0</v>
      </c>
      <c r="DT9" s="75"/>
      <c r="DU9" s="126">
        <f t="shared" si="59"/>
        <v>0</v>
      </c>
      <c r="DV9" s="127"/>
      <c r="DW9" s="128">
        <f t="shared" si="60"/>
        <v>0</v>
      </c>
      <c r="DX9" s="75"/>
      <c r="DY9" s="126">
        <f t="shared" si="61"/>
        <v>0</v>
      </c>
      <c r="DZ9" s="127"/>
      <c r="EA9" s="128">
        <f t="shared" si="62"/>
        <v>0</v>
      </c>
      <c r="EB9" s="75"/>
      <c r="EC9" s="126">
        <f t="shared" si="63"/>
        <v>0</v>
      </c>
      <c r="ED9" s="127"/>
      <c r="EE9" s="128">
        <f t="shared" si="64"/>
        <v>0</v>
      </c>
      <c r="EF9" s="75"/>
      <c r="EG9" s="126">
        <f t="shared" si="65"/>
        <v>0</v>
      </c>
      <c r="EH9" s="127"/>
      <c r="EI9" s="128">
        <f t="shared" si="66"/>
        <v>0</v>
      </c>
      <c r="EJ9" s="75"/>
      <c r="EK9" s="126">
        <f t="shared" si="67"/>
        <v>0</v>
      </c>
      <c r="EL9" s="127"/>
      <c r="EM9" s="128">
        <f t="shared" si="68"/>
        <v>0</v>
      </c>
    </row>
    <row r="10" spans="1:143" s="89" customFormat="1" ht="20.100000000000001" customHeight="1" x14ac:dyDescent="0.25">
      <c r="A10" s="19" t="s">
        <v>256</v>
      </c>
      <c r="B10" s="156" t="s">
        <v>251</v>
      </c>
      <c r="C10" s="124">
        <v>1</v>
      </c>
      <c r="D10" s="75">
        <v>2</v>
      </c>
      <c r="E10" s="126">
        <v>2</v>
      </c>
      <c r="F10" s="127">
        <v>2</v>
      </c>
      <c r="G10" s="128">
        <f t="shared" si="4"/>
        <v>4</v>
      </c>
      <c r="H10" s="75">
        <v>2</v>
      </c>
      <c r="I10" s="126">
        <f t="shared" si="5"/>
        <v>2</v>
      </c>
      <c r="J10" s="127">
        <v>2</v>
      </c>
      <c r="K10" s="128">
        <f t="shared" si="6"/>
        <v>4</v>
      </c>
      <c r="L10" s="75">
        <v>2</v>
      </c>
      <c r="M10" s="126">
        <f t="shared" si="7"/>
        <v>2</v>
      </c>
      <c r="N10" s="127">
        <v>2</v>
      </c>
      <c r="O10" s="128">
        <f t="shared" si="8"/>
        <v>4</v>
      </c>
      <c r="P10" s="75">
        <v>0</v>
      </c>
      <c r="Q10" s="126">
        <f t="shared" si="9"/>
        <v>4</v>
      </c>
      <c r="R10" s="127">
        <v>7</v>
      </c>
      <c r="S10" s="128">
        <f t="shared" si="10"/>
        <v>7</v>
      </c>
      <c r="T10" s="75">
        <v>3</v>
      </c>
      <c r="U10" s="126">
        <f t="shared" si="11"/>
        <v>4</v>
      </c>
      <c r="V10" s="127">
        <v>5</v>
      </c>
      <c r="W10" s="128">
        <f t="shared" si="12"/>
        <v>8</v>
      </c>
      <c r="X10" s="75">
        <v>6</v>
      </c>
      <c r="Y10" s="126">
        <f t="shared" si="13"/>
        <v>2</v>
      </c>
      <c r="Z10" s="127"/>
      <c r="AA10" s="128">
        <f t="shared" si="14"/>
        <v>6</v>
      </c>
      <c r="AB10" s="75"/>
      <c r="AC10" s="126">
        <f t="shared" si="15"/>
        <v>6</v>
      </c>
      <c r="AD10" s="127">
        <v>8</v>
      </c>
      <c r="AE10" s="128">
        <f t="shared" si="16"/>
        <v>8</v>
      </c>
      <c r="AF10" s="75">
        <v>5</v>
      </c>
      <c r="AG10" s="126">
        <f t="shared" si="0"/>
        <v>3</v>
      </c>
      <c r="AH10" s="127">
        <v>2</v>
      </c>
      <c r="AI10" s="128">
        <f t="shared" si="17"/>
        <v>7</v>
      </c>
      <c r="AJ10" s="75">
        <v>7</v>
      </c>
      <c r="AK10" s="126">
        <f t="shared" si="1"/>
        <v>0</v>
      </c>
      <c r="AL10" s="127"/>
      <c r="AM10" s="128">
        <f t="shared" si="2"/>
        <v>7</v>
      </c>
      <c r="AN10" s="75">
        <v>1</v>
      </c>
      <c r="AO10" s="126">
        <f t="shared" si="18"/>
        <v>6</v>
      </c>
      <c r="AP10" s="202">
        <v>5</v>
      </c>
      <c r="AQ10" s="128">
        <f t="shared" si="19"/>
        <v>6</v>
      </c>
      <c r="AR10" s="75">
        <v>3</v>
      </c>
      <c r="AS10" s="126">
        <f t="shared" si="20"/>
        <v>3</v>
      </c>
      <c r="AT10" s="127">
        <v>4</v>
      </c>
      <c r="AU10" s="128">
        <f t="shared" si="21"/>
        <v>7</v>
      </c>
      <c r="AV10" s="75">
        <v>4</v>
      </c>
      <c r="AW10" s="126">
        <f t="shared" si="22"/>
        <v>3</v>
      </c>
      <c r="AX10" s="202">
        <v>4</v>
      </c>
      <c r="AY10" s="128">
        <f t="shared" si="23"/>
        <v>8</v>
      </c>
      <c r="AZ10" s="75">
        <v>5</v>
      </c>
      <c r="BA10" s="126">
        <f t="shared" si="24"/>
        <v>3</v>
      </c>
      <c r="BB10" s="127">
        <v>2</v>
      </c>
      <c r="BC10" s="128">
        <f t="shared" si="25"/>
        <v>7</v>
      </c>
      <c r="BD10" s="75">
        <v>3</v>
      </c>
      <c r="BE10" s="126">
        <f t="shared" si="26"/>
        <v>4</v>
      </c>
      <c r="BF10" s="127">
        <v>4</v>
      </c>
      <c r="BG10" s="128">
        <f t="shared" si="27"/>
        <v>7</v>
      </c>
      <c r="BH10" s="75">
        <v>2</v>
      </c>
      <c r="BI10" s="126">
        <f t="shared" si="28"/>
        <v>5</v>
      </c>
      <c r="BJ10" s="127">
        <v>4</v>
      </c>
      <c r="BK10" s="128">
        <f t="shared" si="29"/>
        <v>6</v>
      </c>
      <c r="BL10" s="75">
        <v>5</v>
      </c>
      <c r="BM10" s="126">
        <f t="shared" si="30"/>
        <v>1</v>
      </c>
      <c r="BN10" s="127"/>
      <c r="BO10" s="128">
        <f t="shared" si="31"/>
        <v>5</v>
      </c>
      <c r="BP10" s="75">
        <v>3</v>
      </c>
      <c r="BQ10" s="126">
        <f t="shared" si="32"/>
        <v>2</v>
      </c>
      <c r="BR10" s="127">
        <v>2</v>
      </c>
      <c r="BS10" s="128">
        <f t="shared" si="33"/>
        <v>5</v>
      </c>
      <c r="BT10" s="75">
        <v>3</v>
      </c>
      <c r="BU10" s="126">
        <f t="shared" si="34"/>
        <v>2</v>
      </c>
      <c r="BV10" s="127">
        <v>2</v>
      </c>
      <c r="BW10" s="128">
        <f t="shared" si="35"/>
        <v>5</v>
      </c>
      <c r="BX10" s="75">
        <v>3</v>
      </c>
      <c r="BY10" s="126">
        <f t="shared" si="36"/>
        <v>2</v>
      </c>
      <c r="BZ10" s="127">
        <v>2</v>
      </c>
      <c r="CA10" s="128">
        <f t="shared" si="37"/>
        <v>5</v>
      </c>
      <c r="CB10" s="75">
        <v>3</v>
      </c>
      <c r="CC10" s="126">
        <f t="shared" si="38"/>
        <v>2</v>
      </c>
      <c r="CD10" s="127">
        <v>2</v>
      </c>
      <c r="CE10" s="128">
        <f t="shared" si="39"/>
        <v>5</v>
      </c>
      <c r="CF10" s="75">
        <v>1</v>
      </c>
      <c r="CG10" s="126">
        <f t="shared" si="40"/>
        <v>4</v>
      </c>
      <c r="CH10" s="127">
        <v>4</v>
      </c>
      <c r="CI10" s="128">
        <f t="shared" si="41"/>
        <v>5</v>
      </c>
      <c r="CJ10" s="75">
        <v>5</v>
      </c>
      <c r="CK10" s="126">
        <f t="shared" si="42"/>
        <v>0</v>
      </c>
      <c r="CL10" s="127"/>
      <c r="CM10" s="128">
        <f t="shared" si="43"/>
        <v>5</v>
      </c>
      <c r="CN10" s="75">
        <v>3</v>
      </c>
      <c r="CO10" s="126">
        <f t="shared" si="44"/>
        <v>2</v>
      </c>
      <c r="CP10" s="127">
        <v>2</v>
      </c>
      <c r="CQ10" s="128">
        <f t="shared" si="45"/>
        <v>5</v>
      </c>
      <c r="CR10" s="75">
        <v>4</v>
      </c>
      <c r="CS10" s="126">
        <f t="shared" si="46"/>
        <v>1</v>
      </c>
      <c r="CT10" s="127">
        <v>3</v>
      </c>
      <c r="CU10" s="128">
        <f t="shared" si="47"/>
        <v>7</v>
      </c>
      <c r="CV10" s="75">
        <v>6</v>
      </c>
      <c r="CW10" s="126">
        <f t="shared" si="3"/>
        <v>1</v>
      </c>
      <c r="CX10" s="127"/>
      <c r="CY10" s="128">
        <f t="shared" si="48"/>
        <v>6</v>
      </c>
      <c r="CZ10" s="75">
        <v>0</v>
      </c>
      <c r="DA10" s="126">
        <f t="shared" si="49"/>
        <v>6</v>
      </c>
      <c r="DB10" s="127">
        <v>6</v>
      </c>
      <c r="DC10" s="128">
        <f t="shared" si="50"/>
        <v>6</v>
      </c>
      <c r="DD10" s="75">
        <v>4</v>
      </c>
      <c r="DE10" s="126">
        <f t="shared" si="51"/>
        <v>2</v>
      </c>
      <c r="DF10" s="127"/>
      <c r="DG10" s="128">
        <f t="shared" si="52"/>
        <v>4</v>
      </c>
      <c r="DH10" s="75"/>
      <c r="DI10" s="126">
        <f t="shared" si="53"/>
        <v>4</v>
      </c>
      <c r="DJ10" s="127"/>
      <c r="DK10" s="128">
        <f t="shared" si="54"/>
        <v>0</v>
      </c>
      <c r="DL10" s="75"/>
      <c r="DM10" s="126">
        <f t="shared" si="55"/>
        <v>0</v>
      </c>
      <c r="DN10" s="127"/>
      <c r="DO10" s="128">
        <f t="shared" si="56"/>
        <v>0</v>
      </c>
      <c r="DP10" s="75"/>
      <c r="DQ10" s="126">
        <f t="shared" si="57"/>
        <v>0</v>
      </c>
      <c r="DR10" s="127"/>
      <c r="DS10" s="128">
        <f t="shared" si="58"/>
        <v>0</v>
      </c>
      <c r="DT10" s="75"/>
      <c r="DU10" s="126">
        <f t="shared" si="59"/>
        <v>0</v>
      </c>
      <c r="DV10" s="127"/>
      <c r="DW10" s="128">
        <f t="shared" si="60"/>
        <v>0</v>
      </c>
      <c r="DX10" s="75"/>
      <c r="DY10" s="126">
        <f t="shared" si="61"/>
        <v>0</v>
      </c>
      <c r="DZ10" s="127"/>
      <c r="EA10" s="128">
        <f t="shared" si="62"/>
        <v>0</v>
      </c>
      <c r="EB10" s="75"/>
      <c r="EC10" s="126">
        <f t="shared" si="63"/>
        <v>0</v>
      </c>
      <c r="ED10" s="127"/>
      <c r="EE10" s="128">
        <f t="shared" si="64"/>
        <v>0</v>
      </c>
      <c r="EF10" s="75"/>
      <c r="EG10" s="126">
        <f t="shared" si="65"/>
        <v>0</v>
      </c>
      <c r="EH10" s="127"/>
      <c r="EI10" s="128">
        <f t="shared" si="66"/>
        <v>0</v>
      </c>
      <c r="EJ10" s="75"/>
      <c r="EK10" s="126">
        <f t="shared" si="67"/>
        <v>0</v>
      </c>
      <c r="EL10" s="127"/>
      <c r="EM10" s="128">
        <f t="shared" si="68"/>
        <v>0</v>
      </c>
    </row>
    <row r="11" spans="1:143" s="89" customFormat="1" ht="20.100000000000001" customHeight="1" x14ac:dyDescent="0.25">
      <c r="A11" s="19" t="s">
        <v>254</v>
      </c>
      <c r="B11" s="156" t="s">
        <v>249</v>
      </c>
      <c r="C11" s="124">
        <v>3</v>
      </c>
      <c r="D11" s="75">
        <v>6.4</v>
      </c>
      <c r="E11" s="126">
        <v>6.1</v>
      </c>
      <c r="F11" s="127">
        <v>1</v>
      </c>
      <c r="G11" s="128">
        <f t="shared" si="4"/>
        <v>9.4</v>
      </c>
      <c r="H11" s="75">
        <v>8.5</v>
      </c>
      <c r="I11" s="126">
        <f t="shared" si="5"/>
        <v>0.90000000000000036</v>
      </c>
      <c r="J11" s="127">
        <v>1</v>
      </c>
      <c r="K11" s="128">
        <f t="shared" si="6"/>
        <v>11.5</v>
      </c>
      <c r="L11" s="75">
        <v>3.7</v>
      </c>
      <c r="M11" s="126">
        <f t="shared" si="7"/>
        <v>7.8</v>
      </c>
      <c r="N11" s="127">
        <v>2</v>
      </c>
      <c r="O11" s="128">
        <f t="shared" si="8"/>
        <v>9.6999999999999993</v>
      </c>
      <c r="P11" s="75">
        <v>8.1</v>
      </c>
      <c r="Q11" s="126">
        <f t="shared" si="9"/>
        <v>1.5999999999999996</v>
      </c>
      <c r="R11" s="127">
        <v>2</v>
      </c>
      <c r="S11" s="128">
        <f t="shared" si="10"/>
        <v>14.1</v>
      </c>
      <c r="T11" s="75">
        <f>3.3+3.6</f>
        <v>6.9</v>
      </c>
      <c r="U11" s="126">
        <f t="shared" si="11"/>
        <v>7.1999999999999993</v>
      </c>
      <c r="V11" s="127">
        <v>2</v>
      </c>
      <c r="W11" s="128">
        <f t="shared" si="12"/>
        <v>12.9</v>
      </c>
      <c r="X11" s="75">
        <v>12</v>
      </c>
      <c r="Y11" s="126">
        <f t="shared" si="13"/>
        <v>0.90000000000000036</v>
      </c>
      <c r="Z11" s="127"/>
      <c r="AA11" s="128">
        <f t="shared" si="14"/>
        <v>12</v>
      </c>
      <c r="AB11" s="75">
        <v>2.4</v>
      </c>
      <c r="AC11" s="126">
        <f t="shared" si="15"/>
        <v>9.6</v>
      </c>
      <c r="AD11" s="127">
        <v>4</v>
      </c>
      <c r="AE11" s="128">
        <f t="shared" si="16"/>
        <v>14.4</v>
      </c>
      <c r="AF11" s="75">
        <v>12</v>
      </c>
      <c r="AG11" s="126">
        <f t="shared" si="0"/>
        <v>2.4000000000000004</v>
      </c>
      <c r="AH11" s="127"/>
      <c r="AI11" s="128">
        <f t="shared" si="17"/>
        <v>12</v>
      </c>
      <c r="AJ11" s="75">
        <v>6.2</v>
      </c>
      <c r="AK11" s="126">
        <f t="shared" si="1"/>
        <v>5.8</v>
      </c>
      <c r="AL11" s="202">
        <v>2</v>
      </c>
      <c r="AM11" s="128">
        <f t="shared" si="2"/>
        <v>12.2</v>
      </c>
      <c r="AN11" s="75">
        <v>7.2</v>
      </c>
      <c r="AO11" s="126">
        <f t="shared" si="18"/>
        <v>4.9999999999999991</v>
      </c>
      <c r="AP11" s="202">
        <v>2</v>
      </c>
      <c r="AQ11" s="128">
        <f t="shared" si="19"/>
        <v>13.2</v>
      </c>
      <c r="AR11" s="75">
        <v>8.4</v>
      </c>
      <c r="AS11" s="126">
        <f t="shared" si="20"/>
        <v>4.7999999999999989</v>
      </c>
      <c r="AT11" s="127">
        <v>1</v>
      </c>
      <c r="AU11" s="128">
        <f t="shared" si="21"/>
        <v>11.4</v>
      </c>
      <c r="AV11" s="75">
        <v>7.9</v>
      </c>
      <c r="AW11" s="126">
        <f t="shared" si="22"/>
        <v>3.5</v>
      </c>
      <c r="AX11" s="202">
        <v>1</v>
      </c>
      <c r="AY11" s="128">
        <f t="shared" si="23"/>
        <v>10.9</v>
      </c>
      <c r="AZ11" s="75">
        <v>6</v>
      </c>
      <c r="BA11" s="126">
        <f t="shared" si="24"/>
        <v>4.9000000000000004</v>
      </c>
      <c r="BB11" s="127">
        <v>1</v>
      </c>
      <c r="BC11" s="128">
        <f t="shared" si="25"/>
        <v>9</v>
      </c>
      <c r="BD11" s="75">
        <v>6.2</v>
      </c>
      <c r="BE11" s="126">
        <f t="shared" si="26"/>
        <v>2.8</v>
      </c>
      <c r="BF11" s="127">
        <v>1</v>
      </c>
      <c r="BG11" s="128">
        <f t="shared" si="27"/>
        <v>9.1999999999999993</v>
      </c>
      <c r="BH11" s="75">
        <v>6</v>
      </c>
      <c r="BI11" s="126">
        <f t="shared" si="28"/>
        <v>3.1999999999999993</v>
      </c>
      <c r="BJ11" s="127">
        <v>1</v>
      </c>
      <c r="BK11" s="128">
        <f t="shared" si="29"/>
        <v>9</v>
      </c>
      <c r="BL11" s="75">
        <v>4</v>
      </c>
      <c r="BM11" s="126">
        <f t="shared" si="30"/>
        <v>5</v>
      </c>
      <c r="BN11" s="127">
        <v>2</v>
      </c>
      <c r="BO11" s="128">
        <f t="shared" si="31"/>
        <v>10</v>
      </c>
      <c r="BP11" s="75">
        <v>5.3</v>
      </c>
      <c r="BQ11" s="126">
        <f t="shared" si="32"/>
        <v>4.7</v>
      </c>
      <c r="BR11" s="127">
        <v>2</v>
      </c>
      <c r="BS11" s="128">
        <f t="shared" si="33"/>
        <v>11.3</v>
      </c>
      <c r="BT11" s="75">
        <v>8</v>
      </c>
      <c r="BU11" s="126">
        <f t="shared" si="34"/>
        <v>3.3000000000000007</v>
      </c>
      <c r="BV11" s="127">
        <v>1</v>
      </c>
      <c r="BW11" s="128">
        <f t="shared" si="35"/>
        <v>11</v>
      </c>
      <c r="BX11" s="75">
        <v>6.5</v>
      </c>
      <c r="BY11" s="126">
        <f t="shared" si="36"/>
        <v>4.5</v>
      </c>
      <c r="BZ11" s="127">
        <v>2</v>
      </c>
      <c r="CA11" s="128">
        <f t="shared" si="37"/>
        <v>12.5</v>
      </c>
      <c r="CB11" s="75">
        <v>9.5</v>
      </c>
      <c r="CC11" s="126">
        <f t="shared" si="38"/>
        <v>3</v>
      </c>
      <c r="CD11" s="127">
        <v>2</v>
      </c>
      <c r="CE11" s="128">
        <f t="shared" si="39"/>
        <v>15.5</v>
      </c>
      <c r="CF11" s="75">
        <v>11.5</v>
      </c>
      <c r="CG11" s="126">
        <f t="shared" si="40"/>
        <v>4</v>
      </c>
      <c r="CH11" s="127">
        <v>1</v>
      </c>
      <c r="CI11" s="128">
        <f t="shared" si="41"/>
        <v>14.5</v>
      </c>
      <c r="CJ11" s="75">
        <v>12</v>
      </c>
      <c r="CK11" s="126">
        <f t="shared" si="42"/>
        <v>2.5</v>
      </c>
      <c r="CL11" s="127"/>
      <c r="CM11" s="128">
        <f t="shared" si="43"/>
        <v>12</v>
      </c>
      <c r="CN11" s="75">
        <v>9</v>
      </c>
      <c r="CO11" s="126">
        <f t="shared" si="44"/>
        <v>3</v>
      </c>
      <c r="CP11" s="127">
        <v>1</v>
      </c>
      <c r="CQ11" s="128">
        <f t="shared" si="45"/>
        <v>12</v>
      </c>
      <c r="CR11" s="75">
        <v>9</v>
      </c>
      <c r="CS11" s="126">
        <f t="shared" si="46"/>
        <v>3</v>
      </c>
      <c r="CT11" s="127">
        <v>1</v>
      </c>
      <c r="CU11" s="128">
        <f t="shared" si="47"/>
        <v>12</v>
      </c>
      <c r="CV11" s="75">
        <v>12</v>
      </c>
      <c r="CW11" s="126">
        <f t="shared" si="3"/>
        <v>0</v>
      </c>
      <c r="CX11" s="127"/>
      <c r="CY11" s="128">
        <f t="shared" si="48"/>
        <v>12</v>
      </c>
      <c r="CZ11" s="75">
        <v>9</v>
      </c>
      <c r="DA11" s="126">
        <f t="shared" si="49"/>
        <v>3</v>
      </c>
      <c r="DB11" s="127"/>
      <c r="DC11" s="128">
        <f t="shared" si="50"/>
        <v>9</v>
      </c>
      <c r="DD11" s="75">
        <v>3.5</v>
      </c>
      <c r="DE11" s="126">
        <f t="shared" si="51"/>
        <v>5.5</v>
      </c>
      <c r="DF11" s="127">
        <v>3</v>
      </c>
      <c r="DG11" s="128">
        <f t="shared" si="52"/>
        <v>12.5</v>
      </c>
      <c r="DH11" s="75"/>
      <c r="DI11" s="126">
        <f t="shared" si="53"/>
        <v>12.5</v>
      </c>
      <c r="DJ11" s="127"/>
      <c r="DK11" s="128">
        <f t="shared" si="54"/>
        <v>0</v>
      </c>
      <c r="DL11" s="75"/>
      <c r="DM11" s="126">
        <f t="shared" si="55"/>
        <v>0</v>
      </c>
      <c r="DN11" s="127"/>
      <c r="DO11" s="128">
        <f t="shared" si="56"/>
        <v>0</v>
      </c>
      <c r="DP11" s="75"/>
      <c r="DQ11" s="126">
        <f t="shared" si="57"/>
        <v>0</v>
      </c>
      <c r="DR11" s="127"/>
      <c r="DS11" s="128">
        <f t="shared" si="58"/>
        <v>0</v>
      </c>
      <c r="DT11" s="75"/>
      <c r="DU11" s="126">
        <f t="shared" si="59"/>
        <v>0</v>
      </c>
      <c r="DV11" s="127"/>
      <c r="DW11" s="128">
        <f t="shared" si="60"/>
        <v>0</v>
      </c>
      <c r="DX11" s="75"/>
      <c r="DY11" s="126">
        <f t="shared" si="61"/>
        <v>0</v>
      </c>
      <c r="DZ11" s="127"/>
      <c r="EA11" s="128">
        <f t="shared" si="62"/>
        <v>0</v>
      </c>
      <c r="EB11" s="75"/>
      <c r="EC11" s="126">
        <f t="shared" si="63"/>
        <v>0</v>
      </c>
      <c r="ED11" s="127"/>
      <c r="EE11" s="128">
        <f t="shared" si="64"/>
        <v>0</v>
      </c>
      <c r="EF11" s="75"/>
      <c r="EG11" s="126">
        <f t="shared" si="65"/>
        <v>0</v>
      </c>
      <c r="EH11" s="127"/>
      <c r="EI11" s="128">
        <f t="shared" si="66"/>
        <v>0</v>
      </c>
      <c r="EJ11" s="75"/>
      <c r="EK11" s="126">
        <f t="shared" si="67"/>
        <v>0</v>
      </c>
      <c r="EL11" s="127"/>
      <c r="EM11" s="128">
        <f t="shared" si="68"/>
        <v>0</v>
      </c>
    </row>
    <row r="12" spans="1:143" s="89" customFormat="1" ht="20.100000000000001" customHeight="1" x14ac:dyDescent="0.25">
      <c r="A12" s="19" t="s">
        <v>255</v>
      </c>
      <c r="B12" s="156" t="s">
        <v>249</v>
      </c>
      <c r="C12" s="124">
        <v>5</v>
      </c>
      <c r="D12" s="75">
        <v>7.8</v>
      </c>
      <c r="E12" s="126">
        <v>1.0000000000000009</v>
      </c>
      <c r="F12" s="127"/>
      <c r="G12" s="128">
        <f t="shared" si="4"/>
        <v>7.8</v>
      </c>
      <c r="H12" s="75">
        <v>5</v>
      </c>
      <c r="I12" s="126">
        <f t="shared" si="5"/>
        <v>2.8</v>
      </c>
      <c r="J12" s="127">
        <v>1</v>
      </c>
      <c r="K12" s="128">
        <f t="shared" si="6"/>
        <v>10</v>
      </c>
      <c r="L12" s="75">
        <v>8.5</v>
      </c>
      <c r="M12" s="126">
        <f t="shared" si="7"/>
        <v>1.5</v>
      </c>
      <c r="N12" s="127"/>
      <c r="O12" s="128">
        <f t="shared" si="8"/>
        <v>8.5</v>
      </c>
      <c r="P12" s="75">
        <v>5</v>
      </c>
      <c r="Q12" s="126">
        <f t="shared" si="9"/>
        <v>3.5</v>
      </c>
      <c r="R12" s="127"/>
      <c r="S12" s="128">
        <f t="shared" si="10"/>
        <v>5</v>
      </c>
      <c r="T12" s="75">
        <v>0.7</v>
      </c>
      <c r="U12" s="126">
        <f t="shared" si="11"/>
        <v>4.3</v>
      </c>
      <c r="V12" s="127">
        <v>2</v>
      </c>
      <c r="W12" s="128">
        <f t="shared" si="12"/>
        <v>10.7</v>
      </c>
      <c r="X12" s="75">
        <v>10</v>
      </c>
      <c r="Y12" s="126">
        <f t="shared" si="13"/>
        <v>0.69999999999999929</v>
      </c>
      <c r="Z12" s="127"/>
      <c r="AA12" s="128">
        <f t="shared" si="14"/>
        <v>10</v>
      </c>
      <c r="AB12" s="75">
        <v>7.6</v>
      </c>
      <c r="AC12" s="126">
        <f t="shared" si="15"/>
        <v>2.4000000000000004</v>
      </c>
      <c r="AD12" s="127"/>
      <c r="AE12" s="128">
        <f t="shared" si="16"/>
        <v>7.6</v>
      </c>
      <c r="AF12" s="75">
        <v>6.4</v>
      </c>
      <c r="AG12" s="126">
        <f t="shared" si="0"/>
        <v>1.1999999999999993</v>
      </c>
      <c r="AH12" s="127"/>
      <c r="AI12" s="128">
        <f t="shared" si="17"/>
        <v>6.4</v>
      </c>
      <c r="AJ12" s="75">
        <v>3.2</v>
      </c>
      <c r="AK12" s="126">
        <f t="shared" si="1"/>
        <v>3.2</v>
      </c>
      <c r="AL12" s="202">
        <v>1</v>
      </c>
      <c r="AM12" s="128">
        <f t="shared" si="2"/>
        <v>8.1999999999999993</v>
      </c>
      <c r="AN12" s="75">
        <v>5</v>
      </c>
      <c r="AO12" s="126">
        <f t="shared" si="18"/>
        <v>3.1999999999999993</v>
      </c>
      <c r="AP12" s="202">
        <v>1</v>
      </c>
      <c r="AQ12" s="128">
        <f t="shared" si="19"/>
        <v>10</v>
      </c>
      <c r="AR12" s="75">
        <v>4.9000000000000004</v>
      </c>
      <c r="AS12" s="126">
        <f t="shared" si="20"/>
        <v>5.0999999999999996</v>
      </c>
      <c r="AT12" s="127">
        <v>1</v>
      </c>
      <c r="AU12" s="128">
        <f t="shared" si="21"/>
        <v>9.9</v>
      </c>
      <c r="AV12" s="75">
        <v>9.6999999999999993</v>
      </c>
      <c r="AW12" s="126">
        <f t="shared" si="22"/>
        <v>0.20000000000000107</v>
      </c>
      <c r="AX12" s="127"/>
      <c r="AY12" s="128">
        <f t="shared" si="23"/>
        <v>9.6999999999999993</v>
      </c>
      <c r="AZ12" s="75">
        <v>7.6</v>
      </c>
      <c r="BA12" s="126">
        <f t="shared" si="24"/>
        <v>2.0999999999999996</v>
      </c>
      <c r="BB12" s="127"/>
      <c r="BC12" s="128">
        <f t="shared" si="25"/>
        <v>7.6</v>
      </c>
      <c r="BD12" s="75">
        <v>6</v>
      </c>
      <c r="BE12" s="126">
        <f t="shared" si="26"/>
        <v>1.5999999999999996</v>
      </c>
      <c r="BF12" s="127"/>
      <c r="BG12" s="128">
        <f t="shared" si="27"/>
        <v>6</v>
      </c>
      <c r="BH12" s="75">
        <v>2.5</v>
      </c>
      <c r="BI12" s="126">
        <f t="shared" si="28"/>
        <v>3.5</v>
      </c>
      <c r="BJ12" s="127">
        <v>5</v>
      </c>
      <c r="BK12" s="128">
        <v>8.5</v>
      </c>
      <c r="BL12" s="75">
        <v>6</v>
      </c>
      <c r="BM12" s="126">
        <f t="shared" si="30"/>
        <v>2.5</v>
      </c>
      <c r="BN12" s="127"/>
      <c r="BO12" s="128">
        <f t="shared" si="31"/>
        <v>6</v>
      </c>
      <c r="BP12" s="75">
        <v>3.9</v>
      </c>
      <c r="BQ12" s="126">
        <f t="shared" si="32"/>
        <v>2.1</v>
      </c>
      <c r="BR12" s="127">
        <v>1</v>
      </c>
      <c r="BS12" s="128">
        <f t="shared" si="33"/>
        <v>8.9</v>
      </c>
      <c r="BT12" s="75">
        <v>5</v>
      </c>
      <c r="BU12" s="126">
        <f t="shared" si="34"/>
        <v>3.9000000000000004</v>
      </c>
      <c r="BV12" s="127"/>
      <c r="BW12" s="128">
        <f t="shared" si="35"/>
        <v>5</v>
      </c>
      <c r="BX12" s="75">
        <v>2.2999999999999998</v>
      </c>
      <c r="BY12" s="126">
        <f t="shared" si="36"/>
        <v>2.7</v>
      </c>
      <c r="BZ12" s="127">
        <v>1</v>
      </c>
      <c r="CA12" s="128">
        <f t="shared" si="37"/>
        <v>7.3</v>
      </c>
      <c r="CB12" s="75">
        <v>5</v>
      </c>
      <c r="CC12" s="126">
        <f t="shared" si="38"/>
        <v>2.2999999999999998</v>
      </c>
      <c r="CD12" s="127">
        <v>1</v>
      </c>
      <c r="CE12" s="128">
        <f t="shared" si="39"/>
        <v>10</v>
      </c>
      <c r="CF12" s="75">
        <v>7.2</v>
      </c>
      <c r="CG12" s="126">
        <f t="shared" si="40"/>
        <v>2.8</v>
      </c>
      <c r="CH12" s="127"/>
      <c r="CI12" s="128">
        <f t="shared" si="41"/>
        <v>7.2</v>
      </c>
      <c r="CJ12" s="75">
        <v>3.8</v>
      </c>
      <c r="CK12" s="126">
        <f t="shared" si="42"/>
        <v>3.4000000000000004</v>
      </c>
      <c r="CL12" s="127">
        <v>1</v>
      </c>
      <c r="CM12" s="128">
        <f t="shared" si="43"/>
        <v>8.8000000000000007</v>
      </c>
      <c r="CN12" s="75">
        <v>7.3</v>
      </c>
      <c r="CO12" s="126">
        <f t="shared" si="44"/>
        <v>1.5000000000000009</v>
      </c>
      <c r="CP12" s="127"/>
      <c r="CQ12" s="128">
        <f t="shared" si="45"/>
        <v>7.3</v>
      </c>
      <c r="CR12" s="75">
        <v>3.8</v>
      </c>
      <c r="CS12" s="126">
        <f t="shared" si="46"/>
        <v>3.5</v>
      </c>
      <c r="CT12" s="127">
        <v>1</v>
      </c>
      <c r="CU12" s="128">
        <f t="shared" si="47"/>
        <v>8.8000000000000007</v>
      </c>
      <c r="CV12" s="75">
        <v>7.3</v>
      </c>
      <c r="CW12" s="126">
        <f t="shared" si="3"/>
        <v>1.5000000000000009</v>
      </c>
      <c r="CX12" s="127"/>
      <c r="CY12" s="128">
        <f t="shared" si="48"/>
        <v>7.3</v>
      </c>
      <c r="CZ12" s="75">
        <v>5</v>
      </c>
      <c r="DA12" s="126">
        <f t="shared" si="49"/>
        <v>2.2999999999999998</v>
      </c>
      <c r="DB12" s="127">
        <v>1</v>
      </c>
      <c r="DC12" s="128">
        <f t="shared" si="50"/>
        <v>10</v>
      </c>
      <c r="DD12" s="75">
        <v>5</v>
      </c>
      <c r="DE12" s="126">
        <f t="shared" si="51"/>
        <v>5</v>
      </c>
      <c r="DF12" s="127">
        <v>1</v>
      </c>
      <c r="DG12" s="128">
        <f t="shared" si="52"/>
        <v>10</v>
      </c>
      <c r="DH12" s="75"/>
      <c r="DI12" s="126">
        <f t="shared" si="53"/>
        <v>10</v>
      </c>
      <c r="DJ12" s="127"/>
      <c r="DK12" s="128">
        <f t="shared" si="54"/>
        <v>0</v>
      </c>
      <c r="DL12" s="75"/>
      <c r="DM12" s="126">
        <f t="shared" si="55"/>
        <v>0</v>
      </c>
      <c r="DN12" s="127"/>
      <c r="DO12" s="128">
        <f t="shared" si="56"/>
        <v>0</v>
      </c>
      <c r="DP12" s="75"/>
      <c r="DQ12" s="126">
        <f t="shared" si="57"/>
        <v>0</v>
      </c>
      <c r="DR12" s="127"/>
      <c r="DS12" s="128">
        <f t="shared" si="58"/>
        <v>0</v>
      </c>
      <c r="DT12" s="75"/>
      <c r="DU12" s="126">
        <f t="shared" si="59"/>
        <v>0</v>
      </c>
      <c r="DV12" s="127"/>
      <c r="DW12" s="128">
        <f t="shared" si="60"/>
        <v>0</v>
      </c>
      <c r="DX12" s="75"/>
      <c r="DY12" s="126">
        <f t="shared" si="61"/>
        <v>0</v>
      </c>
      <c r="DZ12" s="127"/>
      <c r="EA12" s="128">
        <f t="shared" si="62"/>
        <v>0</v>
      </c>
      <c r="EB12" s="75"/>
      <c r="EC12" s="126">
        <f t="shared" si="63"/>
        <v>0</v>
      </c>
      <c r="ED12" s="127"/>
      <c r="EE12" s="128">
        <f t="shared" si="64"/>
        <v>0</v>
      </c>
      <c r="EF12" s="75"/>
      <c r="EG12" s="126">
        <f t="shared" si="65"/>
        <v>0</v>
      </c>
      <c r="EH12" s="127"/>
      <c r="EI12" s="128">
        <f t="shared" si="66"/>
        <v>0</v>
      </c>
      <c r="EJ12" s="75"/>
      <c r="EK12" s="126">
        <f t="shared" si="67"/>
        <v>0</v>
      </c>
      <c r="EL12" s="127"/>
      <c r="EM12" s="128">
        <f t="shared" si="68"/>
        <v>0</v>
      </c>
    </row>
    <row r="13" spans="1:143" s="89" customFormat="1" ht="20.100000000000001" customHeight="1" x14ac:dyDescent="0.25">
      <c r="A13" s="19" t="s">
        <v>278</v>
      </c>
      <c r="B13" s="156" t="s">
        <v>277</v>
      </c>
      <c r="C13" s="124">
        <v>4</v>
      </c>
      <c r="D13" s="75">
        <v>6.1</v>
      </c>
      <c r="E13" s="126">
        <v>7</v>
      </c>
      <c r="F13" s="127">
        <v>2</v>
      </c>
      <c r="G13" s="128">
        <f t="shared" si="4"/>
        <v>14.1</v>
      </c>
      <c r="H13" s="75">
        <v>8</v>
      </c>
      <c r="I13" s="126">
        <f t="shared" si="5"/>
        <v>6.1</v>
      </c>
      <c r="J13" s="127"/>
      <c r="K13" s="128">
        <f t="shared" si="6"/>
        <v>8</v>
      </c>
      <c r="L13" s="75">
        <v>1.8</v>
      </c>
      <c r="M13" s="126">
        <f t="shared" si="7"/>
        <v>6.2</v>
      </c>
      <c r="N13" s="127">
        <v>3</v>
      </c>
      <c r="O13" s="128">
        <f t="shared" si="8"/>
        <v>13.8</v>
      </c>
      <c r="P13" s="75">
        <v>5.6</v>
      </c>
      <c r="Q13" s="126">
        <f t="shared" si="9"/>
        <v>8.2000000000000011</v>
      </c>
      <c r="R13" s="127">
        <v>3</v>
      </c>
      <c r="S13" s="128">
        <f t="shared" si="10"/>
        <v>17.600000000000001</v>
      </c>
      <c r="T13" s="75">
        <v>3.2</v>
      </c>
      <c r="U13" s="126">
        <f t="shared" si="11"/>
        <v>14.400000000000002</v>
      </c>
      <c r="V13" s="127">
        <v>4</v>
      </c>
      <c r="W13" s="128">
        <f t="shared" si="12"/>
        <v>19.2</v>
      </c>
      <c r="X13" s="75">
        <v>4</v>
      </c>
      <c r="Y13" s="126">
        <f t="shared" si="13"/>
        <v>15.2</v>
      </c>
      <c r="Z13" s="127">
        <v>4</v>
      </c>
      <c r="AA13" s="128">
        <f t="shared" si="14"/>
        <v>20</v>
      </c>
      <c r="AB13" s="75">
        <v>5.0999999999999996</v>
      </c>
      <c r="AC13" s="126">
        <f t="shared" si="15"/>
        <v>14.9</v>
      </c>
      <c r="AD13" s="127">
        <v>3</v>
      </c>
      <c r="AE13" s="128">
        <f t="shared" si="16"/>
        <v>17.100000000000001</v>
      </c>
      <c r="AF13" s="75">
        <v>0</v>
      </c>
      <c r="AG13" s="126">
        <f t="shared" si="0"/>
        <v>17.100000000000001</v>
      </c>
      <c r="AH13" s="127">
        <v>5</v>
      </c>
      <c r="AI13" s="128">
        <f t="shared" si="17"/>
        <v>20</v>
      </c>
      <c r="AJ13" s="75">
        <v>10.8</v>
      </c>
      <c r="AK13" s="126">
        <f t="shared" si="1"/>
        <v>9.1999999999999993</v>
      </c>
      <c r="AL13" s="202">
        <v>2</v>
      </c>
      <c r="AM13" s="128">
        <f t="shared" si="2"/>
        <v>18.8</v>
      </c>
      <c r="AN13" s="75">
        <v>6</v>
      </c>
      <c r="AO13" s="126">
        <f t="shared" si="18"/>
        <v>12.8</v>
      </c>
      <c r="AP13" s="202">
        <v>2</v>
      </c>
      <c r="AQ13" s="128">
        <f t="shared" si="19"/>
        <v>14</v>
      </c>
      <c r="AR13" s="75">
        <v>8</v>
      </c>
      <c r="AS13" s="126">
        <f t="shared" si="20"/>
        <v>6</v>
      </c>
      <c r="AT13" s="127">
        <v>1</v>
      </c>
      <c r="AU13" s="128">
        <f t="shared" si="21"/>
        <v>12</v>
      </c>
      <c r="AV13" s="75">
        <v>5.4</v>
      </c>
      <c r="AW13" s="126">
        <f t="shared" si="22"/>
        <v>6.6</v>
      </c>
      <c r="AX13" s="202">
        <v>2</v>
      </c>
      <c r="AY13" s="128">
        <f t="shared" si="23"/>
        <v>13.4</v>
      </c>
      <c r="AZ13" s="75">
        <v>5.8</v>
      </c>
      <c r="BA13" s="126">
        <f t="shared" si="24"/>
        <v>7.6000000000000005</v>
      </c>
      <c r="BB13" s="127">
        <v>2</v>
      </c>
      <c r="BC13" s="128">
        <f t="shared" si="25"/>
        <v>13.8</v>
      </c>
      <c r="BD13" s="75">
        <v>2</v>
      </c>
      <c r="BE13" s="126">
        <f t="shared" si="26"/>
        <v>11.8</v>
      </c>
      <c r="BF13" s="127">
        <v>3</v>
      </c>
      <c r="BG13" s="128">
        <f t="shared" si="27"/>
        <v>14</v>
      </c>
      <c r="BH13" s="75">
        <v>4</v>
      </c>
      <c r="BI13" s="126">
        <f t="shared" si="28"/>
        <v>10</v>
      </c>
      <c r="BJ13" s="127">
        <v>2</v>
      </c>
      <c r="BK13" s="128">
        <f t="shared" si="29"/>
        <v>12</v>
      </c>
      <c r="BL13" s="75">
        <v>1</v>
      </c>
      <c r="BM13" s="126">
        <f t="shared" si="30"/>
        <v>11</v>
      </c>
      <c r="BN13" s="127">
        <v>3</v>
      </c>
      <c r="BO13" s="128">
        <f t="shared" si="31"/>
        <v>13</v>
      </c>
      <c r="BP13" s="75">
        <v>9.5</v>
      </c>
      <c r="BQ13" s="126">
        <f t="shared" si="32"/>
        <v>3.5</v>
      </c>
      <c r="BR13" s="127">
        <v>1</v>
      </c>
      <c r="BS13" s="128">
        <f t="shared" si="33"/>
        <v>13.5</v>
      </c>
      <c r="BT13" s="75">
        <v>6.5</v>
      </c>
      <c r="BU13" s="126">
        <f t="shared" si="34"/>
        <v>7</v>
      </c>
      <c r="BV13" s="127">
        <v>2</v>
      </c>
      <c r="BW13" s="128">
        <f t="shared" si="35"/>
        <v>14.5</v>
      </c>
      <c r="BX13" s="75"/>
      <c r="BY13" s="126">
        <f t="shared" si="36"/>
        <v>14.5</v>
      </c>
      <c r="BZ13" s="127">
        <v>4</v>
      </c>
      <c r="CA13" s="128">
        <f t="shared" si="37"/>
        <v>16</v>
      </c>
      <c r="CB13" s="75">
        <v>8</v>
      </c>
      <c r="CC13" s="126">
        <f t="shared" si="38"/>
        <v>8</v>
      </c>
      <c r="CD13" s="127">
        <v>2</v>
      </c>
      <c r="CE13" s="128">
        <f t="shared" si="39"/>
        <v>16</v>
      </c>
      <c r="CF13" s="75">
        <v>7</v>
      </c>
      <c r="CG13" s="126">
        <f t="shared" si="40"/>
        <v>9</v>
      </c>
      <c r="CH13" s="127">
        <v>2</v>
      </c>
      <c r="CI13" s="128">
        <f t="shared" si="41"/>
        <v>15</v>
      </c>
      <c r="CJ13" s="75">
        <v>7.2</v>
      </c>
      <c r="CK13" s="126">
        <f t="shared" si="42"/>
        <v>7.8</v>
      </c>
      <c r="CL13" s="127">
        <v>3</v>
      </c>
      <c r="CM13" s="128">
        <f t="shared" si="43"/>
        <v>19.2</v>
      </c>
      <c r="CN13" s="75">
        <v>7.6</v>
      </c>
      <c r="CO13" s="126">
        <f t="shared" si="44"/>
        <v>11.6</v>
      </c>
      <c r="CP13" s="127">
        <v>3</v>
      </c>
      <c r="CQ13" s="128">
        <f t="shared" si="45"/>
        <v>19.600000000000001</v>
      </c>
      <c r="CR13" s="75">
        <v>12</v>
      </c>
      <c r="CS13" s="126">
        <f t="shared" si="46"/>
        <v>7.6000000000000014</v>
      </c>
      <c r="CT13" s="127">
        <v>2</v>
      </c>
      <c r="CU13" s="128">
        <f t="shared" si="47"/>
        <v>20</v>
      </c>
      <c r="CV13" s="75">
        <v>8</v>
      </c>
      <c r="CW13" s="126">
        <f t="shared" si="3"/>
        <v>12</v>
      </c>
      <c r="CX13" s="127">
        <v>2</v>
      </c>
      <c r="CY13" s="128">
        <f t="shared" si="48"/>
        <v>16</v>
      </c>
      <c r="CZ13" s="75">
        <v>8</v>
      </c>
      <c r="DA13" s="126">
        <f t="shared" si="49"/>
        <v>8</v>
      </c>
      <c r="DB13" s="127">
        <v>2</v>
      </c>
      <c r="DC13" s="128">
        <f t="shared" si="50"/>
        <v>16</v>
      </c>
      <c r="DD13" s="75">
        <v>8</v>
      </c>
      <c r="DE13" s="126">
        <f t="shared" si="51"/>
        <v>8</v>
      </c>
      <c r="DF13" s="127">
        <v>8</v>
      </c>
      <c r="DG13" s="128">
        <f t="shared" si="52"/>
        <v>40</v>
      </c>
      <c r="DH13" s="75"/>
      <c r="DI13" s="126">
        <f t="shared" si="53"/>
        <v>40</v>
      </c>
      <c r="DJ13" s="127"/>
      <c r="DK13" s="128">
        <f t="shared" si="54"/>
        <v>0</v>
      </c>
      <c r="DL13" s="75"/>
      <c r="DM13" s="126">
        <f t="shared" si="55"/>
        <v>0</v>
      </c>
      <c r="DN13" s="127"/>
      <c r="DO13" s="128">
        <f t="shared" si="56"/>
        <v>0</v>
      </c>
      <c r="DP13" s="75"/>
      <c r="DQ13" s="126">
        <f t="shared" si="57"/>
        <v>0</v>
      </c>
      <c r="DR13" s="127"/>
      <c r="DS13" s="128">
        <f t="shared" si="58"/>
        <v>0</v>
      </c>
      <c r="DT13" s="75"/>
      <c r="DU13" s="126">
        <f t="shared" si="59"/>
        <v>0</v>
      </c>
      <c r="DV13" s="127"/>
      <c r="DW13" s="128">
        <f t="shared" si="60"/>
        <v>0</v>
      </c>
      <c r="DX13" s="75"/>
      <c r="DY13" s="126">
        <f t="shared" si="61"/>
        <v>0</v>
      </c>
      <c r="DZ13" s="127"/>
      <c r="EA13" s="128">
        <f t="shared" si="62"/>
        <v>0</v>
      </c>
      <c r="EB13" s="75"/>
      <c r="EC13" s="126">
        <f t="shared" si="63"/>
        <v>0</v>
      </c>
      <c r="ED13" s="127"/>
      <c r="EE13" s="128">
        <f t="shared" si="64"/>
        <v>0</v>
      </c>
      <c r="EF13" s="75"/>
      <c r="EG13" s="126">
        <f t="shared" si="65"/>
        <v>0</v>
      </c>
      <c r="EH13" s="127"/>
      <c r="EI13" s="128">
        <f t="shared" si="66"/>
        <v>0</v>
      </c>
      <c r="EJ13" s="75"/>
      <c r="EK13" s="126">
        <f t="shared" si="67"/>
        <v>0</v>
      </c>
      <c r="EL13" s="127"/>
      <c r="EM13" s="128">
        <f t="shared" si="68"/>
        <v>0</v>
      </c>
    </row>
    <row r="14" spans="1:143" s="89" customFormat="1" ht="20.100000000000001" customHeight="1" x14ac:dyDescent="0.25">
      <c r="A14" s="19" t="s">
        <v>258</v>
      </c>
      <c r="B14" s="156" t="s">
        <v>257</v>
      </c>
      <c r="C14" s="124">
        <v>1</v>
      </c>
      <c r="D14" s="75">
        <v>3</v>
      </c>
      <c r="E14" s="126">
        <v>4</v>
      </c>
      <c r="F14" s="127">
        <v>8</v>
      </c>
      <c r="G14" s="128">
        <f t="shared" si="4"/>
        <v>11</v>
      </c>
      <c r="H14" s="75">
        <v>4</v>
      </c>
      <c r="I14" s="126">
        <f t="shared" si="5"/>
        <v>7</v>
      </c>
      <c r="J14" s="127">
        <v>8</v>
      </c>
      <c r="K14" s="128">
        <f t="shared" si="6"/>
        <v>12</v>
      </c>
      <c r="L14" s="75">
        <v>10</v>
      </c>
      <c r="M14" s="126">
        <f t="shared" si="7"/>
        <v>2</v>
      </c>
      <c r="N14" s="127"/>
      <c r="O14" s="128">
        <f>+L14+N14*$C14</f>
        <v>10</v>
      </c>
      <c r="P14" s="75">
        <v>8</v>
      </c>
      <c r="Q14" s="126">
        <f t="shared" si="9"/>
        <v>2</v>
      </c>
      <c r="R14" s="127">
        <v>4</v>
      </c>
      <c r="S14" s="128">
        <f t="shared" si="10"/>
        <v>12</v>
      </c>
      <c r="T14" s="75">
        <v>12</v>
      </c>
      <c r="U14" s="126">
        <f t="shared" si="11"/>
        <v>0</v>
      </c>
      <c r="V14" s="127"/>
      <c r="W14" s="128">
        <f t="shared" si="12"/>
        <v>12</v>
      </c>
      <c r="X14" s="75">
        <v>7</v>
      </c>
      <c r="Y14" s="126">
        <f t="shared" si="13"/>
        <v>5</v>
      </c>
      <c r="Z14" s="127">
        <v>2</v>
      </c>
      <c r="AA14" s="128">
        <f t="shared" si="14"/>
        <v>9</v>
      </c>
      <c r="AB14" s="75">
        <v>1</v>
      </c>
      <c r="AC14" s="126">
        <f t="shared" si="15"/>
        <v>8</v>
      </c>
      <c r="AD14" s="127">
        <v>5</v>
      </c>
      <c r="AE14" s="128">
        <f t="shared" si="16"/>
        <v>6</v>
      </c>
      <c r="AF14" s="75">
        <v>5</v>
      </c>
      <c r="AG14" s="126">
        <f t="shared" si="0"/>
        <v>1</v>
      </c>
      <c r="AH14" s="127">
        <v>0</v>
      </c>
      <c r="AI14" s="128">
        <f t="shared" si="17"/>
        <v>5</v>
      </c>
      <c r="AJ14" s="75">
        <v>3</v>
      </c>
      <c r="AK14" s="126">
        <f t="shared" si="1"/>
        <v>2</v>
      </c>
      <c r="AL14" s="202">
        <v>2</v>
      </c>
      <c r="AM14" s="128">
        <f t="shared" si="2"/>
        <v>5</v>
      </c>
      <c r="AN14" s="75">
        <v>2</v>
      </c>
      <c r="AO14" s="126">
        <f t="shared" si="18"/>
        <v>3</v>
      </c>
      <c r="AP14" s="202">
        <v>3</v>
      </c>
      <c r="AQ14" s="128">
        <f t="shared" si="19"/>
        <v>5</v>
      </c>
      <c r="AR14" s="75">
        <v>3</v>
      </c>
      <c r="AS14" s="126">
        <f t="shared" si="20"/>
        <v>2</v>
      </c>
      <c r="AT14" s="127">
        <v>1</v>
      </c>
      <c r="AU14" s="128">
        <f t="shared" si="21"/>
        <v>4</v>
      </c>
      <c r="AV14" s="75">
        <v>1</v>
      </c>
      <c r="AW14" s="126">
        <f t="shared" si="22"/>
        <v>3</v>
      </c>
      <c r="AX14" s="202">
        <v>4</v>
      </c>
      <c r="AY14" s="128">
        <f t="shared" si="23"/>
        <v>5</v>
      </c>
      <c r="AZ14" s="75">
        <v>2</v>
      </c>
      <c r="BA14" s="126">
        <f t="shared" si="24"/>
        <v>3</v>
      </c>
      <c r="BB14" s="127">
        <v>3</v>
      </c>
      <c r="BC14" s="128">
        <f t="shared" si="25"/>
        <v>5</v>
      </c>
      <c r="BD14" s="75">
        <v>3</v>
      </c>
      <c r="BE14" s="126">
        <f t="shared" si="26"/>
        <v>2</v>
      </c>
      <c r="BF14" s="127">
        <v>2</v>
      </c>
      <c r="BG14" s="128">
        <f t="shared" si="27"/>
        <v>5</v>
      </c>
      <c r="BH14" s="75">
        <v>2</v>
      </c>
      <c r="BI14" s="126">
        <f t="shared" si="28"/>
        <v>3</v>
      </c>
      <c r="BJ14" s="127">
        <v>2</v>
      </c>
      <c r="BK14" s="128">
        <f t="shared" si="29"/>
        <v>4</v>
      </c>
      <c r="BL14" s="75">
        <v>2</v>
      </c>
      <c r="BM14" s="126">
        <f t="shared" si="30"/>
        <v>2</v>
      </c>
      <c r="BN14" s="127">
        <v>2</v>
      </c>
      <c r="BO14" s="128">
        <f t="shared" si="31"/>
        <v>4</v>
      </c>
      <c r="BP14" s="75">
        <v>1</v>
      </c>
      <c r="BQ14" s="126">
        <f t="shared" si="32"/>
        <v>3</v>
      </c>
      <c r="BR14" s="127">
        <v>3</v>
      </c>
      <c r="BS14" s="128">
        <f t="shared" si="33"/>
        <v>4</v>
      </c>
      <c r="BT14" s="75">
        <v>3</v>
      </c>
      <c r="BU14" s="126">
        <f t="shared" si="34"/>
        <v>1</v>
      </c>
      <c r="BV14" s="127">
        <v>2</v>
      </c>
      <c r="BW14" s="128">
        <f t="shared" si="35"/>
        <v>5</v>
      </c>
      <c r="BX14" s="75">
        <v>4</v>
      </c>
      <c r="BY14" s="126">
        <f t="shared" si="36"/>
        <v>1</v>
      </c>
      <c r="BZ14" s="127"/>
      <c r="CA14" s="128">
        <f t="shared" si="37"/>
        <v>4</v>
      </c>
      <c r="CB14" s="75">
        <v>1</v>
      </c>
      <c r="CC14" s="126">
        <f t="shared" si="38"/>
        <v>3</v>
      </c>
      <c r="CD14" s="127">
        <v>3</v>
      </c>
      <c r="CE14" s="128">
        <f t="shared" si="39"/>
        <v>4</v>
      </c>
      <c r="CF14" s="75">
        <v>2</v>
      </c>
      <c r="CG14" s="126">
        <f t="shared" si="40"/>
        <v>2</v>
      </c>
      <c r="CH14" s="127">
        <v>2</v>
      </c>
      <c r="CI14" s="128">
        <f t="shared" si="41"/>
        <v>4</v>
      </c>
      <c r="CJ14" s="75">
        <v>1</v>
      </c>
      <c r="CK14" s="126">
        <f t="shared" si="42"/>
        <v>3</v>
      </c>
      <c r="CL14" s="127">
        <v>3</v>
      </c>
      <c r="CM14" s="128">
        <f t="shared" si="43"/>
        <v>4</v>
      </c>
      <c r="CN14" s="75">
        <v>1</v>
      </c>
      <c r="CO14" s="126">
        <f t="shared" si="44"/>
        <v>3</v>
      </c>
      <c r="CP14" s="127">
        <v>3</v>
      </c>
      <c r="CQ14" s="128">
        <f t="shared" si="45"/>
        <v>4</v>
      </c>
      <c r="CR14" s="75">
        <v>3</v>
      </c>
      <c r="CS14" s="126">
        <f t="shared" si="46"/>
        <v>1</v>
      </c>
      <c r="CT14" s="127">
        <v>2</v>
      </c>
      <c r="CU14" s="128">
        <f t="shared" si="47"/>
        <v>5</v>
      </c>
      <c r="CV14" s="75">
        <v>2</v>
      </c>
      <c r="CW14" s="126">
        <f t="shared" si="3"/>
        <v>3</v>
      </c>
      <c r="CX14" s="127">
        <v>2</v>
      </c>
      <c r="CY14" s="128">
        <f t="shared" si="48"/>
        <v>4</v>
      </c>
      <c r="CZ14" s="75">
        <v>0</v>
      </c>
      <c r="DA14" s="126">
        <f t="shared" si="49"/>
        <v>4</v>
      </c>
      <c r="DB14" s="127">
        <v>4</v>
      </c>
      <c r="DC14" s="128">
        <f t="shared" si="50"/>
        <v>4</v>
      </c>
      <c r="DD14" s="75">
        <v>2</v>
      </c>
      <c r="DE14" s="126">
        <f t="shared" si="51"/>
        <v>2</v>
      </c>
      <c r="DF14" s="127">
        <v>4</v>
      </c>
      <c r="DG14" s="128">
        <f t="shared" si="52"/>
        <v>6</v>
      </c>
      <c r="DH14" s="75"/>
      <c r="DI14" s="126">
        <f t="shared" si="53"/>
        <v>6</v>
      </c>
      <c r="DJ14" s="127"/>
      <c r="DK14" s="128">
        <f t="shared" si="54"/>
        <v>0</v>
      </c>
      <c r="DL14" s="75"/>
      <c r="DM14" s="126">
        <f t="shared" si="55"/>
        <v>0</v>
      </c>
      <c r="DN14" s="127"/>
      <c r="DO14" s="128">
        <f t="shared" si="56"/>
        <v>0</v>
      </c>
      <c r="DP14" s="75"/>
      <c r="DQ14" s="126">
        <f t="shared" si="57"/>
        <v>0</v>
      </c>
      <c r="DR14" s="127"/>
      <c r="DS14" s="128">
        <f t="shared" si="58"/>
        <v>0</v>
      </c>
      <c r="DT14" s="75"/>
      <c r="DU14" s="126">
        <f t="shared" si="59"/>
        <v>0</v>
      </c>
      <c r="DV14" s="127"/>
      <c r="DW14" s="128">
        <f t="shared" si="60"/>
        <v>0</v>
      </c>
      <c r="DX14" s="75"/>
      <c r="DY14" s="126">
        <f t="shared" si="61"/>
        <v>0</v>
      </c>
      <c r="DZ14" s="127"/>
      <c r="EA14" s="128">
        <f t="shared" si="62"/>
        <v>0</v>
      </c>
      <c r="EB14" s="75"/>
      <c r="EC14" s="126">
        <f t="shared" si="63"/>
        <v>0</v>
      </c>
      <c r="ED14" s="127"/>
      <c r="EE14" s="128">
        <f t="shared" si="64"/>
        <v>0</v>
      </c>
      <c r="EF14" s="75"/>
      <c r="EG14" s="126">
        <f t="shared" si="65"/>
        <v>0</v>
      </c>
      <c r="EH14" s="127"/>
      <c r="EI14" s="128">
        <f t="shared" si="66"/>
        <v>0</v>
      </c>
      <c r="EJ14" s="75"/>
      <c r="EK14" s="126">
        <f t="shared" si="67"/>
        <v>0</v>
      </c>
      <c r="EL14" s="127"/>
      <c r="EM14" s="128">
        <f t="shared" si="68"/>
        <v>0</v>
      </c>
    </row>
    <row r="15" spans="1:143" s="89" customFormat="1" ht="20.100000000000001" customHeight="1" x14ac:dyDescent="0.25">
      <c r="A15" s="19" t="s">
        <v>259</v>
      </c>
      <c r="B15" s="156" t="s">
        <v>251</v>
      </c>
      <c r="C15" s="124">
        <v>1</v>
      </c>
      <c r="D15" s="75">
        <v>1</v>
      </c>
      <c r="E15" s="126">
        <v>12</v>
      </c>
      <c r="F15" s="127">
        <v>12</v>
      </c>
      <c r="G15" s="128">
        <f t="shared" si="4"/>
        <v>13</v>
      </c>
      <c r="H15" s="75">
        <v>3</v>
      </c>
      <c r="I15" s="126">
        <f t="shared" si="5"/>
        <v>10</v>
      </c>
      <c r="J15" s="127">
        <v>12</v>
      </c>
      <c r="K15" s="128">
        <f t="shared" si="6"/>
        <v>15</v>
      </c>
      <c r="L15" s="75">
        <v>2</v>
      </c>
      <c r="M15" s="126">
        <f t="shared" si="7"/>
        <v>13</v>
      </c>
      <c r="N15" s="127">
        <v>12</v>
      </c>
      <c r="O15" s="128">
        <f t="shared" si="8"/>
        <v>14</v>
      </c>
      <c r="P15" s="75">
        <v>7</v>
      </c>
      <c r="Q15" s="126">
        <f t="shared" si="9"/>
        <v>7</v>
      </c>
      <c r="R15" s="127">
        <v>17</v>
      </c>
      <c r="S15" s="128">
        <f t="shared" si="10"/>
        <v>24</v>
      </c>
      <c r="T15" s="75">
        <v>9</v>
      </c>
      <c r="U15" s="126">
        <f t="shared" si="11"/>
        <v>15</v>
      </c>
      <c r="V15" s="127">
        <v>26</v>
      </c>
      <c r="W15" s="128">
        <f t="shared" si="12"/>
        <v>35</v>
      </c>
      <c r="X15" s="75">
        <v>12</v>
      </c>
      <c r="Y15" s="126">
        <f t="shared" si="13"/>
        <v>23</v>
      </c>
      <c r="Z15" s="127">
        <v>25</v>
      </c>
      <c r="AA15" s="128">
        <f t="shared" si="14"/>
        <v>37</v>
      </c>
      <c r="AB15" s="75">
        <v>16</v>
      </c>
      <c r="AC15" s="126">
        <f t="shared" si="15"/>
        <v>21</v>
      </c>
      <c r="AD15" s="127">
        <v>6</v>
      </c>
      <c r="AE15" s="128">
        <f t="shared" si="16"/>
        <v>22</v>
      </c>
      <c r="AF15" s="75">
        <v>14</v>
      </c>
      <c r="AG15" s="126">
        <f t="shared" si="0"/>
        <v>8</v>
      </c>
      <c r="AH15" s="127">
        <v>8</v>
      </c>
      <c r="AI15" s="128">
        <f t="shared" si="17"/>
        <v>22</v>
      </c>
      <c r="AJ15" s="75">
        <v>11</v>
      </c>
      <c r="AK15" s="126">
        <f t="shared" si="1"/>
        <v>11</v>
      </c>
      <c r="AL15" s="202">
        <v>13</v>
      </c>
      <c r="AM15" s="128">
        <f t="shared" si="2"/>
        <v>24</v>
      </c>
      <c r="AN15" s="75">
        <v>11</v>
      </c>
      <c r="AO15" s="126">
        <f t="shared" si="18"/>
        <v>13</v>
      </c>
      <c r="AP15" s="202">
        <v>16</v>
      </c>
      <c r="AQ15" s="128">
        <f t="shared" si="19"/>
        <v>27</v>
      </c>
      <c r="AR15" s="75">
        <v>13</v>
      </c>
      <c r="AS15" s="126">
        <f t="shared" si="20"/>
        <v>14</v>
      </c>
      <c r="AT15" s="127">
        <v>5</v>
      </c>
      <c r="AU15" s="128">
        <f t="shared" si="21"/>
        <v>18</v>
      </c>
      <c r="AV15" s="75">
        <v>12</v>
      </c>
      <c r="AW15" s="126">
        <f t="shared" si="22"/>
        <v>6</v>
      </c>
      <c r="AX15" s="202">
        <v>12</v>
      </c>
      <c r="AY15" s="128">
        <f t="shared" si="23"/>
        <v>24</v>
      </c>
      <c r="AZ15" s="75">
        <v>11</v>
      </c>
      <c r="BA15" s="126">
        <f t="shared" si="24"/>
        <v>13</v>
      </c>
      <c r="BB15" s="127">
        <v>7</v>
      </c>
      <c r="BC15" s="128">
        <f t="shared" si="25"/>
        <v>18</v>
      </c>
      <c r="BD15" s="75">
        <v>8</v>
      </c>
      <c r="BE15" s="126">
        <f t="shared" si="26"/>
        <v>10</v>
      </c>
      <c r="BF15" s="127">
        <v>10</v>
      </c>
      <c r="BG15" s="128">
        <f t="shared" si="27"/>
        <v>18</v>
      </c>
      <c r="BH15" s="75">
        <v>2</v>
      </c>
      <c r="BI15" s="126">
        <f t="shared" si="28"/>
        <v>16</v>
      </c>
      <c r="BJ15" s="127">
        <v>16</v>
      </c>
      <c r="BK15" s="128">
        <f t="shared" si="29"/>
        <v>18</v>
      </c>
      <c r="BL15" s="75">
        <v>8</v>
      </c>
      <c r="BM15" s="126">
        <f t="shared" si="30"/>
        <v>10</v>
      </c>
      <c r="BN15" s="127">
        <v>8</v>
      </c>
      <c r="BO15" s="128">
        <f t="shared" si="31"/>
        <v>16</v>
      </c>
      <c r="BP15" s="75">
        <v>4</v>
      </c>
      <c r="BQ15" s="126">
        <f t="shared" si="32"/>
        <v>12</v>
      </c>
      <c r="BR15" s="127">
        <v>16</v>
      </c>
      <c r="BS15" s="128">
        <f t="shared" si="33"/>
        <v>20</v>
      </c>
      <c r="BT15" s="75">
        <v>9</v>
      </c>
      <c r="BU15" s="126">
        <f t="shared" si="34"/>
        <v>11</v>
      </c>
      <c r="BV15" s="127">
        <v>10</v>
      </c>
      <c r="BW15" s="128">
        <f t="shared" si="35"/>
        <v>19</v>
      </c>
      <c r="BX15" s="75">
        <v>6</v>
      </c>
      <c r="BY15" s="126">
        <f t="shared" si="36"/>
        <v>13</v>
      </c>
      <c r="BZ15" s="127">
        <v>12</v>
      </c>
      <c r="CA15" s="128">
        <f t="shared" si="37"/>
        <v>18</v>
      </c>
      <c r="CB15" s="75">
        <v>10</v>
      </c>
      <c r="CC15" s="126">
        <f t="shared" si="38"/>
        <v>8</v>
      </c>
      <c r="CD15" s="127">
        <v>14</v>
      </c>
      <c r="CE15" s="128">
        <f t="shared" si="39"/>
        <v>24</v>
      </c>
      <c r="CF15" s="75">
        <v>8</v>
      </c>
      <c r="CG15" s="126">
        <f t="shared" si="40"/>
        <v>16</v>
      </c>
      <c r="CH15" s="127">
        <v>12</v>
      </c>
      <c r="CI15" s="128">
        <f t="shared" si="41"/>
        <v>20</v>
      </c>
      <c r="CJ15" s="75">
        <v>9</v>
      </c>
      <c r="CK15" s="126">
        <f t="shared" si="42"/>
        <v>11</v>
      </c>
      <c r="CL15" s="127">
        <v>15</v>
      </c>
      <c r="CM15" s="128">
        <f t="shared" si="43"/>
        <v>24</v>
      </c>
      <c r="CN15" s="75">
        <v>5</v>
      </c>
      <c r="CO15" s="126">
        <f t="shared" si="44"/>
        <v>19</v>
      </c>
      <c r="CP15" s="127">
        <v>18</v>
      </c>
      <c r="CQ15" s="128">
        <f t="shared" si="45"/>
        <v>23</v>
      </c>
      <c r="CR15" s="75">
        <v>11</v>
      </c>
      <c r="CS15" s="126">
        <f t="shared" si="46"/>
        <v>12</v>
      </c>
      <c r="CT15" s="127">
        <v>12</v>
      </c>
      <c r="CU15" s="128">
        <f t="shared" si="47"/>
        <v>23</v>
      </c>
      <c r="CV15" s="75">
        <v>6</v>
      </c>
      <c r="CW15" s="126">
        <f t="shared" si="3"/>
        <v>17</v>
      </c>
      <c r="CX15" s="127">
        <v>16</v>
      </c>
      <c r="CY15" s="128">
        <f t="shared" si="48"/>
        <v>22</v>
      </c>
      <c r="CZ15" s="75">
        <v>15</v>
      </c>
      <c r="DA15" s="126">
        <f t="shared" si="49"/>
        <v>7</v>
      </c>
      <c r="DB15" s="127"/>
      <c r="DC15" s="128">
        <f t="shared" si="50"/>
        <v>15</v>
      </c>
      <c r="DD15" s="75">
        <v>2</v>
      </c>
      <c r="DE15" s="126">
        <f t="shared" si="51"/>
        <v>13</v>
      </c>
      <c r="DF15" s="127">
        <v>15</v>
      </c>
      <c r="DG15" s="128">
        <f t="shared" si="52"/>
        <v>17</v>
      </c>
      <c r="DH15" s="75"/>
      <c r="DI15" s="126">
        <f t="shared" si="53"/>
        <v>17</v>
      </c>
      <c r="DJ15" s="127"/>
      <c r="DK15" s="128">
        <f t="shared" si="54"/>
        <v>0</v>
      </c>
      <c r="DL15" s="75"/>
      <c r="DM15" s="126">
        <f t="shared" si="55"/>
        <v>0</v>
      </c>
      <c r="DN15" s="127"/>
      <c r="DO15" s="128">
        <f t="shared" si="56"/>
        <v>0</v>
      </c>
      <c r="DP15" s="75"/>
      <c r="DQ15" s="126">
        <f t="shared" si="57"/>
        <v>0</v>
      </c>
      <c r="DR15" s="127"/>
      <c r="DS15" s="128">
        <f t="shared" si="58"/>
        <v>0</v>
      </c>
      <c r="DT15" s="75"/>
      <c r="DU15" s="126">
        <f t="shared" si="59"/>
        <v>0</v>
      </c>
      <c r="DV15" s="127"/>
      <c r="DW15" s="128">
        <f t="shared" si="60"/>
        <v>0</v>
      </c>
      <c r="DX15" s="75"/>
      <c r="DY15" s="126">
        <f t="shared" si="61"/>
        <v>0</v>
      </c>
      <c r="DZ15" s="127"/>
      <c r="EA15" s="128">
        <f t="shared" si="62"/>
        <v>0</v>
      </c>
      <c r="EB15" s="75"/>
      <c r="EC15" s="126">
        <f t="shared" si="63"/>
        <v>0</v>
      </c>
      <c r="ED15" s="127"/>
      <c r="EE15" s="128">
        <f t="shared" si="64"/>
        <v>0</v>
      </c>
      <c r="EF15" s="75"/>
      <c r="EG15" s="126">
        <f t="shared" si="65"/>
        <v>0</v>
      </c>
      <c r="EH15" s="127"/>
      <c r="EI15" s="128">
        <f t="shared" si="66"/>
        <v>0</v>
      </c>
      <c r="EJ15" s="75"/>
      <c r="EK15" s="126">
        <f t="shared" si="67"/>
        <v>0</v>
      </c>
      <c r="EL15" s="127"/>
      <c r="EM15" s="128">
        <f t="shared" si="68"/>
        <v>0</v>
      </c>
    </row>
    <row r="16" spans="1:143" s="89" customFormat="1" ht="20.100000000000001" customHeight="1" x14ac:dyDescent="0.25">
      <c r="A16" s="19" t="s">
        <v>260</v>
      </c>
      <c r="B16" s="156" t="s">
        <v>251</v>
      </c>
      <c r="C16" s="124">
        <v>1</v>
      </c>
      <c r="D16" s="75">
        <v>4</v>
      </c>
      <c r="E16" s="126">
        <v>8</v>
      </c>
      <c r="F16" s="127">
        <v>8</v>
      </c>
      <c r="G16" s="128">
        <f t="shared" si="4"/>
        <v>12</v>
      </c>
      <c r="H16" s="75">
        <v>4</v>
      </c>
      <c r="I16" s="126">
        <f t="shared" si="5"/>
        <v>8</v>
      </c>
      <c r="J16" s="127">
        <v>8</v>
      </c>
      <c r="K16" s="128">
        <f t="shared" si="6"/>
        <v>12</v>
      </c>
      <c r="L16" s="75">
        <v>1</v>
      </c>
      <c r="M16" s="126">
        <f t="shared" si="7"/>
        <v>11</v>
      </c>
      <c r="N16" s="127">
        <v>12</v>
      </c>
      <c r="O16" s="128">
        <f t="shared" si="8"/>
        <v>13</v>
      </c>
      <c r="P16" s="75">
        <v>9</v>
      </c>
      <c r="Q16" s="126">
        <f t="shared" si="9"/>
        <v>4</v>
      </c>
      <c r="R16" s="127">
        <v>14</v>
      </c>
      <c r="S16" s="128">
        <f t="shared" si="10"/>
        <v>23</v>
      </c>
      <c r="T16" s="75">
        <v>6</v>
      </c>
      <c r="U16" s="126">
        <f t="shared" si="11"/>
        <v>17</v>
      </c>
      <c r="V16" s="127">
        <v>16</v>
      </c>
      <c r="W16" s="128">
        <f t="shared" si="12"/>
        <v>22</v>
      </c>
      <c r="X16" s="75">
        <v>11</v>
      </c>
      <c r="Y16" s="126">
        <f t="shared" si="13"/>
        <v>11</v>
      </c>
      <c r="Z16" s="127">
        <v>10</v>
      </c>
      <c r="AA16" s="128">
        <f t="shared" si="14"/>
        <v>21</v>
      </c>
      <c r="AB16" s="75">
        <v>8</v>
      </c>
      <c r="AC16" s="126">
        <f t="shared" si="15"/>
        <v>13</v>
      </c>
      <c r="AD16" s="127">
        <v>14</v>
      </c>
      <c r="AE16" s="128">
        <f t="shared" si="16"/>
        <v>22</v>
      </c>
      <c r="AF16" s="75">
        <v>15</v>
      </c>
      <c r="AG16" s="126">
        <f t="shared" si="0"/>
        <v>7</v>
      </c>
      <c r="AH16" s="127">
        <v>4</v>
      </c>
      <c r="AI16" s="128">
        <f t="shared" si="17"/>
        <v>19</v>
      </c>
      <c r="AJ16" s="75">
        <v>9</v>
      </c>
      <c r="AK16" s="126">
        <f t="shared" si="1"/>
        <v>10</v>
      </c>
      <c r="AL16" s="202">
        <v>12</v>
      </c>
      <c r="AM16" s="128">
        <f t="shared" si="2"/>
        <v>21</v>
      </c>
      <c r="AN16" s="75">
        <v>13</v>
      </c>
      <c r="AO16" s="126">
        <f t="shared" si="18"/>
        <v>8</v>
      </c>
      <c r="AP16" s="202">
        <v>9</v>
      </c>
      <c r="AQ16" s="128">
        <f t="shared" si="19"/>
        <v>22</v>
      </c>
      <c r="AR16" s="75">
        <v>13</v>
      </c>
      <c r="AS16" s="126">
        <f t="shared" si="20"/>
        <v>9</v>
      </c>
      <c r="AT16" s="127">
        <v>3</v>
      </c>
      <c r="AU16" s="128">
        <f t="shared" si="21"/>
        <v>16</v>
      </c>
      <c r="AV16" s="75">
        <v>10</v>
      </c>
      <c r="AW16" s="126">
        <f t="shared" si="22"/>
        <v>6</v>
      </c>
      <c r="AX16" s="202">
        <v>6</v>
      </c>
      <c r="AY16" s="128">
        <f t="shared" si="23"/>
        <v>16</v>
      </c>
      <c r="AZ16" s="75">
        <v>6</v>
      </c>
      <c r="BA16" s="126">
        <f t="shared" si="24"/>
        <v>10</v>
      </c>
      <c r="BB16" s="127">
        <v>12</v>
      </c>
      <c r="BC16" s="128">
        <f t="shared" si="25"/>
        <v>18</v>
      </c>
      <c r="BD16" s="75">
        <v>8</v>
      </c>
      <c r="BE16" s="126">
        <f t="shared" si="26"/>
        <v>10</v>
      </c>
      <c r="BF16" s="127">
        <v>10</v>
      </c>
      <c r="BG16" s="128">
        <f t="shared" si="27"/>
        <v>18</v>
      </c>
      <c r="BH16" s="75">
        <v>10</v>
      </c>
      <c r="BI16" s="126">
        <f t="shared" si="28"/>
        <v>8</v>
      </c>
      <c r="BJ16" s="127">
        <v>4</v>
      </c>
      <c r="BK16" s="128">
        <f t="shared" si="29"/>
        <v>14</v>
      </c>
      <c r="BL16" s="75">
        <v>5</v>
      </c>
      <c r="BM16" s="126">
        <f t="shared" si="30"/>
        <v>9</v>
      </c>
      <c r="BN16" s="127">
        <v>8</v>
      </c>
      <c r="BO16" s="128">
        <f t="shared" si="31"/>
        <v>13</v>
      </c>
      <c r="BP16" s="75">
        <v>6</v>
      </c>
      <c r="BQ16" s="126">
        <f t="shared" si="32"/>
        <v>7</v>
      </c>
      <c r="BR16" s="127">
        <v>10</v>
      </c>
      <c r="BS16" s="128">
        <f t="shared" si="33"/>
        <v>16</v>
      </c>
      <c r="BT16" s="75">
        <v>8</v>
      </c>
      <c r="BU16" s="126">
        <f t="shared" si="34"/>
        <v>8</v>
      </c>
      <c r="BV16" s="127">
        <v>10</v>
      </c>
      <c r="BW16" s="128">
        <f t="shared" si="35"/>
        <v>18</v>
      </c>
      <c r="BX16" s="75">
        <v>11</v>
      </c>
      <c r="BY16" s="126">
        <f t="shared" si="36"/>
        <v>7</v>
      </c>
      <c r="BZ16" s="127">
        <v>7</v>
      </c>
      <c r="CA16" s="128">
        <f t="shared" si="37"/>
        <v>18</v>
      </c>
      <c r="CB16" s="75">
        <v>10</v>
      </c>
      <c r="CC16" s="126">
        <f t="shared" si="38"/>
        <v>8</v>
      </c>
      <c r="CD16" s="127">
        <v>4</v>
      </c>
      <c r="CE16" s="128">
        <f t="shared" si="39"/>
        <v>14</v>
      </c>
      <c r="CF16" s="75">
        <v>1</v>
      </c>
      <c r="CG16" s="126">
        <f t="shared" si="40"/>
        <v>13</v>
      </c>
      <c r="CH16" s="127">
        <v>15</v>
      </c>
      <c r="CI16" s="128">
        <f t="shared" si="41"/>
        <v>16</v>
      </c>
      <c r="CJ16" s="75">
        <v>11</v>
      </c>
      <c r="CK16" s="126">
        <f t="shared" si="42"/>
        <v>5</v>
      </c>
      <c r="CL16" s="127">
        <v>10</v>
      </c>
      <c r="CM16" s="128">
        <f t="shared" si="43"/>
        <v>21</v>
      </c>
      <c r="CN16" s="75">
        <v>11</v>
      </c>
      <c r="CO16" s="126">
        <f t="shared" si="44"/>
        <v>10</v>
      </c>
      <c r="CP16" s="127">
        <v>10</v>
      </c>
      <c r="CQ16" s="128">
        <f t="shared" si="45"/>
        <v>21</v>
      </c>
      <c r="CR16" s="75">
        <v>9</v>
      </c>
      <c r="CS16" s="126">
        <f t="shared" si="46"/>
        <v>12</v>
      </c>
      <c r="CT16" s="127">
        <v>12</v>
      </c>
      <c r="CU16" s="128">
        <f t="shared" si="47"/>
        <v>21</v>
      </c>
      <c r="CV16" s="75">
        <v>8</v>
      </c>
      <c r="CW16" s="126">
        <f t="shared" si="3"/>
        <v>13</v>
      </c>
      <c r="CX16" s="127">
        <v>12</v>
      </c>
      <c r="CY16" s="128">
        <f t="shared" si="48"/>
        <v>20</v>
      </c>
      <c r="CZ16" s="75">
        <v>17</v>
      </c>
      <c r="DA16" s="126">
        <f t="shared" si="49"/>
        <v>3</v>
      </c>
      <c r="DB16" s="127"/>
      <c r="DC16" s="128">
        <f t="shared" si="50"/>
        <v>17</v>
      </c>
      <c r="DD16" s="75">
        <v>2</v>
      </c>
      <c r="DE16" s="126">
        <f t="shared" si="51"/>
        <v>15</v>
      </c>
      <c r="DF16" s="127">
        <v>12</v>
      </c>
      <c r="DG16" s="128">
        <f t="shared" si="52"/>
        <v>14</v>
      </c>
      <c r="DH16" s="75"/>
      <c r="DI16" s="126">
        <f t="shared" si="53"/>
        <v>14</v>
      </c>
      <c r="DJ16" s="127"/>
      <c r="DK16" s="128">
        <f t="shared" si="54"/>
        <v>0</v>
      </c>
      <c r="DL16" s="75"/>
      <c r="DM16" s="126">
        <f t="shared" si="55"/>
        <v>0</v>
      </c>
      <c r="DN16" s="127"/>
      <c r="DO16" s="128">
        <f t="shared" si="56"/>
        <v>0</v>
      </c>
      <c r="DP16" s="75"/>
      <c r="DQ16" s="126">
        <f t="shared" si="57"/>
        <v>0</v>
      </c>
      <c r="DR16" s="127"/>
      <c r="DS16" s="128">
        <f t="shared" si="58"/>
        <v>0</v>
      </c>
      <c r="DT16" s="75"/>
      <c r="DU16" s="126">
        <f t="shared" si="59"/>
        <v>0</v>
      </c>
      <c r="DV16" s="127"/>
      <c r="DW16" s="128">
        <f t="shared" si="60"/>
        <v>0</v>
      </c>
      <c r="DX16" s="75"/>
      <c r="DY16" s="126">
        <f t="shared" si="61"/>
        <v>0</v>
      </c>
      <c r="DZ16" s="127"/>
      <c r="EA16" s="128">
        <f t="shared" si="62"/>
        <v>0</v>
      </c>
      <c r="EB16" s="75"/>
      <c r="EC16" s="126">
        <f t="shared" si="63"/>
        <v>0</v>
      </c>
      <c r="ED16" s="127"/>
      <c r="EE16" s="128">
        <f t="shared" si="64"/>
        <v>0</v>
      </c>
      <c r="EF16" s="75"/>
      <c r="EG16" s="126">
        <f t="shared" si="65"/>
        <v>0</v>
      </c>
      <c r="EH16" s="127"/>
      <c r="EI16" s="128">
        <f t="shared" si="66"/>
        <v>0</v>
      </c>
      <c r="EJ16" s="75"/>
      <c r="EK16" s="126">
        <f t="shared" si="67"/>
        <v>0</v>
      </c>
      <c r="EL16" s="127"/>
      <c r="EM16" s="128">
        <f t="shared" si="68"/>
        <v>0</v>
      </c>
    </row>
    <row r="17" spans="1:143" s="89" customFormat="1" ht="20.100000000000001" customHeight="1" x14ac:dyDescent="0.25">
      <c r="A17" s="19" t="s">
        <v>378</v>
      </c>
      <c r="B17" s="156" t="s">
        <v>251</v>
      </c>
      <c r="C17" s="124">
        <v>1</v>
      </c>
      <c r="D17" s="75">
        <v>6</v>
      </c>
      <c r="E17" s="126">
        <v>7</v>
      </c>
      <c r="F17" s="127">
        <v>12</v>
      </c>
      <c r="G17" s="128">
        <f t="shared" si="4"/>
        <v>18</v>
      </c>
      <c r="H17" s="75">
        <v>2</v>
      </c>
      <c r="I17" s="126">
        <f t="shared" si="5"/>
        <v>16</v>
      </c>
      <c r="J17" s="127">
        <v>12</v>
      </c>
      <c r="K17" s="128">
        <f t="shared" si="6"/>
        <v>14</v>
      </c>
      <c r="L17" s="75"/>
      <c r="M17" s="126">
        <f t="shared" si="7"/>
        <v>14</v>
      </c>
      <c r="N17" s="127">
        <v>18</v>
      </c>
      <c r="O17" s="128">
        <f t="shared" si="8"/>
        <v>18</v>
      </c>
      <c r="P17" s="75">
        <v>6</v>
      </c>
      <c r="Q17" s="126">
        <f t="shared" si="9"/>
        <v>12</v>
      </c>
      <c r="R17" s="127">
        <v>16</v>
      </c>
      <c r="S17" s="128">
        <f t="shared" si="10"/>
        <v>22</v>
      </c>
      <c r="T17" s="75">
        <v>3</v>
      </c>
      <c r="U17" s="126">
        <f t="shared" si="11"/>
        <v>19</v>
      </c>
      <c r="V17" s="127">
        <v>20</v>
      </c>
      <c r="W17" s="128">
        <f t="shared" si="12"/>
        <v>23</v>
      </c>
      <c r="X17" s="75">
        <v>17</v>
      </c>
      <c r="Y17" s="126">
        <f t="shared" si="13"/>
        <v>6</v>
      </c>
      <c r="Z17" s="127">
        <v>4</v>
      </c>
      <c r="AA17" s="128">
        <f t="shared" si="14"/>
        <v>21</v>
      </c>
      <c r="AB17" s="75">
        <v>11</v>
      </c>
      <c r="AC17" s="126">
        <f t="shared" si="15"/>
        <v>10</v>
      </c>
      <c r="AD17" s="127">
        <v>6</v>
      </c>
      <c r="AE17" s="128">
        <f t="shared" si="16"/>
        <v>17</v>
      </c>
      <c r="AF17" s="75">
        <v>15</v>
      </c>
      <c r="AG17" s="126">
        <f t="shared" si="0"/>
        <v>2</v>
      </c>
      <c r="AH17" s="127">
        <v>0</v>
      </c>
      <c r="AI17" s="128">
        <f t="shared" si="17"/>
        <v>15</v>
      </c>
      <c r="AJ17" s="75">
        <v>2</v>
      </c>
      <c r="AK17" s="126">
        <f t="shared" si="1"/>
        <v>13</v>
      </c>
      <c r="AL17" s="202">
        <f>4+13</f>
        <v>17</v>
      </c>
      <c r="AM17" s="128">
        <f t="shared" si="2"/>
        <v>19</v>
      </c>
      <c r="AN17" s="75">
        <v>12</v>
      </c>
      <c r="AO17" s="126">
        <f t="shared" si="18"/>
        <v>7</v>
      </c>
      <c r="AP17" s="202">
        <v>8</v>
      </c>
      <c r="AQ17" s="128">
        <f t="shared" si="19"/>
        <v>20</v>
      </c>
      <c r="AR17" s="75">
        <v>12</v>
      </c>
      <c r="AS17" s="126">
        <f t="shared" si="20"/>
        <v>8</v>
      </c>
      <c r="AT17" s="127"/>
      <c r="AU17" s="128">
        <f t="shared" si="21"/>
        <v>12</v>
      </c>
      <c r="AV17" s="75">
        <v>5</v>
      </c>
      <c r="AW17" s="126">
        <f t="shared" si="22"/>
        <v>7</v>
      </c>
      <c r="AX17" s="202">
        <v>8</v>
      </c>
      <c r="AY17" s="128">
        <f t="shared" si="23"/>
        <v>13</v>
      </c>
      <c r="AZ17" s="75">
        <v>1</v>
      </c>
      <c r="BA17" s="126">
        <f t="shared" si="24"/>
        <v>12</v>
      </c>
      <c r="BB17" s="127">
        <v>12</v>
      </c>
      <c r="BC17" s="128">
        <f t="shared" si="25"/>
        <v>13</v>
      </c>
      <c r="BD17" s="75">
        <v>4</v>
      </c>
      <c r="BE17" s="126">
        <f t="shared" si="26"/>
        <v>9</v>
      </c>
      <c r="BF17" s="127">
        <v>12</v>
      </c>
      <c r="BG17" s="128">
        <f t="shared" si="27"/>
        <v>16</v>
      </c>
      <c r="BH17" s="75">
        <v>1</v>
      </c>
      <c r="BI17" s="126">
        <f t="shared" si="28"/>
        <v>15</v>
      </c>
      <c r="BJ17" s="127">
        <v>17</v>
      </c>
      <c r="BK17" s="128">
        <f t="shared" si="29"/>
        <v>18</v>
      </c>
      <c r="BL17" s="75">
        <v>12</v>
      </c>
      <c r="BM17" s="126">
        <f t="shared" si="30"/>
        <v>6</v>
      </c>
      <c r="BN17" s="127">
        <v>8</v>
      </c>
      <c r="BO17" s="128">
        <f t="shared" si="31"/>
        <v>20</v>
      </c>
      <c r="BP17" s="75">
        <v>7</v>
      </c>
      <c r="BQ17" s="126">
        <f t="shared" si="32"/>
        <v>13</v>
      </c>
      <c r="BR17" s="127">
        <v>12</v>
      </c>
      <c r="BS17" s="128">
        <f t="shared" si="33"/>
        <v>19</v>
      </c>
      <c r="BT17" s="75">
        <v>10</v>
      </c>
      <c r="BU17" s="126">
        <f t="shared" si="34"/>
        <v>9</v>
      </c>
      <c r="BV17" s="127">
        <v>7</v>
      </c>
      <c r="BW17" s="128">
        <f t="shared" si="35"/>
        <v>17</v>
      </c>
      <c r="BX17" s="75">
        <v>7</v>
      </c>
      <c r="BY17" s="126">
        <f t="shared" si="36"/>
        <v>10</v>
      </c>
      <c r="BZ17" s="127">
        <v>10</v>
      </c>
      <c r="CA17" s="128">
        <f t="shared" si="37"/>
        <v>17</v>
      </c>
      <c r="CB17" s="75">
        <v>6</v>
      </c>
      <c r="CC17" s="126">
        <f t="shared" si="38"/>
        <v>11</v>
      </c>
      <c r="CD17" s="127">
        <v>9</v>
      </c>
      <c r="CE17" s="128">
        <f t="shared" si="39"/>
        <v>15</v>
      </c>
      <c r="CF17" s="75">
        <v>9</v>
      </c>
      <c r="CG17" s="126">
        <f t="shared" si="40"/>
        <v>6</v>
      </c>
      <c r="CH17" s="127">
        <v>7</v>
      </c>
      <c r="CI17" s="128">
        <f t="shared" si="41"/>
        <v>16</v>
      </c>
      <c r="CJ17" s="75">
        <v>10</v>
      </c>
      <c r="CK17" s="126">
        <f t="shared" si="42"/>
        <v>6</v>
      </c>
      <c r="CL17" s="127">
        <v>10</v>
      </c>
      <c r="CM17" s="128">
        <f t="shared" si="43"/>
        <v>20</v>
      </c>
      <c r="CN17" s="75">
        <v>9</v>
      </c>
      <c r="CO17" s="126">
        <f t="shared" si="44"/>
        <v>11</v>
      </c>
      <c r="CP17" s="127">
        <v>11</v>
      </c>
      <c r="CQ17" s="128">
        <f t="shared" si="45"/>
        <v>20</v>
      </c>
      <c r="CR17" s="75">
        <v>11</v>
      </c>
      <c r="CS17" s="126">
        <f t="shared" si="46"/>
        <v>9</v>
      </c>
      <c r="CT17" s="127">
        <v>10</v>
      </c>
      <c r="CU17" s="128">
        <f t="shared" si="47"/>
        <v>21</v>
      </c>
      <c r="CV17" s="75">
        <v>14</v>
      </c>
      <c r="CW17" s="126">
        <f t="shared" si="3"/>
        <v>7</v>
      </c>
      <c r="CX17" s="127">
        <v>4</v>
      </c>
      <c r="CY17" s="128">
        <f t="shared" si="48"/>
        <v>18</v>
      </c>
      <c r="CZ17" s="75">
        <v>12</v>
      </c>
      <c r="DA17" s="126">
        <f t="shared" si="49"/>
        <v>6</v>
      </c>
      <c r="DB17" s="127"/>
      <c r="DC17" s="128">
        <f t="shared" si="50"/>
        <v>12</v>
      </c>
      <c r="DD17" s="75">
        <v>2</v>
      </c>
      <c r="DE17" s="126">
        <f t="shared" si="51"/>
        <v>10</v>
      </c>
      <c r="DF17" s="127">
        <v>12</v>
      </c>
      <c r="DG17" s="128">
        <f t="shared" si="52"/>
        <v>14</v>
      </c>
      <c r="DH17" s="75"/>
      <c r="DI17" s="126">
        <f t="shared" si="53"/>
        <v>14</v>
      </c>
      <c r="DJ17" s="127"/>
      <c r="DK17" s="128">
        <f t="shared" si="54"/>
        <v>0</v>
      </c>
      <c r="DL17" s="75"/>
      <c r="DM17" s="126">
        <f t="shared" si="55"/>
        <v>0</v>
      </c>
      <c r="DN17" s="127">
        <v>12</v>
      </c>
      <c r="DO17" s="128">
        <f t="shared" si="56"/>
        <v>12</v>
      </c>
      <c r="DP17" s="75"/>
      <c r="DQ17" s="126">
        <f t="shared" si="57"/>
        <v>12</v>
      </c>
      <c r="DR17" s="127"/>
      <c r="DS17" s="128">
        <f t="shared" si="58"/>
        <v>0</v>
      </c>
      <c r="DT17" s="75"/>
      <c r="DU17" s="126">
        <f t="shared" si="59"/>
        <v>0</v>
      </c>
      <c r="DV17" s="127">
        <v>12</v>
      </c>
      <c r="DW17" s="128">
        <f t="shared" si="60"/>
        <v>12</v>
      </c>
      <c r="DX17" s="75"/>
      <c r="DY17" s="126">
        <f t="shared" si="61"/>
        <v>12</v>
      </c>
      <c r="DZ17" s="127"/>
      <c r="EA17" s="128">
        <f t="shared" si="62"/>
        <v>0</v>
      </c>
      <c r="EB17" s="75"/>
      <c r="EC17" s="126">
        <f t="shared" si="63"/>
        <v>0</v>
      </c>
      <c r="ED17" s="127">
        <v>12</v>
      </c>
      <c r="EE17" s="128">
        <f t="shared" si="64"/>
        <v>12</v>
      </c>
      <c r="EF17" s="75"/>
      <c r="EG17" s="126">
        <f t="shared" si="65"/>
        <v>12</v>
      </c>
      <c r="EH17" s="127"/>
      <c r="EI17" s="128">
        <f t="shared" si="66"/>
        <v>0</v>
      </c>
      <c r="EJ17" s="75"/>
      <c r="EK17" s="126">
        <f t="shared" si="67"/>
        <v>0</v>
      </c>
      <c r="EL17" s="127">
        <v>12</v>
      </c>
      <c r="EM17" s="128">
        <f t="shared" si="68"/>
        <v>12</v>
      </c>
    </row>
    <row r="18" spans="1:143" s="89" customFormat="1" ht="20.100000000000001" customHeight="1" x14ac:dyDescent="0.25">
      <c r="A18" s="19" t="s">
        <v>261</v>
      </c>
      <c r="B18" s="156" t="s">
        <v>248</v>
      </c>
      <c r="C18" s="124">
        <v>1</v>
      </c>
      <c r="D18" s="75">
        <v>1</v>
      </c>
      <c r="E18" s="126">
        <v>3</v>
      </c>
      <c r="F18" s="127">
        <v>1</v>
      </c>
      <c r="G18" s="128">
        <f t="shared" si="4"/>
        <v>2</v>
      </c>
      <c r="H18" s="75">
        <v>2</v>
      </c>
      <c r="I18" s="126">
        <f t="shared" si="5"/>
        <v>0</v>
      </c>
      <c r="J18" s="127">
        <v>1</v>
      </c>
      <c r="K18" s="128">
        <f t="shared" si="6"/>
        <v>3</v>
      </c>
      <c r="L18" s="75">
        <v>1</v>
      </c>
      <c r="M18" s="126">
        <f t="shared" si="7"/>
        <v>2</v>
      </c>
      <c r="N18" s="127">
        <v>2</v>
      </c>
      <c r="O18" s="128">
        <f t="shared" si="8"/>
        <v>3</v>
      </c>
      <c r="P18" s="75">
        <v>2</v>
      </c>
      <c r="Q18" s="126">
        <f t="shared" si="9"/>
        <v>1</v>
      </c>
      <c r="R18" s="127">
        <v>1</v>
      </c>
      <c r="S18" s="128">
        <f t="shared" si="10"/>
        <v>3</v>
      </c>
      <c r="T18" s="75"/>
      <c r="U18" s="126">
        <f t="shared" si="11"/>
        <v>3</v>
      </c>
      <c r="V18" s="127">
        <v>3</v>
      </c>
      <c r="W18" s="128">
        <f t="shared" si="12"/>
        <v>3</v>
      </c>
      <c r="X18" s="75">
        <v>3</v>
      </c>
      <c r="Y18" s="126">
        <f t="shared" si="13"/>
        <v>0</v>
      </c>
      <c r="Z18" s="127"/>
      <c r="AA18" s="128">
        <f t="shared" si="14"/>
        <v>3</v>
      </c>
      <c r="AB18" s="75"/>
      <c r="AC18" s="126">
        <f t="shared" si="15"/>
        <v>3</v>
      </c>
      <c r="AD18" s="127">
        <v>4</v>
      </c>
      <c r="AE18" s="128">
        <f t="shared" si="16"/>
        <v>4</v>
      </c>
      <c r="AF18" s="75">
        <v>1</v>
      </c>
      <c r="AG18" s="126">
        <f t="shared" si="0"/>
        <v>3</v>
      </c>
      <c r="AH18" s="127"/>
      <c r="AI18" s="128">
        <f t="shared" si="17"/>
        <v>1</v>
      </c>
      <c r="AJ18" s="75">
        <v>1</v>
      </c>
      <c r="AK18" s="126">
        <f t="shared" si="1"/>
        <v>0</v>
      </c>
      <c r="AL18" s="202">
        <v>1</v>
      </c>
      <c r="AM18" s="128">
        <f t="shared" si="2"/>
        <v>2</v>
      </c>
      <c r="AN18" s="75">
        <v>1</v>
      </c>
      <c r="AO18" s="126">
        <f t="shared" si="18"/>
        <v>1</v>
      </c>
      <c r="AP18" s="202">
        <v>1</v>
      </c>
      <c r="AQ18" s="128">
        <f t="shared" si="19"/>
        <v>2</v>
      </c>
      <c r="AR18" s="75">
        <v>0</v>
      </c>
      <c r="AS18" s="126">
        <f t="shared" si="20"/>
        <v>2</v>
      </c>
      <c r="AT18" s="127">
        <v>2</v>
      </c>
      <c r="AU18" s="128">
        <f t="shared" si="21"/>
        <v>2</v>
      </c>
      <c r="AV18" s="75"/>
      <c r="AW18" s="126">
        <f t="shared" si="22"/>
        <v>2</v>
      </c>
      <c r="AX18" s="127"/>
      <c r="AY18" s="128">
        <f t="shared" si="23"/>
        <v>0</v>
      </c>
      <c r="AZ18" s="75">
        <v>0</v>
      </c>
      <c r="BA18" s="126">
        <f t="shared" si="24"/>
        <v>0</v>
      </c>
      <c r="BB18" s="127">
        <v>2</v>
      </c>
      <c r="BC18" s="128">
        <f t="shared" si="25"/>
        <v>2</v>
      </c>
      <c r="BD18" s="75">
        <v>2</v>
      </c>
      <c r="BE18" s="126">
        <f t="shared" si="26"/>
        <v>0</v>
      </c>
      <c r="BF18" s="127"/>
      <c r="BG18" s="128">
        <f t="shared" si="27"/>
        <v>2</v>
      </c>
      <c r="BH18" s="75"/>
      <c r="BI18" s="126">
        <f t="shared" si="28"/>
        <v>2</v>
      </c>
      <c r="BJ18" s="127">
        <v>2</v>
      </c>
      <c r="BK18" s="128">
        <f t="shared" si="29"/>
        <v>2</v>
      </c>
      <c r="BL18" s="75">
        <v>1</v>
      </c>
      <c r="BM18" s="126">
        <f t="shared" si="30"/>
        <v>1</v>
      </c>
      <c r="BN18" s="127">
        <v>2</v>
      </c>
      <c r="BO18" s="128">
        <f t="shared" si="31"/>
        <v>3</v>
      </c>
      <c r="BP18" s="75">
        <v>0</v>
      </c>
      <c r="BQ18" s="126">
        <f t="shared" si="32"/>
        <v>3</v>
      </c>
      <c r="BR18" s="127">
        <v>3</v>
      </c>
      <c r="BS18" s="128">
        <f t="shared" si="33"/>
        <v>3</v>
      </c>
      <c r="BT18" s="75">
        <v>3</v>
      </c>
      <c r="BU18" s="126">
        <f t="shared" si="34"/>
        <v>0</v>
      </c>
      <c r="BV18" s="127"/>
      <c r="BW18" s="128">
        <f t="shared" si="35"/>
        <v>3</v>
      </c>
      <c r="BX18" s="75">
        <v>1</v>
      </c>
      <c r="BY18" s="126">
        <f t="shared" si="36"/>
        <v>2</v>
      </c>
      <c r="BZ18" s="127">
        <v>2</v>
      </c>
      <c r="CA18" s="128">
        <f t="shared" si="37"/>
        <v>3</v>
      </c>
      <c r="CB18" s="75">
        <v>2</v>
      </c>
      <c r="CC18" s="126">
        <f t="shared" si="38"/>
        <v>1</v>
      </c>
      <c r="CD18" s="127">
        <v>2</v>
      </c>
      <c r="CE18" s="128">
        <f t="shared" si="39"/>
        <v>4</v>
      </c>
      <c r="CF18" s="75">
        <v>2</v>
      </c>
      <c r="CG18" s="126">
        <f t="shared" si="40"/>
        <v>2</v>
      </c>
      <c r="CH18" s="127"/>
      <c r="CI18" s="128">
        <f t="shared" si="41"/>
        <v>2</v>
      </c>
      <c r="CJ18" s="75">
        <v>0</v>
      </c>
      <c r="CK18" s="126">
        <f t="shared" si="42"/>
        <v>2</v>
      </c>
      <c r="CL18" s="127">
        <v>2</v>
      </c>
      <c r="CM18" s="128">
        <f t="shared" si="43"/>
        <v>2</v>
      </c>
      <c r="CN18" s="75">
        <v>0</v>
      </c>
      <c r="CO18" s="126">
        <f t="shared" si="44"/>
        <v>2</v>
      </c>
      <c r="CP18" s="127">
        <v>2</v>
      </c>
      <c r="CQ18" s="128">
        <f t="shared" si="45"/>
        <v>2</v>
      </c>
      <c r="CR18" s="75">
        <v>0</v>
      </c>
      <c r="CS18" s="126">
        <f t="shared" si="46"/>
        <v>2</v>
      </c>
      <c r="CT18" s="127">
        <v>2</v>
      </c>
      <c r="CU18" s="128">
        <f t="shared" si="47"/>
        <v>2</v>
      </c>
      <c r="CV18" s="75">
        <v>2</v>
      </c>
      <c r="CW18" s="126">
        <f t="shared" si="3"/>
        <v>0</v>
      </c>
      <c r="CX18" s="127"/>
      <c r="CY18" s="128">
        <f t="shared" si="48"/>
        <v>2</v>
      </c>
      <c r="CZ18" s="75">
        <v>0</v>
      </c>
      <c r="DA18" s="126">
        <f t="shared" si="49"/>
        <v>2</v>
      </c>
      <c r="DB18" s="127">
        <v>2</v>
      </c>
      <c r="DC18" s="128">
        <f t="shared" si="50"/>
        <v>2</v>
      </c>
      <c r="DD18" s="75">
        <v>0</v>
      </c>
      <c r="DE18" s="126">
        <f t="shared" si="51"/>
        <v>2</v>
      </c>
      <c r="DF18" s="127">
        <v>2</v>
      </c>
      <c r="DG18" s="128">
        <f t="shared" si="52"/>
        <v>2</v>
      </c>
      <c r="DH18" s="75"/>
      <c r="DI18" s="126">
        <f t="shared" si="53"/>
        <v>2</v>
      </c>
      <c r="DJ18" s="127"/>
      <c r="DK18" s="128">
        <f t="shared" si="54"/>
        <v>0</v>
      </c>
      <c r="DL18" s="75"/>
      <c r="DM18" s="126">
        <f t="shared" si="55"/>
        <v>0</v>
      </c>
      <c r="DN18" s="127">
        <v>1</v>
      </c>
      <c r="DO18" s="128">
        <f t="shared" si="56"/>
        <v>1</v>
      </c>
      <c r="DP18" s="75"/>
      <c r="DQ18" s="126">
        <f t="shared" si="57"/>
        <v>1</v>
      </c>
      <c r="DR18" s="127"/>
      <c r="DS18" s="128">
        <f t="shared" si="58"/>
        <v>0</v>
      </c>
      <c r="DT18" s="75"/>
      <c r="DU18" s="126">
        <f t="shared" si="59"/>
        <v>0</v>
      </c>
      <c r="DV18" s="127">
        <v>1</v>
      </c>
      <c r="DW18" s="128">
        <f t="shared" si="60"/>
        <v>1</v>
      </c>
      <c r="DX18" s="75"/>
      <c r="DY18" s="126">
        <f t="shared" si="61"/>
        <v>1</v>
      </c>
      <c r="DZ18" s="127"/>
      <c r="EA18" s="128">
        <f t="shared" si="62"/>
        <v>0</v>
      </c>
      <c r="EB18" s="75"/>
      <c r="EC18" s="126">
        <f t="shared" si="63"/>
        <v>0</v>
      </c>
      <c r="ED18" s="127">
        <v>1</v>
      </c>
      <c r="EE18" s="128">
        <f t="shared" si="64"/>
        <v>1</v>
      </c>
      <c r="EF18" s="75"/>
      <c r="EG18" s="126">
        <f t="shared" si="65"/>
        <v>1</v>
      </c>
      <c r="EH18" s="127"/>
      <c r="EI18" s="128">
        <f t="shared" si="66"/>
        <v>0</v>
      </c>
      <c r="EJ18" s="75"/>
      <c r="EK18" s="126">
        <f t="shared" si="67"/>
        <v>0</v>
      </c>
      <c r="EL18" s="127">
        <v>1</v>
      </c>
      <c r="EM18" s="128">
        <f t="shared" si="68"/>
        <v>1</v>
      </c>
    </row>
    <row r="19" spans="1:143" s="89" customFormat="1" ht="20.100000000000001" customHeight="1" x14ac:dyDescent="0.25">
      <c r="A19" s="19" t="s">
        <v>367</v>
      </c>
      <c r="B19" s="156" t="s">
        <v>249</v>
      </c>
      <c r="C19" s="124">
        <v>1</v>
      </c>
      <c r="D19" s="75"/>
      <c r="E19" s="126">
        <v>0</v>
      </c>
      <c r="F19" s="127"/>
      <c r="G19" s="128">
        <f t="shared" si="4"/>
        <v>0</v>
      </c>
      <c r="H19" s="75"/>
      <c r="I19" s="126">
        <f t="shared" si="5"/>
        <v>0</v>
      </c>
      <c r="J19" s="127"/>
      <c r="K19" s="128">
        <f t="shared" si="6"/>
        <v>0</v>
      </c>
      <c r="L19" s="75"/>
      <c r="M19" s="126">
        <f t="shared" si="7"/>
        <v>0</v>
      </c>
      <c r="N19" s="127">
        <v>6</v>
      </c>
      <c r="O19" s="128">
        <f t="shared" si="8"/>
        <v>6</v>
      </c>
      <c r="P19" s="75">
        <v>3.8</v>
      </c>
      <c r="Q19" s="126">
        <f t="shared" si="9"/>
        <v>2.2000000000000002</v>
      </c>
      <c r="R19" s="127">
        <v>5</v>
      </c>
      <c r="S19" s="128">
        <f t="shared" si="10"/>
        <v>8.8000000000000007</v>
      </c>
      <c r="T19" s="75">
        <v>8.5</v>
      </c>
      <c r="U19" s="126">
        <f t="shared" si="11"/>
        <v>0.30000000000000071</v>
      </c>
      <c r="V19" s="127"/>
      <c r="W19" s="128">
        <f t="shared" si="12"/>
        <v>8.5</v>
      </c>
      <c r="X19" s="75">
        <v>7</v>
      </c>
      <c r="Y19" s="126">
        <f t="shared" si="13"/>
        <v>1.5</v>
      </c>
      <c r="Z19" s="127"/>
      <c r="AA19" s="128">
        <f t="shared" si="14"/>
        <v>7</v>
      </c>
      <c r="AB19" s="75">
        <v>6</v>
      </c>
      <c r="AC19" s="126">
        <f t="shared" si="15"/>
        <v>1</v>
      </c>
      <c r="AD19" s="127"/>
      <c r="AE19" s="128">
        <f t="shared" si="16"/>
        <v>6</v>
      </c>
      <c r="AF19" s="75">
        <v>4.5</v>
      </c>
      <c r="AG19" s="126">
        <f t="shared" si="0"/>
        <v>1.5</v>
      </c>
      <c r="AH19" s="127">
        <v>2</v>
      </c>
      <c r="AI19" s="128">
        <f t="shared" si="17"/>
        <v>6.5</v>
      </c>
      <c r="AJ19" s="75">
        <v>2.4</v>
      </c>
      <c r="AK19" s="126">
        <f t="shared" si="1"/>
        <v>4.0999999999999996</v>
      </c>
      <c r="AL19" s="202">
        <v>4</v>
      </c>
      <c r="AM19" s="128">
        <f t="shared" si="2"/>
        <v>6.4</v>
      </c>
      <c r="AN19" s="75">
        <v>4.3</v>
      </c>
      <c r="AO19" s="126">
        <f t="shared" si="18"/>
        <v>2.1000000000000005</v>
      </c>
      <c r="AP19" s="202">
        <v>2</v>
      </c>
      <c r="AQ19" s="128">
        <f t="shared" si="19"/>
        <v>6.3</v>
      </c>
      <c r="AR19" s="75">
        <v>8.5</v>
      </c>
      <c r="AS19" s="126">
        <f t="shared" si="20"/>
        <v>-2.2000000000000002</v>
      </c>
      <c r="AT19" s="127"/>
      <c r="AU19" s="128">
        <f t="shared" si="21"/>
        <v>8.5</v>
      </c>
      <c r="AV19" s="75">
        <v>8.5</v>
      </c>
      <c r="AW19" s="126">
        <f t="shared" si="22"/>
        <v>0</v>
      </c>
      <c r="AX19" s="127"/>
      <c r="AY19" s="128">
        <f t="shared" si="23"/>
        <v>8.5</v>
      </c>
      <c r="AZ19" s="75">
        <v>7.8</v>
      </c>
      <c r="BA19" s="126">
        <f t="shared" si="24"/>
        <v>0.70000000000000018</v>
      </c>
      <c r="BB19" s="127"/>
      <c r="BC19" s="128">
        <f t="shared" si="25"/>
        <v>7.8</v>
      </c>
      <c r="BD19" s="75">
        <v>6.3</v>
      </c>
      <c r="BE19" s="126">
        <f t="shared" si="26"/>
        <v>1.5</v>
      </c>
      <c r="BF19" s="127"/>
      <c r="BG19" s="128">
        <f t="shared" si="27"/>
        <v>6.3</v>
      </c>
      <c r="BH19" s="75">
        <v>5</v>
      </c>
      <c r="BI19" s="126">
        <f t="shared" si="28"/>
        <v>1.2999999999999998</v>
      </c>
      <c r="BJ19" s="127"/>
      <c r="BK19" s="128">
        <f t="shared" si="29"/>
        <v>5</v>
      </c>
      <c r="BL19" s="75">
        <v>4.5</v>
      </c>
      <c r="BM19" s="126">
        <f t="shared" si="30"/>
        <v>0.5</v>
      </c>
      <c r="BN19" s="127"/>
      <c r="BO19" s="128">
        <f t="shared" si="31"/>
        <v>4.5</v>
      </c>
      <c r="BP19" s="75">
        <v>3.3</v>
      </c>
      <c r="BQ19" s="126">
        <f t="shared" si="32"/>
        <v>1.2000000000000002</v>
      </c>
      <c r="BR19" s="127"/>
      <c r="BS19" s="128">
        <f t="shared" si="33"/>
        <v>3.3</v>
      </c>
      <c r="BT19" s="75">
        <v>3</v>
      </c>
      <c r="BU19" s="126">
        <f t="shared" si="34"/>
        <v>0.29999999999999982</v>
      </c>
      <c r="BV19" s="127"/>
      <c r="BW19" s="128">
        <f t="shared" si="35"/>
        <v>3</v>
      </c>
      <c r="BX19" s="75">
        <v>1</v>
      </c>
      <c r="BY19" s="126">
        <f t="shared" si="36"/>
        <v>2</v>
      </c>
      <c r="BZ19" s="127">
        <v>2</v>
      </c>
      <c r="CA19" s="128">
        <f t="shared" si="37"/>
        <v>3</v>
      </c>
      <c r="CB19" s="75">
        <v>3</v>
      </c>
      <c r="CC19" s="126">
        <f t="shared" si="38"/>
        <v>0</v>
      </c>
      <c r="CD19" s="127">
        <v>2</v>
      </c>
      <c r="CE19" s="128">
        <f t="shared" si="39"/>
        <v>5</v>
      </c>
      <c r="CF19" s="75">
        <v>4.2</v>
      </c>
      <c r="CG19" s="126">
        <f t="shared" si="40"/>
        <v>0.79999999999999982</v>
      </c>
      <c r="CH19" s="127"/>
      <c r="CI19" s="128">
        <f t="shared" si="41"/>
        <v>4.2</v>
      </c>
      <c r="CJ19" s="75">
        <v>3.5</v>
      </c>
      <c r="CK19" s="126">
        <f t="shared" si="42"/>
        <v>0.70000000000000018</v>
      </c>
      <c r="CL19" s="127"/>
      <c r="CM19" s="128">
        <f t="shared" si="43"/>
        <v>3.5</v>
      </c>
      <c r="CN19" s="75">
        <v>3.2</v>
      </c>
      <c r="CO19" s="126">
        <f t="shared" si="44"/>
        <v>0.29999999999999982</v>
      </c>
      <c r="CP19" s="127"/>
      <c r="CQ19" s="128">
        <f t="shared" si="45"/>
        <v>3.2</v>
      </c>
      <c r="CR19" s="75">
        <v>3</v>
      </c>
      <c r="CS19" s="126">
        <f t="shared" si="46"/>
        <v>0.20000000000000018</v>
      </c>
      <c r="CT19" s="127"/>
      <c r="CU19" s="128">
        <f t="shared" si="47"/>
        <v>3</v>
      </c>
      <c r="CV19" s="75">
        <v>2.1</v>
      </c>
      <c r="CW19" s="126">
        <f t="shared" si="3"/>
        <v>0.89999999999999991</v>
      </c>
      <c r="CX19" s="127"/>
      <c r="CY19" s="128">
        <f t="shared" si="48"/>
        <v>2.1</v>
      </c>
      <c r="CZ19" s="75">
        <v>1.7</v>
      </c>
      <c r="DA19" s="126">
        <f t="shared" si="49"/>
        <v>0.40000000000000013</v>
      </c>
      <c r="DB19" s="127"/>
      <c r="DC19" s="128">
        <f t="shared" si="50"/>
        <v>1.7</v>
      </c>
      <c r="DD19" s="75">
        <v>0.7</v>
      </c>
      <c r="DE19" s="126">
        <f t="shared" si="51"/>
        <v>1</v>
      </c>
      <c r="DF19" s="127"/>
      <c r="DG19" s="128">
        <f t="shared" si="52"/>
        <v>0.7</v>
      </c>
      <c r="DH19" s="75"/>
      <c r="DI19" s="126">
        <f t="shared" si="53"/>
        <v>0.7</v>
      </c>
      <c r="DJ19" s="127"/>
      <c r="DK19" s="128">
        <f t="shared" si="54"/>
        <v>0</v>
      </c>
      <c r="DL19" s="75"/>
      <c r="DM19" s="126">
        <f t="shared" si="55"/>
        <v>0</v>
      </c>
      <c r="DN19" s="127"/>
      <c r="DO19" s="128">
        <f t="shared" si="56"/>
        <v>0</v>
      </c>
      <c r="DP19" s="75"/>
      <c r="DQ19" s="126">
        <f t="shared" si="57"/>
        <v>0</v>
      </c>
      <c r="DR19" s="127"/>
      <c r="DS19" s="128">
        <f t="shared" si="58"/>
        <v>0</v>
      </c>
      <c r="DT19" s="75"/>
      <c r="DU19" s="126">
        <f t="shared" si="59"/>
        <v>0</v>
      </c>
      <c r="DV19" s="127"/>
      <c r="DW19" s="128">
        <f t="shared" si="60"/>
        <v>0</v>
      </c>
      <c r="DX19" s="75"/>
      <c r="DY19" s="126">
        <f t="shared" si="61"/>
        <v>0</v>
      </c>
      <c r="DZ19" s="127"/>
      <c r="EA19" s="128">
        <f t="shared" si="62"/>
        <v>0</v>
      </c>
      <c r="EB19" s="75"/>
      <c r="EC19" s="126">
        <f t="shared" si="63"/>
        <v>0</v>
      </c>
      <c r="ED19" s="127"/>
      <c r="EE19" s="128">
        <f t="shared" si="64"/>
        <v>0</v>
      </c>
      <c r="EF19" s="75"/>
      <c r="EG19" s="126">
        <f t="shared" si="65"/>
        <v>0</v>
      </c>
      <c r="EH19" s="127"/>
      <c r="EI19" s="128">
        <f t="shared" si="66"/>
        <v>0</v>
      </c>
      <c r="EJ19" s="75"/>
      <c r="EK19" s="126">
        <f t="shared" si="67"/>
        <v>0</v>
      </c>
      <c r="EL19" s="127"/>
      <c r="EM19" s="128">
        <f t="shared" si="68"/>
        <v>0</v>
      </c>
    </row>
    <row r="20" spans="1:143" s="89" customFormat="1" ht="20.100000000000001" customHeight="1" thickBot="1" x14ac:dyDescent="0.3">
      <c r="A20" s="21" t="s">
        <v>365</v>
      </c>
      <c r="B20" s="157" t="s">
        <v>366</v>
      </c>
      <c r="C20" s="125">
        <v>1</v>
      </c>
      <c r="D20" s="130"/>
      <c r="E20" s="131">
        <v>0</v>
      </c>
      <c r="F20" s="129"/>
      <c r="G20" s="132">
        <f t="shared" si="4"/>
        <v>0</v>
      </c>
      <c r="H20" s="130"/>
      <c r="I20" s="131">
        <f t="shared" si="5"/>
        <v>0</v>
      </c>
      <c r="J20" s="129"/>
      <c r="K20" s="132">
        <f t="shared" si="6"/>
        <v>0</v>
      </c>
      <c r="L20" s="130"/>
      <c r="M20" s="131">
        <f t="shared" si="7"/>
        <v>0</v>
      </c>
      <c r="N20" s="129">
        <v>8</v>
      </c>
      <c r="O20" s="132">
        <f t="shared" si="8"/>
        <v>8</v>
      </c>
      <c r="P20" s="130">
        <v>3</v>
      </c>
      <c r="Q20" s="131">
        <f t="shared" si="9"/>
        <v>5</v>
      </c>
      <c r="R20" s="129">
        <v>11</v>
      </c>
      <c r="S20" s="132">
        <f t="shared" si="10"/>
        <v>14</v>
      </c>
      <c r="T20" s="130">
        <v>6</v>
      </c>
      <c r="U20" s="131">
        <f t="shared" si="11"/>
        <v>8</v>
      </c>
      <c r="V20" s="129">
        <v>8</v>
      </c>
      <c r="W20" s="132">
        <f t="shared" si="12"/>
        <v>14</v>
      </c>
      <c r="X20" s="130">
        <v>3</v>
      </c>
      <c r="Y20" s="131">
        <f t="shared" si="13"/>
        <v>11</v>
      </c>
      <c r="Z20" s="129">
        <v>15</v>
      </c>
      <c r="AA20" s="132">
        <f t="shared" si="14"/>
        <v>18</v>
      </c>
      <c r="AB20" s="130">
        <v>12</v>
      </c>
      <c r="AC20" s="131">
        <f t="shared" si="15"/>
        <v>6</v>
      </c>
      <c r="AD20" s="129">
        <v>6</v>
      </c>
      <c r="AE20" s="128">
        <f t="shared" si="16"/>
        <v>18</v>
      </c>
      <c r="AF20" s="130">
        <v>10</v>
      </c>
      <c r="AG20" s="126">
        <f t="shared" si="0"/>
        <v>8</v>
      </c>
      <c r="AH20" s="129">
        <v>5</v>
      </c>
      <c r="AI20" s="132">
        <f t="shared" si="17"/>
        <v>15</v>
      </c>
      <c r="AJ20" s="130">
        <v>8</v>
      </c>
      <c r="AK20" s="126">
        <f t="shared" si="1"/>
        <v>7</v>
      </c>
      <c r="AL20" s="203">
        <v>8</v>
      </c>
      <c r="AM20" s="128">
        <f t="shared" si="2"/>
        <v>16</v>
      </c>
      <c r="AN20" s="130">
        <v>6</v>
      </c>
      <c r="AO20" s="131">
        <f t="shared" si="18"/>
        <v>10</v>
      </c>
      <c r="AP20" s="203">
        <v>12</v>
      </c>
      <c r="AQ20" s="132">
        <f t="shared" si="19"/>
        <v>18</v>
      </c>
      <c r="AR20" s="130">
        <v>12</v>
      </c>
      <c r="AS20" s="131">
        <f t="shared" si="20"/>
        <v>6</v>
      </c>
      <c r="AT20" s="129"/>
      <c r="AU20" s="132">
        <f t="shared" si="21"/>
        <v>12</v>
      </c>
      <c r="AV20" s="130">
        <v>10</v>
      </c>
      <c r="AW20" s="131">
        <f t="shared" si="22"/>
        <v>2</v>
      </c>
      <c r="AX20" s="203">
        <v>8</v>
      </c>
      <c r="AY20" s="132">
        <f t="shared" si="23"/>
        <v>18</v>
      </c>
      <c r="AZ20" s="130">
        <v>15</v>
      </c>
      <c r="BA20" s="131">
        <f t="shared" si="24"/>
        <v>3</v>
      </c>
      <c r="BB20" s="129"/>
      <c r="BC20" s="132">
        <f t="shared" si="25"/>
        <v>15</v>
      </c>
      <c r="BD20" s="130">
        <v>10</v>
      </c>
      <c r="BE20" s="131">
        <f t="shared" si="26"/>
        <v>5</v>
      </c>
      <c r="BF20" s="129">
        <v>4</v>
      </c>
      <c r="BG20" s="132">
        <f t="shared" si="27"/>
        <v>14</v>
      </c>
      <c r="BH20" s="130">
        <v>8</v>
      </c>
      <c r="BI20" s="131">
        <f t="shared" si="28"/>
        <v>6</v>
      </c>
      <c r="BJ20" s="129">
        <v>4</v>
      </c>
      <c r="BK20" s="132">
        <f t="shared" si="29"/>
        <v>12</v>
      </c>
      <c r="BL20" s="130">
        <v>8</v>
      </c>
      <c r="BM20" s="131">
        <f t="shared" si="30"/>
        <v>4</v>
      </c>
      <c r="BN20" s="129"/>
      <c r="BO20" s="132">
        <f t="shared" si="31"/>
        <v>8</v>
      </c>
      <c r="BP20" s="130">
        <v>1</v>
      </c>
      <c r="BQ20" s="131">
        <f t="shared" si="32"/>
        <v>7</v>
      </c>
      <c r="BR20" s="129">
        <v>10</v>
      </c>
      <c r="BS20" s="132">
        <f t="shared" si="33"/>
        <v>11</v>
      </c>
      <c r="BT20" s="130">
        <v>4</v>
      </c>
      <c r="BU20" s="131">
        <f t="shared" si="34"/>
        <v>7</v>
      </c>
      <c r="BV20" s="129">
        <v>8</v>
      </c>
      <c r="BW20" s="132">
        <f t="shared" si="35"/>
        <v>12</v>
      </c>
      <c r="BX20" s="130">
        <v>6</v>
      </c>
      <c r="BY20" s="131">
        <f t="shared" si="36"/>
        <v>6</v>
      </c>
      <c r="BZ20" s="129">
        <v>4</v>
      </c>
      <c r="CA20" s="132">
        <f t="shared" si="37"/>
        <v>10</v>
      </c>
      <c r="CB20" s="130">
        <v>6</v>
      </c>
      <c r="CC20" s="131">
        <f t="shared" si="38"/>
        <v>4</v>
      </c>
      <c r="CD20" s="129">
        <v>2</v>
      </c>
      <c r="CE20" s="132">
        <f t="shared" si="39"/>
        <v>8</v>
      </c>
      <c r="CF20" s="130">
        <v>2</v>
      </c>
      <c r="CG20" s="131">
        <f t="shared" si="40"/>
        <v>6</v>
      </c>
      <c r="CH20" s="129">
        <v>8</v>
      </c>
      <c r="CI20" s="132">
        <f t="shared" si="41"/>
        <v>10</v>
      </c>
      <c r="CJ20" s="130">
        <v>6</v>
      </c>
      <c r="CK20" s="131">
        <f t="shared" si="42"/>
        <v>4</v>
      </c>
      <c r="CL20" s="129">
        <v>4</v>
      </c>
      <c r="CM20" s="132">
        <f t="shared" si="43"/>
        <v>10</v>
      </c>
      <c r="CN20" s="130">
        <v>6</v>
      </c>
      <c r="CO20" s="131">
        <f t="shared" si="44"/>
        <v>4</v>
      </c>
      <c r="CP20" s="129">
        <v>4</v>
      </c>
      <c r="CQ20" s="132">
        <f t="shared" si="45"/>
        <v>10</v>
      </c>
      <c r="CR20" s="130">
        <v>7</v>
      </c>
      <c r="CS20" s="131">
        <f t="shared" si="46"/>
        <v>3</v>
      </c>
      <c r="CT20" s="129">
        <v>4</v>
      </c>
      <c r="CU20" s="132">
        <f t="shared" si="47"/>
        <v>11</v>
      </c>
      <c r="CV20" s="130">
        <v>3</v>
      </c>
      <c r="CW20" s="126">
        <f t="shared" si="3"/>
        <v>8</v>
      </c>
      <c r="CX20" s="129">
        <v>7</v>
      </c>
      <c r="CY20" s="132">
        <f t="shared" si="48"/>
        <v>10</v>
      </c>
      <c r="CZ20" s="130">
        <v>10</v>
      </c>
      <c r="DA20" s="131">
        <f>CY20-CZ20</f>
        <v>0</v>
      </c>
      <c r="DB20" s="129"/>
      <c r="DC20" s="132">
        <f t="shared" si="50"/>
        <v>10</v>
      </c>
      <c r="DD20" s="130">
        <v>5</v>
      </c>
      <c r="DE20" s="131">
        <f t="shared" si="51"/>
        <v>5</v>
      </c>
      <c r="DF20" s="129">
        <v>5</v>
      </c>
      <c r="DG20" s="132">
        <f t="shared" si="52"/>
        <v>10</v>
      </c>
      <c r="DH20" s="130"/>
      <c r="DI20" s="131">
        <f t="shared" si="53"/>
        <v>10</v>
      </c>
      <c r="DJ20" s="129"/>
      <c r="DK20" s="132">
        <f t="shared" si="54"/>
        <v>0</v>
      </c>
      <c r="DL20" s="130"/>
      <c r="DM20" s="131">
        <f t="shared" si="55"/>
        <v>0</v>
      </c>
      <c r="DN20" s="129"/>
      <c r="DO20" s="132">
        <f t="shared" si="56"/>
        <v>0</v>
      </c>
      <c r="DP20" s="130"/>
      <c r="DQ20" s="131">
        <f t="shared" si="57"/>
        <v>0</v>
      </c>
      <c r="DR20" s="129"/>
      <c r="DS20" s="132">
        <f t="shared" si="58"/>
        <v>0</v>
      </c>
      <c r="DT20" s="130"/>
      <c r="DU20" s="131">
        <f t="shared" si="59"/>
        <v>0</v>
      </c>
      <c r="DV20" s="129"/>
      <c r="DW20" s="132">
        <f t="shared" si="60"/>
        <v>0</v>
      </c>
      <c r="DX20" s="130"/>
      <c r="DY20" s="131">
        <f t="shared" si="61"/>
        <v>0</v>
      </c>
      <c r="DZ20" s="129"/>
      <c r="EA20" s="132">
        <f t="shared" si="62"/>
        <v>0</v>
      </c>
      <c r="EB20" s="130"/>
      <c r="EC20" s="131">
        <f t="shared" si="63"/>
        <v>0</v>
      </c>
      <c r="ED20" s="129"/>
      <c r="EE20" s="132">
        <f t="shared" si="64"/>
        <v>0</v>
      </c>
      <c r="EF20" s="130"/>
      <c r="EG20" s="131">
        <f t="shared" si="65"/>
        <v>0</v>
      </c>
      <c r="EH20" s="129"/>
      <c r="EI20" s="132">
        <f t="shared" si="66"/>
        <v>0</v>
      </c>
      <c r="EJ20" s="130"/>
      <c r="EK20" s="131">
        <f t="shared" si="67"/>
        <v>0</v>
      </c>
      <c r="EL20" s="129"/>
      <c r="EM20" s="132">
        <f t="shared" si="68"/>
        <v>0</v>
      </c>
    </row>
    <row r="21" spans="1:143" ht="19.5" customHeight="1" x14ac:dyDescent="0.2">
      <c r="A21" s="117"/>
      <c r="B21" s="118"/>
      <c r="C21" s="119"/>
      <c r="D21" s="6"/>
      <c r="E21" s="74"/>
      <c r="F21" s="120"/>
      <c r="G21" s="121"/>
      <c r="H21" s="6"/>
      <c r="I21" s="74"/>
      <c r="J21" s="120"/>
      <c r="K21" s="121"/>
      <c r="L21" s="6"/>
      <c r="M21" s="74"/>
      <c r="N21" s="120"/>
      <c r="O21" s="121"/>
      <c r="P21" s="6"/>
      <c r="Q21" s="74"/>
      <c r="R21" s="120"/>
      <c r="S21" s="121"/>
      <c r="T21" s="6"/>
      <c r="U21" s="74"/>
      <c r="V21" s="120"/>
      <c r="W21" s="121"/>
      <c r="X21" s="6"/>
      <c r="Y21" s="74"/>
      <c r="Z21" s="120"/>
      <c r="AA21" s="121"/>
      <c r="AB21" s="6"/>
      <c r="AC21" s="74"/>
      <c r="AD21" s="120"/>
      <c r="AE21" s="121"/>
      <c r="AF21" s="6"/>
      <c r="AG21" s="74"/>
      <c r="AH21" s="120"/>
      <c r="AI21" s="121"/>
      <c r="AJ21" s="6"/>
      <c r="AK21" s="74"/>
      <c r="AL21" s="120"/>
      <c r="AM21" s="121"/>
      <c r="AN21" s="6"/>
      <c r="AO21" s="74"/>
      <c r="AP21" s="120"/>
      <c r="AQ21" s="121"/>
      <c r="AR21" s="6"/>
      <c r="AS21" s="74"/>
      <c r="AT21" s="120"/>
      <c r="AU21" s="121"/>
      <c r="AV21" s="6"/>
      <c r="AW21" s="74"/>
      <c r="AX21" s="120"/>
      <c r="AY21" s="121"/>
      <c r="AZ21" s="6"/>
      <c r="BA21" s="74"/>
      <c r="BB21" s="120"/>
      <c r="BC21" s="121"/>
      <c r="BD21" s="6"/>
      <c r="BE21" s="74"/>
      <c r="BF21" s="120"/>
      <c r="BG21" s="121"/>
      <c r="BH21" s="6"/>
      <c r="BI21" s="74"/>
      <c r="BJ21" s="120"/>
      <c r="BK21" s="121"/>
      <c r="BL21" s="6"/>
      <c r="BM21" s="74"/>
      <c r="BN21" s="120"/>
      <c r="BO21" s="121"/>
      <c r="BP21" s="6"/>
      <c r="BQ21" s="74"/>
      <c r="BR21" s="120"/>
      <c r="BS21" s="121"/>
      <c r="BT21" s="6"/>
      <c r="BU21" s="74"/>
      <c r="BV21" s="120"/>
      <c r="BW21" s="121"/>
      <c r="BX21" s="6"/>
      <c r="BY21" s="74"/>
      <c r="BZ21" s="120"/>
      <c r="CA21" s="121"/>
      <c r="CB21" s="6"/>
      <c r="CC21" s="74"/>
      <c r="CD21" s="120"/>
      <c r="CE21" s="121"/>
      <c r="CF21" s="6"/>
      <c r="CG21" s="74"/>
      <c r="CH21" s="120"/>
      <c r="CI21" s="121"/>
      <c r="CJ21" s="6"/>
      <c r="CK21" s="74"/>
      <c r="CL21" s="120"/>
      <c r="CM21" s="121"/>
      <c r="CN21" s="6"/>
      <c r="CO21" s="74"/>
      <c r="CP21" s="120"/>
      <c r="CQ21" s="121"/>
      <c r="CR21" s="6"/>
      <c r="CS21" s="74"/>
      <c r="CT21" s="120"/>
      <c r="CU21" s="121"/>
      <c r="CV21" s="6"/>
      <c r="CW21" s="74"/>
      <c r="CX21" s="120"/>
      <c r="CY21" s="121"/>
      <c r="CZ21" s="6"/>
      <c r="DA21" s="74"/>
      <c r="DB21" s="120"/>
      <c r="DC21" s="121"/>
      <c r="DD21" s="6"/>
      <c r="DE21" s="74"/>
      <c r="DF21" s="120"/>
      <c r="DG21" s="121"/>
      <c r="DH21" s="6"/>
      <c r="DI21" s="74"/>
      <c r="DJ21" s="120"/>
      <c r="DK21" s="121"/>
      <c r="DL21" s="6"/>
      <c r="DM21" s="74"/>
      <c r="DN21" s="120"/>
      <c r="DO21" s="121"/>
      <c r="DP21" s="6"/>
      <c r="DQ21" s="74"/>
      <c r="DR21" s="120"/>
      <c r="DS21" s="121"/>
      <c r="DT21" s="6"/>
      <c r="DU21" s="74"/>
      <c r="DV21" s="120"/>
      <c r="DW21" s="121"/>
      <c r="DX21" s="6"/>
      <c r="DY21" s="74"/>
      <c r="DZ21" s="120"/>
      <c r="EA21" s="121"/>
      <c r="EB21" s="6"/>
      <c r="EC21" s="74"/>
      <c r="ED21" s="120"/>
      <c r="EE21" s="121"/>
      <c r="EF21" s="6"/>
      <c r="EG21" s="74"/>
      <c r="EH21" s="120"/>
      <c r="EI21" s="121"/>
      <c r="EJ21" s="6"/>
      <c r="EK21" s="74"/>
      <c r="EL21" s="120"/>
      <c r="EM21" s="121"/>
    </row>
    <row r="22" spans="1:143" ht="19.5" customHeight="1" x14ac:dyDescent="0.2">
      <c r="A22" s="117"/>
      <c r="B22" s="118"/>
      <c r="C22" s="119"/>
      <c r="D22" s="6"/>
      <c r="E22" s="74"/>
      <c r="F22" s="120"/>
      <c r="G22" s="121"/>
      <c r="H22" s="6"/>
      <c r="I22" s="74"/>
      <c r="J22" s="120"/>
      <c r="K22" s="121"/>
      <c r="L22" s="6"/>
      <c r="M22" s="74"/>
      <c r="N22" s="120"/>
      <c r="O22" s="121"/>
      <c r="P22" s="6"/>
      <c r="Q22" s="74"/>
      <c r="R22" s="120"/>
      <c r="S22" s="121"/>
      <c r="T22" s="6"/>
      <c r="U22" s="74"/>
      <c r="V22" s="120"/>
      <c r="W22" s="121"/>
      <c r="X22" s="6"/>
      <c r="Y22" s="74"/>
      <c r="Z22" s="120"/>
      <c r="AA22" s="121"/>
      <c r="AB22" s="6"/>
      <c r="AC22" s="74"/>
      <c r="AD22" s="120"/>
      <c r="AE22" s="121"/>
      <c r="AF22" s="6"/>
      <c r="AG22" s="74"/>
      <c r="AH22" s="120"/>
      <c r="AI22" s="121"/>
      <c r="AJ22" s="6"/>
      <c r="AK22" s="74"/>
      <c r="AL22" s="120"/>
      <c r="AM22" s="121"/>
      <c r="AN22" s="6"/>
      <c r="AO22" s="74"/>
      <c r="AP22" s="120"/>
      <c r="AQ22" s="121"/>
      <c r="AR22" s="6"/>
      <c r="AS22" s="74"/>
      <c r="AT22" s="120"/>
      <c r="AU22" s="121"/>
      <c r="AV22" s="6"/>
      <c r="AW22" s="74"/>
      <c r="AX22" s="120"/>
      <c r="AY22" s="121"/>
      <c r="AZ22" s="6"/>
      <c r="BA22" s="74"/>
      <c r="BB22" s="120"/>
      <c r="BC22" s="121"/>
      <c r="BD22" s="6"/>
      <c r="BE22" s="74"/>
      <c r="BF22" s="120"/>
      <c r="BG22" s="121"/>
      <c r="BH22" s="6"/>
      <c r="BI22" s="74"/>
      <c r="BJ22" s="120"/>
      <c r="BK22" s="121"/>
      <c r="BL22" s="6"/>
      <c r="BM22" s="74"/>
      <c r="BN22" s="120"/>
      <c r="BO22" s="121"/>
      <c r="BP22" s="6"/>
      <c r="BQ22" s="74"/>
      <c r="BR22" s="120"/>
      <c r="BS22" s="121"/>
      <c r="BT22" s="6"/>
      <c r="BU22" s="74"/>
      <c r="BV22" s="120"/>
      <c r="BW22" s="121"/>
      <c r="BX22" s="6"/>
      <c r="BY22" s="74"/>
      <c r="BZ22" s="120"/>
      <c r="CA22" s="121"/>
      <c r="CB22" s="6"/>
      <c r="CC22" s="74"/>
      <c r="CD22" s="120"/>
      <c r="CE22" s="121"/>
      <c r="CF22" s="6"/>
      <c r="CG22" s="74"/>
      <c r="CH22" s="120"/>
      <c r="CI22" s="121"/>
      <c r="CJ22" s="6"/>
      <c r="CK22" s="74"/>
      <c r="CL22" s="120"/>
      <c r="CM22" s="121"/>
      <c r="CN22" s="6"/>
      <c r="CO22" s="74"/>
      <c r="CP22" s="120"/>
      <c r="CQ22" s="121"/>
      <c r="CR22" s="6"/>
      <c r="CS22" s="74"/>
      <c r="CT22" s="120"/>
      <c r="CU22" s="121"/>
      <c r="CV22" s="6"/>
      <c r="CW22" s="74"/>
      <c r="CX22" s="120"/>
      <c r="CY22" s="121"/>
      <c r="CZ22" s="6"/>
      <c r="DA22" s="74"/>
      <c r="DB22" s="120"/>
      <c r="DC22" s="121"/>
      <c r="DD22" s="6"/>
      <c r="DE22" s="74"/>
      <c r="DF22" s="120"/>
      <c r="DG22" s="121"/>
      <c r="DH22" s="6"/>
      <c r="DI22" s="74"/>
      <c r="DJ22" s="120"/>
      <c r="DK22" s="121"/>
      <c r="DL22" s="6"/>
      <c r="DM22" s="74"/>
      <c r="DN22" s="120"/>
      <c r="DO22" s="121"/>
      <c r="DP22" s="6"/>
      <c r="DQ22" s="74"/>
      <c r="DR22" s="120"/>
      <c r="DS22" s="121"/>
      <c r="DT22" s="6"/>
      <c r="DU22" s="74"/>
      <c r="DV22" s="120"/>
      <c r="DW22" s="121"/>
      <c r="DX22" s="6"/>
      <c r="DY22" s="74"/>
      <c r="DZ22" s="120"/>
      <c r="EA22" s="121"/>
      <c r="EB22" s="6"/>
      <c r="EC22" s="74"/>
      <c r="ED22" s="120"/>
      <c r="EE22" s="121"/>
      <c r="EF22" s="6"/>
      <c r="EG22" s="74"/>
      <c r="EH22" s="120"/>
      <c r="EI22" s="121"/>
      <c r="EJ22" s="6"/>
      <c r="EK22" s="74"/>
      <c r="EL22" s="120"/>
      <c r="EM22" s="121"/>
    </row>
    <row r="23" spans="1:143" ht="19.5" customHeight="1" x14ac:dyDescent="0.2">
      <c r="A23" s="117"/>
      <c r="B23" s="118"/>
      <c r="C23" s="119"/>
      <c r="D23" s="6"/>
      <c r="E23" s="74"/>
      <c r="F23" s="120"/>
      <c r="G23" s="121"/>
      <c r="H23" s="6"/>
      <c r="I23" s="74"/>
      <c r="J23" s="120"/>
      <c r="K23" s="121"/>
      <c r="L23" s="6"/>
      <c r="M23" s="74"/>
      <c r="N23" s="120"/>
      <c r="O23" s="121"/>
      <c r="P23" s="6"/>
      <c r="Q23" s="74"/>
      <c r="R23" s="120"/>
      <c r="S23" s="121"/>
      <c r="T23" s="6"/>
      <c r="U23" s="74"/>
      <c r="V23" s="120"/>
      <c r="W23" s="121"/>
      <c r="X23" s="6"/>
      <c r="Y23" s="74"/>
      <c r="Z23" s="120"/>
      <c r="AA23" s="121"/>
      <c r="AB23" s="6"/>
      <c r="AC23" s="74"/>
      <c r="AD23" s="120"/>
      <c r="AE23" s="121"/>
      <c r="AF23" s="6"/>
      <c r="AG23" s="74"/>
      <c r="AH23" s="120"/>
      <c r="AI23" s="121"/>
      <c r="AJ23" s="6"/>
      <c r="AK23" s="74"/>
      <c r="AL23" s="120"/>
      <c r="AM23" s="121"/>
      <c r="AN23" s="6"/>
      <c r="AO23" s="74"/>
      <c r="AP23" s="120"/>
      <c r="AQ23" s="121"/>
      <c r="AR23" s="6"/>
      <c r="AS23" s="74"/>
      <c r="AT23" s="120"/>
      <c r="AU23" s="121"/>
      <c r="AV23" s="6"/>
      <c r="AW23" s="74"/>
      <c r="AX23" s="120"/>
      <c r="AY23" s="121"/>
      <c r="AZ23" s="6"/>
      <c r="BA23" s="74"/>
      <c r="BB23" s="120"/>
      <c r="BC23" s="121"/>
      <c r="BD23" s="6"/>
      <c r="BE23" s="74"/>
      <c r="BF23" s="120"/>
      <c r="BG23" s="121"/>
      <c r="BH23" s="6"/>
      <c r="BI23" s="74"/>
      <c r="BJ23" s="120"/>
      <c r="BK23" s="121"/>
      <c r="BL23" s="6"/>
      <c r="BM23" s="74"/>
      <c r="BN23" s="120"/>
      <c r="BO23" s="121"/>
      <c r="BP23" s="6"/>
      <c r="BQ23" s="74"/>
      <c r="BR23" s="120"/>
      <c r="BS23" s="121"/>
      <c r="BT23" s="6"/>
      <c r="BU23" s="74"/>
      <c r="BV23" s="120"/>
      <c r="BW23" s="121"/>
      <c r="BX23" s="6"/>
      <c r="BY23" s="74"/>
      <c r="BZ23" s="120"/>
      <c r="CA23" s="121"/>
      <c r="CB23" s="6"/>
      <c r="CC23" s="74"/>
      <c r="CD23" s="120"/>
      <c r="CE23" s="121"/>
      <c r="CF23" s="6"/>
      <c r="CG23" s="74"/>
      <c r="CH23" s="120"/>
      <c r="CI23" s="121"/>
      <c r="CJ23" s="6"/>
      <c r="CK23" s="74"/>
      <c r="CL23" s="120"/>
      <c r="CM23" s="121"/>
      <c r="CN23" s="6"/>
      <c r="CO23" s="74"/>
      <c r="CP23" s="120"/>
      <c r="CQ23" s="121"/>
      <c r="CR23" s="6"/>
      <c r="CS23" s="74"/>
      <c r="CT23" s="120"/>
      <c r="CU23" s="121"/>
      <c r="CV23" s="6"/>
      <c r="CW23" s="74"/>
      <c r="CX23" s="120"/>
      <c r="CY23" s="121"/>
      <c r="CZ23" s="6"/>
      <c r="DA23" s="74"/>
      <c r="DB23" s="120"/>
      <c r="DC23" s="121"/>
      <c r="DD23" s="6"/>
      <c r="DE23" s="74"/>
      <c r="DF23" s="120"/>
      <c r="DG23" s="121"/>
      <c r="DH23" s="6"/>
      <c r="DI23" s="74"/>
      <c r="DJ23" s="120"/>
      <c r="DK23" s="121"/>
      <c r="DL23" s="6"/>
      <c r="DM23" s="74"/>
      <c r="DN23" s="120"/>
      <c r="DO23" s="121"/>
      <c r="DP23" s="6"/>
      <c r="DQ23" s="74"/>
      <c r="DR23" s="120"/>
      <c r="DS23" s="121"/>
      <c r="DT23" s="6"/>
      <c r="DU23" s="74"/>
      <c r="DV23" s="120"/>
      <c r="DW23" s="121"/>
      <c r="DX23" s="6"/>
      <c r="DY23" s="74"/>
      <c r="DZ23" s="120"/>
      <c r="EA23" s="121"/>
      <c r="EB23" s="6"/>
      <c r="EC23" s="74"/>
      <c r="ED23" s="120"/>
      <c r="EE23" s="121"/>
      <c r="EF23" s="6"/>
      <c r="EG23" s="74"/>
      <c r="EH23" s="120"/>
      <c r="EI23" s="121"/>
      <c r="EJ23" s="6"/>
      <c r="EK23" s="74"/>
      <c r="EL23" s="120"/>
      <c r="EM23" s="121"/>
    </row>
    <row r="24" spans="1:143" ht="19.5" customHeight="1" x14ac:dyDescent="0.2">
      <c r="A24" s="117"/>
      <c r="B24" s="118"/>
      <c r="C24" s="119"/>
      <c r="D24" s="6"/>
      <c r="E24" s="74"/>
      <c r="F24" s="120"/>
      <c r="G24" s="121"/>
      <c r="H24" s="6"/>
      <c r="I24" s="74"/>
      <c r="J24" s="120"/>
      <c r="K24" s="121"/>
      <c r="L24" s="6"/>
      <c r="M24" s="74"/>
      <c r="N24" s="120"/>
      <c r="O24" s="121"/>
      <c r="P24" s="6"/>
      <c r="Q24" s="74"/>
      <c r="R24" s="120"/>
      <c r="S24" s="121"/>
      <c r="T24" s="6"/>
      <c r="U24" s="74"/>
      <c r="V24" s="120"/>
      <c r="W24" s="121"/>
      <c r="X24" s="6"/>
      <c r="Y24" s="74"/>
      <c r="Z24" s="120"/>
      <c r="AA24" s="121"/>
      <c r="AB24" s="6"/>
      <c r="AC24" s="74"/>
      <c r="AD24" s="120"/>
      <c r="AE24" s="121"/>
      <c r="AF24" s="6"/>
      <c r="AG24" s="74"/>
      <c r="AH24" s="120"/>
      <c r="AI24" s="121"/>
      <c r="AJ24" s="6"/>
      <c r="AK24" s="74"/>
      <c r="AL24" s="120"/>
      <c r="AM24" s="121"/>
      <c r="AN24" s="6"/>
      <c r="AO24" s="74"/>
      <c r="AP24" s="120"/>
      <c r="AQ24" s="121"/>
      <c r="AR24" s="6"/>
      <c r="AS24" s="74"/>
      <c r="AT24" s="120"/>
      <c r="AU24" s="121"/>
      <c r="AV24" s="6"/>
      <c r="AW24" s="74"/>
      <c r="AX24" s="120"/>
      <c r="AY24" s="121"/>
      <c r="AZ24" s="6"/>
      <c r="BA24" s="74"/>
      <c r="BB24" s="120"/>
      <c r="BC24" s="121"/>
      <c r="BD24" s="6"/>
      <c r="BE24" s="74"/>
      <c r="BF24" s="120"/>
      <c r="BG24" s="121"/>
      <c r="BH24" s="6"/>
      <c r="BI24" s="74"/>
      <c r="BJ24" s="120"/>
      <c r="BK24" s="121"/>
      <c r="BL24" s="6"/>
      <c r="BM24" s="74"/>
      <c r="BN24" s="120"/>
      <c r="BO24" s="121"/>
      <c r="BP24" s="6"/>
      <c r="BQ24" s="74"/>
      <c r="BR24" s="120"/>
      <c r="BS24" s="121"/>
      <c r="BT24" s="6"/>
      <c r="BU24" s="74"/>
      <c r="BV24" s="120"/>
      <c r="BW24" s="121"/>
      <c r="BX24" s="6"/>
      <c r="BY24" s="74"/>
      <c r="BZ24" s="120"/>
      <c r="CA24" s="121"/>
      <c r="CB24" s="6"/>
      <c r="CC24" s="74"/>
      <c r="CD24" s="120"/>
      <c r="CE24" s="121"/>
      <c r="CF24" s="6"/>
      <c r="CG24" s="74"/>
      <c r="CH24" s="120"/>
      <c r="CI24" s="121"/>
      <c r="CJ24" s="6"/>
      <c r="CK24" s="74"/>
      <c r="CL24" s="120"/>
      <c r="CM24" s="121"/>
      <c r="CN24" s="6"/>
      <c r="CO24" s="74"/>
      <c r="CP24" s="120"/>
      <c r="CQ24" s="121"/>
      <c r="CR24" s="6"/>
      <c r="CS24" s="74"/>
      <c r="CT24" s="120"/>
      <c r="CU24" s="121"/>
      <c r="CV24" s="6"/>
      <c r="CW24" s="74"/>
      <c r="CX24" s="120"/>
      <c r="CY24" s="121"/>
      <c r="CZ24" s="6"/>
      <c r="DA24" s="74"/>
      <c r="DB24" s="120"/>
      <c r="DC24" s="121"/>
      <c r="DD24" s="6"/>
      <c r="DE24" s="74"/>
      <c r="DF24" s="120"/>
      <c r="DG24" s="121"/>
      <c r="DH24" s="6"/>
      <c r="DI24" s="74"/>
      <c r="DJ24" s="120"/>
      <c r="DK24" s="121"/>
      <c r="DL24" s="6"/>
      <c r="DM24" s="74"/>
      <c r="DN24" s="120"/>
      <c r="DO24" s="121"/>
      <c r="DP24" s="6"/>
      <c r="DQ24" s="74"/>
      <c r="DR24" s="120"/>
      <c r="DS24" s="121"/>
      <c r="DT24" s="6"/>
      <c r="DU24" s="74"/>
      <c r="DV24" s="120"/>
      <c r="DW24" s="121"/>
      <c r="DX24" s="6"/>
      <c r="DY24" s="74"/>
      <c r="DZ24" s="120"/>
      <c r="EA24" s="121"/>
      <c r="EB24" s="6"/>
      <c r="EC24" s="74"/>
      <c r="ED24" s="120"/>
      <c r="EE24" s="121"/>
      <c r="EF24" s="6"/>
      <c r="EG24" s="74"/>
      <c r="EH24" s="120"/>
      <c r="EI24" s="121"/>
      <c r="EJ24" s="6"/>
      <c r="EK24" s="74"/>
      <c r="EL24" s="120"/>
      <c r="EM24" s="121"/>
    </row>
    <row r="25" spans="1:143" ht="19.5" customHeight="1" x14ac:dyDescent="0.2">
      <c r="A25" s="117"/>
      <c r="B25" s="118"/>
      <c r="C25" s="119"/>
      <c r="D25" s="6"/>
      <c r="E25" s="74"/>
      <c r="F25" s="120"/>
      <c r="G25" s="121"/>
      <c r="H25" s="6"/>
      <c r="I25" s="74"/>
      <c r="J25" s="120"/>
      <c r="K25" s="121"/>
      <c r="L25" s="6"/>
      <c r="M25" s="74"/>
      <c r="N25" s="120"/>
      <c r="O25" s="121"/>
      <c r="P25" s="6"/>
      <c r="Q25" s="74"/>
      <c r="R25" s="120"/>
      <c r="S25" s="121"/>
      <c r="T25" s="6"/>
      <c r="U25" s="74"/>
      <c r="V25" s="120"/>
      <c r="W25" s="121"/>
      <c r="X25" s="6"/>
      <c r="Y25" s="74"/>
      <c r="Z25" s="120"/>
      <c r="AA25" s="121"/>
      <c r="AB25" s="6"/>
      <c r="AC25" s="74"/>
      <c r="AD25" s="120"/>
      <c r="AE25" s="121"/>
      <c r="AF25" s="6"/>
      <c r="AG25" s="74"/>
      <c r="AH25" s="120"/>
      <c r="AI25" s="121"/>
      <c r="AJ25" s="6"/>
      <c r="AK25" s="74"/>
      <c r="AL25" s="120"/>
      <c r="AM25" s="121"/>
      <c r="AN25" s="6"/>
      <c r="AO25" s="74"/>
      <c r="AP25" s="120"/>
      <c r="AQ25" s="121"/>
      <c r="AR25" s="6"/>
      <c r="AS25" s="74"/>
      <c r="AT25" s="120"/>
      <c r="AU25" s="121"/>
      <c r="AV25" s="6"/>
      <c r="AW25" s="74"/>
      <c r="AX25" s="120"/>
      <c r="AY25" s="121"/>
      <c r="AZ25" s="6"/>
      <c r="BA25" s="74"/>
      <c r="BB25" s="120"/>
      <c r="BC25" s="121"/>
      <c r="BD25" s="6"/>
      <c r="BE25" s="74"/>
      <c r="BF25" s="120"/>
      <c r="BG25" s="121"/>
      <c r="BH25" s="6"/>
      <c r="BI25" s="74"/>
      <c r="BJ25" s="120"/>
      <c r="BK25" s="121"/>
      <c r="BL25" s="6"/>
      <c r="BM25" s="74"/>
      <c r="BN25" s="120"/>
      <c r="BO25" s="121"/>
      <c r="BP25" s="6"/>
      <c r="BQ25" s="74"/>
      <c r="BR25" s="120"/>
      <c r="BS25" s="121"/>
      <c r="BT25" s="6"/>
      <c r="BU25" s="74"/>
      <c r="BV25" s="120"/>
      <c r="BW25" s="121"/>
      <c r="BX25" s="6"/>
      <c r="BY25" s="74"/>
      <c r="BZ25" s="120"/>
      <c r="CA25" s="121"/>
      <c r="CB25" s="6"/>
      <c r="CC25" s="74"/>
      <c r="CD25" s="120"/>
      <c r="CE25" s="121"/>
      <c r="CF25" s="6"/>
      <c r="CG25" s="74"/>
      <c r="CH25" s="120"/>
      <c r="CI25" s="121"/>
      <c r="CJ25" s="6"/>
      <c r="CK25" s="74"/>
      <c r="CL25" s="120"/>
      <c r="CM25" s="121"/>
      <c r="CN25" s="6"/>
      <c r="CO25" s="74"/>
      <c r="CP25" s="120"/>
      <c r="CQ25" s="121"/>
      <c r="CR25" s="6"/>
      <c r="CS25" s="74"/>
      <c r="CT25" s="120"/>
      <c r="CU25" s="121"/>
      <c r="CV25" s="6"/>
      <c r="CW25" s="74"/>
      <c r="CX25" s="120"/>
      <c r="CY25" s="121"/>
      <c r="CZ25" s="6"/>
      <c r="DA25" s="74"/>
      <c r="DB25" s="120"/>
      <c r="DC25" s="121"/>
      <c r="DD25" s="6"/>
      <c r="DE25" s="74"/>
      <c r="DF25" s="120"/>
      <c r="DG25" s="121"/>
      <c r="DH25" s="6"/>
      <c r="DI25" s="74"/>
      <c r="DJ25" s="120"/>
      <c r="DK25" s="121"/>
      <c r="DL25" s="6"/>
      <c r="DM25" s="74"/>
      <c r="DN25" s="120"/>
      <c r="DO25" s="121"/>
      <c r="DP25" s="6"/>
      <c r="DQ25" s="74"/>
      <c r="DR25" s="120"/>
      <c r="DS25" s="121"/>
      <c r="DT25" s="6"/>
      <c r="DU25" s="74"/>
      <c r="DV25" s="120"/>
      <c r="DW25" s="121"/>
      <c r="DX25" s="6"/>
      <c r="DY25" s="74"/>
      <c r="DZ25" s="120"/>
      <c r="EA25" s="121"/>
      <c r="EB25" s="6"/>
      <c r="EC25" s="74"/>
      <c r="ED25" s="120"/>
      <c r="EE25" s="121"/>
      <c r="EF25" s="6"/>
      <c r="EG25" s="74"/>
      <c r="EH25" s="120"/>
      <c r="EI25" s="121"/>
      <c r="EJ25" s="6"/>
      <c r="EK25" s="74"/>
      <c r="EL25" s="120"/>
      <c r="EM25" s="121"/>
    </row>
    <row r="26" spans="1:143" ht="19.5" customHeight="1" x14ac:dyDescent="0.2">
      <c r="A26" s="117"/>
      <c r="B26" s="118"/>
      <c r="C26" s="119"/>
      <c r="D26" s="6"/>
      <c r="E26" s="74"/>
      <c r="F26" s="120"/>
      <c r="G26" s="121"/>
      <c r="H26" s="6"/>
      <c r="I26" s="74"/>
      <c r="J26" s="120"/>
      <c r="K26" s="121"/>
      <c r="L26" s="6"/>
      <c r="M26" s="74"/>
      <c r="N26" s="120"/>
      <c r="O26" s="121"/>
      <c r="P26" s="6"/>
      <c r="Q26" s="74"/>
      <c r="R26" s="120"/>
      <c r="S26" s="121"/>
      <c r="T26" s="6"/>
      <c r="U26" s="74"/>
      <c r="V26" s="120"/>
      <c r="W26" s="121"/>
      <c r="X26" s="6"/>
      <c r="Y26" s="74"/>
      <c r="Z26" s="120"/>
      <c r="AA26" s="121"/>
      <c r="AB26" s="6"/>
      <c r="AC26" s="74"/>
      <c r="AD26" s="120"/>
      <c r="AE26" s="121"/>
      <c r="AF26" s="6"/>
      <c r="AG26" s="74"/>
      <c r="AH26" s="120"/>
      <c r="AI26" s="121"/>
      <c r="AJ26" s="6"/>
      <c r="AK26" s="74"/>
      <c r="AL26" s="120"/>
      <c r="AM26" s="121"/>
      <c r="AN26" s="6"/>
      <c r="AO26" s="74"/>
      <c r="AP26" s="120"/>
      <c r="AQ26" s="121"/>
      <c r="AR26" s="6"/>
      <c r="AS26" s="74"/>
      <c r="AT26" s="120"/>
      <c r="AU26" s="121"/>
      <c r="AV26" s="6"/>
      <c r="AW26" s="74"/>
      <c r="AX26" s="120"/>
      <c r="AY26" s="121"/>
      <c r="AZ26" s="6"/>
      <c r="BA26" s="74"/>
      <c r="BB26" s="120"/>
      <c r="BC26" s="121"/>
      <c r="BD26" s="6"/>
      <c r="BE26" s="74"/>
      <c r="BF26" s="120"/>
      <c r="BG26" s="121"/>
      <c r="BH26" s="6"/>
      <c r="BI26" s="74"/>
      <c r="BJ26" s="120"/>
      <c r="BK26" s="121"/>
      <c r="BL26" s="6"/>
      <c r="BM26" s="74"/>
      <c r="BN26" s="120"/>
      <c r="BO26" s="121"/>
      <c r="BP26" s="6"/>
      <c r="BQ26" s="74"/>
      <c r="BR26" s="120"/>
      <c r="BS26" s="121"/>
      <c r="BT26" s="6"/>
      <c r="BU26" s="74"/>
      <c r="BV26" s="120"/>
      <c r="BW26" s="121"/>
      <c r="BX26" s="6"/>
      <c r="BY26" s="74"/>
      <c r="BZ26" s="120"/>
      <c r="CA26" s="121"/>
      <c r="CB26" s="6"/>
      <c r="CC26" s="74"/>
      <c r="CD26" s="120"/>
      <c r="CE26" s="121"/>
      <c r="CF26" s="6"/>
      <c r="CG26" s="74"/>
      <c r="CH26" s="120"/>
      <c r="CI26" s="121"/>
      <c r="CJ26" s="6"/>
      <c r="CK26" s="74"/>
      <c r="CL26" s="120"/>
      <c r="CM26" s="121"/>
      <c r="CN26" s="6"/>
      <c r="CO26" s="74"/>
      <c r="CP26" s="120"/>
      <c r="CQ26" s="121"/>
      <c r="CR26" s="6"/>
      <c r="CS26" s="74"/>
      <c r="CT26" s="120"/>
      <c r="CU26" s="121"/>
      <c r="CV26" s="6"/>
      <c r="CW26" s="74"/>
      <c r="CX26" s="120"/>
      <c r="CY26" s="121"/>
      <c r="CZ26" s="6"/>
      <c r="DA26" s="74"/>
      <c r="DB26" s="120"/>
      <c r="DC26" s="121"/>
      <c r="DD26" s="6"/>
      <c r="DE26" s="74"/>
      <c r="DF26" s="120"/>
      <c r="DG26" s="121"/>
      <c r="DH26" s="6"/>
      <c r="DI26" s="74"/>
      <c r="DJ26" s="120"/>
      <c r="DK26" s="121"/>
      <c r="DL26" s="6"/>
      <c r="DM26" s="74"/>
      <c r="DN26" s="120"/>
      <c r="DO26" s="121"/>
      <c r="DP26" s="6"/>
      <c r="DQ26" s="74"/>
      <c r="DR26" s="120"/>
      <c r="DS26" s="121"/>
      <c r="DT26" s="6"/>
      <c r="DU26" s="74"/>
      <c r="DV26" s="120"/>
      <c r="DW26" s="121"/>
      <c r="DX26" s="6"/>
      <c r="DY26" s="74"/>
      <c r="DZ26" s="120"/>
      <c r="EA26" s="121"/>
      <c r="EB26" s="6"/>
      <c r="EC26" s="74"/>
      <c r="ED26" s="120"/>
      <c r="EE26" s="121"/>
      <c r="EF26" s="6"/>
      <c r="EG26" s="74"/>
      <c r="EH26" s="120"/>
      <c r="EI26" s="121"/>
      <c r="EJ26" s="6"/>
      <c r="EK26" s="74"/>
      <c r="EL26" s="120"/>
      <c r="EM26" s="121"/>
    </row>
    <row r="27" spans="1:143" ht="19.5" customHeight="1" x14ac:dyDescent="0.2">
      <c r="A27" s="117"/>
      <c r="B27" s="118"/>
      <c r="C27" s="119"/>
      <c r="D27" s="6"/>
      <c r="E27" s="74"/>
      <c r="F27" s="120"/>
      <c r="G27" s="121"/>
      <c r="H27" s="6"/>
      <c r="I27" s="74"/>
      <c r="J27" s="120"/>
      <c r="K27" s="121"/>
      <c r="L27" s="6"/>
      <c r="M27" s="74"/>
      <c r="N27" s="120"/>
      <c r="O27" s="121"/>
      <c r="P27" s="6"/>
      <c r="Q27" s="74"/>
      <c r="R27" s="120"/>
      <c r="S27" s="121"/>
      <c r="T27" s="6"/>
      <c r="U27" s="74"/>
      <c r="V27" s="120"/>
      <c r="W27" s="121"/>
      <c r="X27" s="6"/>
      <c r="Y27" s="74"/>
      <c r="Z27" s="120"/>
      <c r="AA27" s="121"/>
      <c r="AB27" s="6"/>
      <c r="AC27" s="74"/>
      <c r="AD27" s="120"/>
      <c r="AE27" s="121"/>
      <c r="AF27" s="6"/>
      <c r="AG27" s="74"/>
      <c r="AH27" s="120"/>
      <c r="AI27" s="121"/>
      <c r="AJ27" s="6"/>
      <c r="AK27" s="74"/>
      <c r="AL27" s="120"/>
      <c r="AM27" s="121"/>
      <c r="AN27" s="6"/>
      <c r="AO27" s="74"/>
      <c r="AP27" s="120"/>
      <c r="AQ27" s="121"/>
      <c r="AR27" s="6"/>
      <c r="AS27" s="74"/>
      <c r="AT27" s="120"/>
      <c r="AU27" s="121"/>
      <c r="AV27" s="6"/>
      <c r="AW27" s="74"/>
      <c r="AX27" s="120"/>
      <c r="AY27" s="121"/>
      <c r="AZ27" s="6"/>
      <c r="BA27" s="74"/>
      <c r="BB27" s="120"/>
      <c r="BC27" s="121"/>
      <c r="BD27" s="6"/>
      <c r="BE27" s="74"/>
      <c r="BF27" s="120"/>
      <c r="BG27" s="121"/>
      <c r="BH27" s="6"/>
      <c r="BI27" s="74"/>
      <c r="BJ27" s="120"/>
      <c r="BK27" s="121"/>
      <c r="BL27" s="6"/>
      <c r="BM27" s="74"/>
      <c r="BN27" s="120"/>
      <c r="BO27" s="121"/>
      <c r="BP27" s="6"/>
      <c r="BQ27" s="74"/>
      <c r="BR27" s="120"/>
      <c r="BS27" s="121"/>
      <c r="BT27" s="6"/>
      <c r="BU27" s="74"/>
      <c r="BV27" s="120"/>
      <c r="BW27" s="121"/>
      <c r="BX27" s="6"/>
      <c r="BY27" s="74"/>
      <c r="BZ27" s="120"/>
      <c r="CA27" s="121"/>
      <c r="CB27" s="6"/>
      <c r="CC27" s="74"/>
      <c r="CD27" s="120"/>
      <c r="CE27" s="121"/>
      <c r="CF27" s="6"/>
      <c r="CG27" s="74"/>
      <c r="CH27" s="120"/>
      <c r="CI27" s="121"/>
      <c r="CJ27" s="6"/>
      <c r="CK27" s="74"/>
      <c r="CL27" s="120"/>
      <c r="CM27" s="121"/>
      <c r="CN27" s="6"/>
      <c r="CO27" s="74"/>
      <c r="CP27" s="120"/>
      <c r="CQ27" s="121"/>
      <c r="CR27" s="6"/>
      <c r="CS27" s="74"/>
      <c r="CT27" s="120"/>
      <c r="CU27" s="121"/>
      <c r="CV27" s="6"/>
      <c r="CW27" s="74"/>
      <c r="CX27" s="120"/>
      <c r="CY27" s="121"/>
      <c r="CZ27" s="6"/>
      <c r="DA27" s="74"/>
      <c r="DB27" s="120"/>
      <c r="DC27" s="121"/>
      <c r="DD27" s="6"/>
      <c r="DE27" s="74"/>
      <c r="DF27" s="120"/>
      <c r="DG27" s="121"/>
      <c r="DH27" s="6"/>
      <c r="DI27" s="74"/>
      <c r="DJ27" s="120"/>
      <c r="DK27" s="121"/>
      <c r="DL27" s="6"/>
      <c r="DM27" s="74"/>
      <c r="DN27" s="120"/>
      <c r="DO27" s="121"/>
      <c r="DP27" s="6"/>
      <c r="DQ27" s="74"/>
      <c r="DR27" s="120"/>
      <c r="DS27" s="121"/>
      <c r="DT27" s="6"/>
      <c r="DU27" s="74"/>
      <c r="DV27" s="120"/>
      <c r="DW27" s="121"/>
      <c r="DX27" s="6"/>
      <c r="DY27" s="74"/>
      <c r="DZ27" s="120"/>
      <c r="EA27" s="121"/>
      <c r="EB27" s="6"/>
      <c r="EC27" s="74"/>
      <c r="ED27" s="120"/>
      <c r="EE27" s="121"/>
      <c r="EF27" s="6"/>
      <c r="EG27" s="74"/>
      <c r="EH27" s="120"/>
      <c r="EI27" s="121"/>
      <c r="EJ27" s="6"/>
      <c r="EK27" s="74"/>
      <c r="EL27" s="120"/>
      <c r="EM27" s="121"/>
    </row>
    <row r="28" spans="1:143" ht="19.5" customHeight="1" x14ac:dyDescent="0.2">
      <c r="A28" s="117"/>
      <c r="B28" s="118"/>
      <c r="C28" s="119"/>
      <c r="D28" s="6"/>
      <c r="E28" s="74"/>
      <c r="F28" s="120"/>
      <c r="G28" s="121"/>
      <c r="H28" s="6"/>
      <c r="I28" s="74"/>
      <c r="J28" s="120"/>
      <c r="K28" s="121"/>
      <c r="L28" s="6"/>
      <c r="M28" s="74"/>
      <c r="N28" s="120"/>
      <c r="O28" s="121"/>
      <c r="P28" s="6"/>
      <c r="Q28" s="74"/>
      <c r="R28" s="120"/>
      <c r="S28" s="121"/>
      <c r="T28" s="6"/>
      <c r="U28" s="74"/>
      <c r="V28" s="120"/>
      <c r="W28" s="121"/>
      <c r="X28" s="6"/>
      <c r="Y28" s="74"/>
      <c r="Z28" s="120"/>
      <c r="AA28" s="121"/>
      <c r="AB28" s="6"/>
      <c r="AC28" s="74"/>
      <c r="AD28" s="120"/>
      <c r="AE28" s="121"/>
      <c r="AF28" s="6"/>
      <c r="AG28" s="74"/>
      <c r="AH28" s="120"/>
      <c r="AI28" s="121"/>
      <c r="AJ28" s="6"/>
      <c r="AK28" s="74"/>
      <c r="AL28" s="120"/>
      <c r="AM28" s="121"/>
      <c r="AN28" s="6"/>
      <c r="AO28" s="74"/>
      <c r="AP28" s="120"/>
      <c r="AQ28" s="121"/>
      <c r="AR28" s="6"/>
      <c r="AS28" s="74"/>
      <c r="AT28" s="120"/>
      <c r="AU28" s="121"/>
      <c r="AV28" s="6"/>
      <c r="AW28" s="74"/>
      <c r="AX28" s="120"/>
      <c r="AY28" s="121"/>
      <c r="AZ28" s="6"/>
      <c r="BA28" s="74"/>
      <c r="BB28" s="120"/>
      <c r="BC28" s="121"/>
      <c r="BD28" s="6"/>
      <c r="BE28" s="74"/>
      <c r="BF28" s="120"/>
      <c r="BG28" s="121"/>
      <c r="BH28" s="6"/>
      <c r="BI28" s="74"/>
      <c r="BJ28" s="120"/>
      <c r="BK28" s="121"/>
      <c r="BL28" s="6"/>
      <c r="BM28" s="74"/>
      <c r="BN28" s="120"/>
      <c r="BO28" s="121"/>
      <c r="BP28" s="6"/>
      <c r="BQ28" s="74"/>
      <c r="BR28" s="120"/>
      <c r="BS28" s="121"/>
      <c r="BT28" s="6"/>
      <c r="BU28" s="74"/>
      <c r="BV28" s="120"/>
      <c r="BW28" s="121"/>
      <c r="BX28" s="6"/>
      <c r="BY28" s="74"/>
      <c r="BZ28" s="120"/>
      <c r="CA28" s="121"/>
      <c r="CB28" s="6"/>
      <c r="CC28" s="74"/>
      <c r="CD28" s="120"/>
      <c r="CE28" s="121"/>
      <c r="CF28" s="6"/>
      <c r="CG28" s="74"/>
      <c r="CH28" s="120"/>
      <c r="CI28" s="121"/>
      <c r="CJ28" s="6"/>
      <c r="CK28" s="74"/>
      <c r="CL28" s="120"/>
      <c r="CM28" s="121"/>
      <c r="CN28" s="6"/>
      <c r="CO28" s="74"/>
      <c r="CP28" s="120"/>
      <c r="CQ28" s="121"/>
      <c r="CR28" s="6"/>
      <c r="CS28" s="74"/>
      <c r="CT28" s="120"/>
      <c r="CU28" s="121"/>
      <c r="CV28" s="6"/>
      <c r="CW28" s="74"/>
      <c r="CX28" s="120"/>
      <c r="CY28" s="121"/>
      <c r="CZ28" s="6"/>
      <c r="DA28" s="74"/>
      <c r="DB28" s="120"/>
      <c r="DC28" s="121"/>
      <c r="DD28" s="6"/>
      <c r="DE28" s="74"/>
      <c r="DF28" s="120"/>
      <c r="DG28" s="121"/>
      <c r="DH28" s="6"/>
      <c r="DI28" s="74"/>
      <c r="DJ28" s="120"/>
      <c r="DK28" s="121"/>
      <c r="DL28" s="6"/>
      <c r="DM28" s="74"/>
      <c r="DN28" s="120"/>
      <c r="DO28" s="121"/>
      <c r="DP28" s="6"/>
      <c r="DQ28" s="74"/>
      <c r="DR28" s="120"/>
      <c r="DS28" s="121"/>
      <c r="DT28" s="6"/>
      <c r="DU28" s="74"/>
      <c r="DV28" s="120"/>
      <c r="DW28" s="121"/>
      <c r="DX28" s="6"/>
      <c r="DY28" s="74"/>
      <c r="DZ28" s="120"/>
      <c r="EA28" s="121"/>
      <c r="EB28" s="6"/>
      <c r="EC28" s="74"/>
      <c r="ED28" s="120"/>
      <c r="EE28" s="121"/>
      <c r="EF28" s="6"/>
      <c r="EG28" s="74"/>
      <c r="EH28" s="120"/>
      <c r="EI28" s="121"/>
      <c r="EJ28" s="6"/>
      <c r="EK28" s="74"/>
      <c r="EL28" s="120"/>
      <c r="EM28" s="121"/>
    </row>
    <row r="29" spans="1:143" ht="19.5" customHeight="1" x14ac:dyDescent="0.2">
      <c r="A29" s="117"/>
      <c r="B29" s="118"/>
      <c r="C29" s="119"/>
      <c r="D29" s="6"/>
      <c r="E29" s="74"/>
      <c r="F29" s="120"/>
      <c r="G29" s="121"/>
      <c r="H29" s="6"/>
      <c r="I29" s="74"/>
      <c r="J29" s="120"/>
      <c r="K29" s="121"/>
      <c r="L29" s="6"/>
      <c r="M29" s="74"/>
      <c r="N29" s="120"/>
      <c r="O29" s="121"/>
      <c r="P29" s="6"/>
      <c r="Q29" s="74"/>
      <c r="R29" s="120"/>
      <c r="S29" s="121"/>
      <c r="T29" s="6"/>
      <c r="U29" s="74"/>
      <c r="V29" s="120"/>
      <c r="W29" s="121"/>
      <c r="X29" s="6"/>
      <c r="Y29" s="74"/>
      <c r="Z29" s="120"/>
      <c r="AA29" s="121"/>
      <c r="AB29" s="6"/>
      <c r="AC29" s="74"/>
      <c r="AD29" s="120"/>
      <c r="AE29" s="121"/>
      <c r="AF29" s="6"/>
      <c r="AG29" s="74"/>
      <c r="AH29" s="120"/>
      <c r="AI29" s="121"/>
      <c r="AJ29" s="6"/>
      <c r="AK29" s="74"/>
      <c r="AL29" s="120"/>
      <c r="AM29" s="121"/>
      <c r="AN29" s="6"/>
      <c r="AO29" s="74"/>
      <c r="AP29" s="120"/>
      <c r="AQ29" s="121"/>
      <c r="AR29" s="6"/>
      <c r="AS29" s="74"/>
      <c r="AT29" s="120"/>
      <c r="AU29" s="121"/>
      <c r="AV29" s="6"/>
      <c r="AW29" s="74"/>
      <c r="AX29" s="120"/>
      <c r="AY29" s="121"/>
      <c r="AZ29" s="6"/>
      <c r="BA29" s="74"/>
      <c r="BB29" s="120"/>
      <c r="BC29" s="121"/>
      <c r="BD29" s="6"/>
      <c r="BE29" s="74"/>
      <c r="BF29" s="120"/>
      <c r="BG29" s="121"/>
      <c r="BH29" s="6"/>
      <c r="BI29" s="74"/>
      <c r="BJ29" s="120"/>
      <c r="BK29" s="121"/>
      <c r="BL29" s="6"/>
      <c r="BM29" s="74"/>
      <c r="BN29" s="120"/>
      <c r="BO29" s="121"/>
      <c r="BP29" s="6"/>
      <c r="BQ29" s="74"/>
      <c r="BR29" s="120"/>
      <c r="BS29" s="121"/>
      <c r="BT29" s="6"/>
      <c r="BU29" s="74"/>
      <c r="BV29" s="120"/>
      <c r="BW29" s="121"/>
      <c r="BX29" s="6"/>
      <c r="BY29" s="74"/>
      <c r="BZ29" s="120"/>
      <c r="CA29" s="121"/>
      <c r="CB29" s="6"/>
      <c r="CC29" s="74"/>
      <c r="CD29" s="120"/>
      <c r="CE29" s="121"/>
      <c r="CF29" s="6"/>
      <c r="CG29" s="74"/>
      <c r="CH29" s="120"/>
      <c r="CI29" s="121"/>
      <c r="CJ29" s="6"/>
      <c r="CK29" s="74"/>
      <c r="CL29" s="120"/>
      <c r="CM29" s="121"/>
      <c r="CN29" s="6"/>
      <c r="CO29" s="74"/>
      <c r="CP29" s="120"/>
      <c r="CQ29" s="121"/>
      <c r="CR29" s="6"/>
      <c r="CS29" s="74"/>
      <c r="CT29" s="120"/>
      <c r="CU29" s="121"/>
      <c r="CV29" s="6"/>
      <c r="CW29" s="74"/>
      <c r="CX29" s="120"/>
      <c r="CY29" s="121"/>
      <c r="CZ29" s="6"/>
      <c r="DA29" s="74"/>
      <c r="DB29" s="120"/>
      <c r="DC29" s="121"/>
      <c r="DD29" s="6"/>
      <c r="DE29" s="74"/>
      <c r="DF29" s="120"/>
      <c r="DG29" s="121"/>
      <c r="DH29" s="6"/>
      <c r="DI29" s="74"/>
      <c r="DJ29" s="120"/>
      <c r="DK29" s="121"/>
      <c r="DL29" s="6"/>
      <c r="DM29" s="74"/>
      <c r="DN29" s="120"/>
      <c r="DO29" s="121"/>
      <c r="DP29" s="6"/>
      <c r="DQ29" s="74"/>
      <c r="DR29" s="120"/>
      <c r="DS29" s="121"/>
      <c r="DT29" s="6"/>
      <c r="DU29" s="74"/>
      <c r="DV29" s="120"/>
      <c r="DW29" s="121"/>
      <c r="DX29" s="6"/>
      <c r="DY29" s="74"/>
      <c r="DZ29" s="120"/>
      <c r="EA29" s="121"/>
      <c r="EB29" s="6"/>
      <c r="EC29" s="74"/>
      <c r="ED29" s="120"/>
      <c r="EE29" s="121"/>
      <c r="EF29" s="6"/>
      <c r="EG29" s="74"/>
      <c r="EH29" s="120"/>
      <c r="EI29" s="121"/>
      <c r="EJ29" s="6"/>
      <c r="EK29" s="74"/>
      <c r="EL29" s="120"/>
      <c r="EM29" s="121"/>
    </row>
    <row r="30" spans="1:143" ht="19.5" customHeight="1" x14ac:dyDescent="0.2">
      <c r="A30" s="117"/>
      <c r="B30" s="118"/>
      <c r="C30" s="119"/>
      <c r="D30" s="6"/>
      <c r="E30" s="74"/>
      <c r="F30" s="120"/>
      <c r="G30" s="121"/>
      <c r="H30" s="6"/>
      <c r="I30" s="74"/>
      <c r="J30" s="120"/>
      <c r="K30" s="121"/>
      <c r="L30" s="6"/>
      <c r="M30" s="74"/>
      <c r="N30" s="120"/>
      <c r="O30" s="121"/>
      <c r="P30" s="6"/>
      <c r="Q30" s="74"/>
      <c r="R30" s="120"/>
      <c r="S30" s="121"/>
      <c r="T30" s="6"/>
      <c r="U30" s="74"/>
      <c r="V30" s="120"/>
      <c r="W30" s="121"/>
      <c r="X30" s="6"/>
      <c r="Y30" s="74"/>
      <c r="Z30" s="120"/>
      <c r="AA30" s="121"/>
      <c r="AB30" s="6"/>
      <c r="AC30" s="74"/>
      <c r="AD30" s="120"/>
      <c r="AE30" s="121"/>
      <c r="AF30" s="6"/>
      <c r="AG30" s="74"/>
      <c r="AH30" s="120"/>
      <c r="AI30" s="121"/>
      <c r="AJ30" s="6"/>
      <c r="AK30" s="74"/>
      <c r="AL30" s="120"/>
      <c r="AM30" s="121"/>
      <c r="AN30" s="6"/>
      <c r="AO30" s="74"/>
      <c r="AP30" s="120"/>
      <c r="AQ30" s="121"/>
      <c r="AR30" s="6"/>
      <c r="AS30" s="74"/>
      <c r="AT30" s="120"/>
      <c r="AU30" s="121"/>
      <c r="AV30" s="6"/>
      <c r="AW30" s="74"/>
      <c r="AX30" s="120"/>
      <c r="AY30" s="121"/>
      <c r="AZ30" s="6"/>
      <c r="BA30" s="74"/>
      <c r="BB30" s="120"/>
      <c r="BC30" s="121"/>
      <c r="BD30" s="6"/>
      <c r="BE30" s="74"/>
      <c r="BF30" s="120"/>
      <c r="BG30" s="121"/>
      <c r="BH30" s="6"/>
      <c r="BI30" s="74"/>
      <c r="BJ30" s="120"/>
      <c r="BK30" s="121"/>
      <c r="BL30" s="6"/>
      <c r="BM30" s="74"/>
      <c r="BN30" s="120"/>
      <c r="BO30" s="121"/>
      <c r="BP30" s="6"/>
      <c r="BQ30" s="74"/>
      <c r="BR30" s="120"/>
      <c r="BS30" s="121"/>
      <c r="BT30" s="6"/>
      <c r="BU30" s="74"/>
      <c r="BV30" s="120"/>
      <c r="BW30" s="121"/>
      <c r="BX30" s="6"/>
      <c r="BY30" s="74"/>
      <c r="BZ30" s="120"/>
      <c r="CA30" s="121"/>
      <c r="CB30" s="6"/>
      <c r="CC30" s="74"/>
      <c r="CD30" s="120"/>
      <c r="CE30" s="121"/>
      <c r="CF30" s="6"/>
      <c r="CG30" s="74"/>
      <c r="CH30" s="120"/>
      <c r="CI30" s="121"/>
      <c r="CJ30" s="6"/>
      <c r="CK30" s="74"/>
      <c r="CL30" s="120"/>
      <c r="CM30" s="121"/>
      <c r="CN30" s="6"/>
      <c r="CO30" s="74"/>
      <c r="CP30" s="120"/>
      <c r="CQ30" s="121"/>
      <c r="CR30" s="6"/>
      <c r="CS30" s="74"/>
      <c r="CT30" s="120"/>
      <c r="CU30" s="121"/>
      <c r="CV30" s="6"/>
      <c r="CW30" s="74"/>
      <c r="CX30" s="120"/>
      <c r="CY30" s="121"/>
      <c r="CZ30" s="6"/>
      <c r="DA30" s="74"/>
      <c r="DB30" s="120"/>
      <c r="DC30" s="121"/>
      <c r="DD30" s="6"/>
      <c r="DE30" s="74"/>
      <c r="DF30" s="120"/>
      <c r="DG30" s="121"/>
      <c r="DH30" s="6"/>
      <c r="DI30" s="74"/>
      <c r="DJ30" s="120"/>
      <c r="DK30" s="121"/>
      <c r="DL30" s="6"/>
      <c r="DM30" s="74"/>
      <c r="DN30" s="120"/>
      <c r="DO30" s="121"/>
      <c r="DP30" s="6"/>
      <c r="DQ30" s="74"/>
      <c r="DR30" s="120"/>
      <c r="DS30" s="121"/>
      <c r="DT30" s="6"/>
      <c r="DU30" s="74"/>
      <c r="DV30" s="120"/>
      <c r="DW30" s="121"/>
      <c r="DX30" s="6"/>
      <c r="DY30" s="74"/>
      <c r="DZ30" s="120"/>
      <c r="EA30" s="121"/>
      <c r="EB30" s="6"/>
      <c r="EC30" s="74"/>
      <c r="ED30" s="120"/>
      <c r="EE30" s="121"/>
      <c r="EF30" s="6"/>
      <c r="EG30" s="74"/>
      <c r="EH30" s="120"/>
      <c r="EI30" s="121"/>
      <c r="EJ30" s="6"/>
      <c r="EK30" s="74"/>
      <c r="EL30" s="120"/>
      <c r="EM30" s="121"/>
    </row>
    <row r="31" spans="1:143" ht="19.5" customHeight="1" x14ac:dyDescent="0.2">
      <c r="A31" s="117"/>
      <c r="B31" s="118"/>
      <c r="C31" s="119"/>
      <c r="D31" s="6"/>
      <c r="E31" s="74"/>
      <c r="F31" s="120"/>
      <c r="G31" s="121"/>
      <c r="H31" s="6"/>
      <c r="I31" s="74"/>
      <c r="J31" s="120"/>
      <c r="K31" s="121"/>
      <c r="L31" s="6"/>
      <c r="M31" s="74"/>
      <c r="N31" s="120"/>
      <c r="O31" s="121"/>
      <c r="P31" s="6"/>
      <c r="Q31" s="74"/>
      <c r="R31" s="120"/>
      <c r="S31" s="121"/>
      <c r="T31" s="6"/>
      <c r="U31" s="74"/>
      <c r="V31" s="120"/>
      <c r="W31" s="121"/>
      <c r="X31" s="6"/>
      <c r="Y31" s="74"/>
      <c r="Z31" s="120"/>
      <c r="AA31" s="121"/>
      <c r="AB31" s="6"/>
      <c r="AC31" s="74"/>
      <c r="AD31" s="120"/>
      <c r="AE31" s="121"/>
      <c r="AF31" s="6"/>
      <c r="AG31" s="74"/>
      <c r="AH31" s="120"/>
      <c r="AI31" s="121"/>
      <c r="AJ31" s="6"/>
      <c r="AK31" s="74"/>
      <c r="AL31" s="120"/>
      <c r="AM31" s="121"/>
      <c r="AN31" s="6"/>
      <c r="AO31" s="74"/>
      <c r="AP31" s="120"/>
      <c r="AQ31" s="121"/>
      <c r="AR31" s="6"/>
      <c r="AS31" s="74"/>
      <c r="AT31" s="120"/>
      <c r="AU31" s="121"/>
      <c r="AV31" s="6"/>
      <c r="AW31" s="74"/>
      <c r="AX31" s="120"/>
      <c r="AY31" s="121"/>
      <c r="AZ31" s="6"/>
      <c r="BA31" s="74"/>
      <c r="BB31" s="120"/>
      <c r="BC31" s="121"/>
      <c r="BD31" s="6"/>
      <c r="BE31" s="74"/>
      <c r="BF31" s="120"/>
      <c r="BG31" s="121"/>
      <c r="BH31" s="6"/>
      <c r="BI31" s="74"/>
      <c r="BJ31" s="120"/>
      <c r="BK31" s="121"/>
      <c r="BL31" s="6"/>
      <c r="BM31" s="74"/>
      <c r="BN31" s="120"/>
      <c r="BO31" s="121"/>
      <c r="BP31" s="6"/>
      <c r="BQ31" s="74"/>
      <c r="BR31" s="120"/>
      <c r="BS31" s="121"/>
      <c r="BT31" s="6"/>
      <c r="BU31" s="74"/>
      <c r="BV31" s="120"/>
      <c r="BW31" s="121"/>
      <c r="BX31" s="6"/>
      <c r="BY31" s="74"/>
      <c r="BZ31" s="120"/>
      <c r="CA31" s="121"/>
      <c r="CB31" s="6"/>
      <c r="CC31" s="74"/>
      <c r="CD31" s="120"/>
      <c r="CE31" s="121"/>
      <c r="CF31" s="6"/>
      <c r="CG31" s="74"/>
      <c r="CH31" s="120"/>
      <c r="CI31" s="121"/>
      <c r="CJ31" s="6"/>
      <c r="CK31" s="74"/>
      <c r="CL31" s="120"/>
      <c r="CM31" s="121"/>
      <c r="CN31" s="6"/>
      <c r="CO31" s="74"/>
      <c r="CP31" s="120"/>
      <c r="CQ31" s="121"/>
      <c r="CR31" s="6"/>
      <c r="CS31" s="74"/>
      <c r="CT31" s="120"/>
      <c r="CU31" s="121"/>
      <c r="CV31" s="6"/>
      <c r="CW31" s="74"/>
      <c r="CX31" s="120"/>
      <c r="CY31" s="121"/>
      <c r="CZ31" s="6"/>
      <c r="DA31" s="74"/>
      <c r="DB31" s="120"/>
      <c r="DC31" s="121"/>
      <c r="DD31" s="6"/>
      <c r="DE31" s="74"/>
      <c r="DF31" s="120"/>
      <c r="DG31" s="121"/>
      <c r="DH31" s="6"/>
      <c r="DI31" s="74"/>
      <c r="DJ31" s="120"/>
      <c r="DK31" s="121"/>
      <c r="DL31" s="6"/>
      <c r="DM31" s="74"/>
      <c r="DN31" s="120"/>
      <c r="DO31" s="121"/>
      <c r="DP31" s="6"/>
      <c r="DQ31" s="74"/>
      <c r="DR31" s="120"/>
      <c r="DS31" s="121"/>
      <c r="DT31" s="6"/>
      <c r="DU31" s="74"/>
      <c r="DV31" s="120"/>
      <c r="DW31" s="121"/>
      <c r="DX31" s="6"/>
      <c r="DY31" s="74"/>
      <c r="DZ31" s="120"/>
      <c r="EA31" s="121"/>
      <c r="EB31" s="6"/>
      <c r="EC31" s="74"/>
      <c r="ED31" s="120"/>
      <c r="EE31" s="121"/>
      <c r="EF31" s="6"/>
      <c r="EG31" s="74"/>
      <c r="EH31" s="120"/>
      <c r="EI31" s="121"/>
      <c r="EJ31" s="6"/>
      <c r="EK31" s="74"/>
      <c r="EL31" s="120"/>
      <c r="EM31" s="121"/>
    </row>
    <row r="32" spans="1:143" ht="19.5" customHeight="1" x14ac:dyDescent="0.2">
      <c r="A32" s="117"/>
      <c r="B32" s="118"/>
      <c r="C32" s="119"/>
      <c r="D32" s="6"/>
      <c r="E32" s="74"/>
      <c r="F32" s="120"/>
      <c r="G32" s="121"/>
      <c r="H32" s="6"/>
      <c r="I32" s="74"/>
      <c r="J32" s="120"/>
      <c r="K32" s="121"/>
      <c r="L32" s="6"/>
      <c r="M32" s="74"/>
      <c r="N32" s="120"/>
      <c r="O32" s="121"/>
      <c r="P32" s="6"/>
      <c r="Q32" s="74"/>
      <c r="R32" s="120"/>
      <c r="S32" s="121"/>
      <c r="T32" s="6"/>
      <c r="U32" s="74"/>
      <c r="V32" s="120"/>
      <c r="W32" s="121"/>
      <c r="X32" s="6"/>
      <c r="Y32" s="74"/>
      <c r="Z32" s="120"/>
      <c r="AA32" s="121"/>
      <c r="AB32" s="6"/>
      <c r="AC32" s="74"/>
      <c r="AD32" s="120"/>
      <c r="AE32" s="121"/>
      <c r="AF32" s="6"/>
      <c r="AG32" s="74"/>
      <c r="AH32" s="120"/>
      <c r="AI32" s="121"/>
      <c r="AJ32" s="6"/>
      <c r="AK32" s="74"/>
      <c r="AL32" s="120"/>
      <c r="AM32" s="121"/>
      <c r="AN32" s="6"/>
      <c r="AO32" s="74"/>
      <c r="AP32" s="120"/>
      <c r="AQ32" s="121"/>
      <c r="AR32" s="6"/>
      <c r="AS32" s="74"/>
      <c r="AT32" s="120"/>
      <c r="AU32" s="121"/>
      <c r="AV32" s="6"/>
      <c r="AW32" s="74"/>
      <c r="AX32" s="120"/>
      <c r="AY32" s="121"/>
      <c r="AZ32" s="6"/>
      <c r="BA32" s="74"/>
      <c r="BB32" s="120"/>
      <c r="BC32" s="121"/>
      <c r="BD32" s="6"/>
      <c r="BE32" s="74"/>
      <c r="BF32" s="120"/>
      <c r="BG32" s="121"/>
      <c r="BH32" s="6"/>
      <c r="BI32" s="74"/>
      <c r="BJ32" s="120"/>
      <c r="BK32" s="121"/>
      <c r="BL32" s="6"/>
      <c r="BM32" s="74"/>
      <c r="BN32" s="120"/>
      <c r="BO32" s="121"/>
      <c r="BP32" s="6"/>
      <c r="BQ32" s="74"/>
      <c r="BR32" s="120"/>
      <c r="BS32" s="121"/>
      <c r="BT32" s="6"/>
      <c r="BU32" s="74"/>
      <c r="BV32" s="120"/>
      <c r="BW32" s="121"/>
      <c r="BX32" s="6"/>
      <c r="BY32" s="74"/>
      <c r="BZ32" s="120"/>
      <c r="CA32" s="121"/>
      <c r="CB32" s="6"/>
      <c r="CC32" s="74"/>
      <c r="CD32" s="120"/>
      <c r="CE32" s="121"/>
      <c r="CF32" s="6"/>
      <c r="CG32" s="74"/>
      <c r="CH32" s="120"/>
      <c r="CI32" s="121"/>
      <c r="CJ32" s="6"/>
      <c r="CK32" s="74"/>
      <c r="CL32" s="120"/>
      <c r="CM32" s="121"/>
      <c r="CN32" s="6"/>
      <c r="CO32" s="74"/>
      <c r="CP32" s="120"/>
      <c r="CQ32" s="121"/>
      <c r="CR32" s="6"/>
      <c r="CS32" s="74"/>
      <c r="CT32" s="120"/>
      <c r="CU32" s="121"/>
      <c r="CV32" s="6"/>
      <c r="CW32" s="74"/>
      <c r="CX32" s="120"/>
      <c r="CY32" s="121"/>
      <c r="CZ32" s="6"/>
      <c r="DA32" s="74"/>
      <c r="DB32" s="120"/>
      <c r="DC32" s="121"/>
      <c r="DD32" s="6"/>
      <c r="DE32" s="74"/>
      <c r="DF32" s="120"/>
      <c r="DG32" s="121"/>
      <c r="DH32" s="6"/>
      <c r="DI32" s="74"/>
      <c r="DJ32" s="120"/>
      <c r="DK32" s="121"/>
      <c r="DL32" s="6"/>
      <c r="DM32" s="74"/>
      <c r="DN32" s="120"/>
      <c r="DO32" s="121"/>
      <c r="DP32" s="6"/>
      <c r="DQ32" s="74"/>
      <c r="DR32" s="120"/>
      <c r="DS32" s="121"/>
      <c r="DT32" s="6"/>
      <c r="DU32" s="74"/>
      <c r="DV32" s="120"/>
      <c r="DW32" s="121"/>
      <c r="DX32" s="6"/>
      <c r="DY32" s="74"/>
      <c r="DZ32" s="120"/>
      <c r="EA32" s="121"/>
      <c r="EB32" s="6"/>
      <c r="EC32" s="74"/>
      <c r="ED32" s="120"/>
      <c r="EE32" s="121"/>
      <c r="EF32" s="6"/>
      <c r="EG32" s="74"/>
      <c r="EH32" s="120"/>
      <c r="EI32" s="121"/>
      <c r="EJ32" s="6"/>
      <c r="EK32" s="74"/>
      <c r="EL32" s="120"/>
      <c r="EM32" s="121"/>
    </row>
    <row r="33" spans="1:143" ht="19.5" customHeight="1" x14ac:dyDescent="0.2">
      <c r="A33" s="117"/>
      <c r="B33" s="118"/>
      <c r="C33" s="119"/>
      <c r="D33" s="6"/>
      <c r="E33" s="74"/>
      <c r="F33" s="120"/>
      <c r="G33" s="121"/>
      <c r="H33" s="6"/>
      <c r="I33" s="74"/>
      <c r="J33" s="120"/>
      <c r="K33" s="121"/>
      <c r="L33" s="6"/>
      <c r="M33" s="74"/>
      <c r="N33" s="120"/>
      <c r="O33" s="121"/>
      <c r="P33" s="6"/>
      <c r="Q33" s="74"/>
      <c r="R33" s="120"/>
      <c r="S33" s="121"/>
      <c r="T33" s="6"/>
      <c r="U33" s="74"/>
      <c r="V33" s="120"/>
      <c r="W33" s="121"/>
      <c r="X33" s="6"/>
      <c r="Y33" s="74"/>
      <c r="Z33" s="120"/>
      <c r="AA33" s="121"/>
      <c r="AB33" s="6"/>
      <c r="AC33" s="74"/>
      <c r="AD33" s="120"/>
      <c r="AE33" s="121"/>
      <c r="AF33" s="6"/>
      <c r="AG33" s="74"/>
      <c r="AH33" s="120"/>
      <c r="AI33" s="121"/>
      <c r="AJ33" s="6"/>
      <c r="AK33" s="74"/>
      <c r="AL33" s="120"/>
      <c r="AM33" s="121"/>
      <c r="AN33" s="6"/>
      <c r="AO33" s="74"/>
      <c r="AP33" s="120"/>
      <c r="AQ33" s="121"/>
      <c r="AR33" s="6"/>
      <c r="AS33" s="74"/>
      <c r="AT33" s="120"/>
      <c r="AU33" s="121"/>
      <c r="AV33" s="6"/>
      <c r="AW33" s="74"/>
      <c r="AX33" s="120"/>
      <c r="AY33" s="121"/>
      <c r="AZ33" s="6"/>
      <c r="BA33" s="74"/>
      <c r="BB33" s="120"/>
      <c r="BC33" s="121"/>
      <c r="BD33" s="6"/>
      <c r="BE33" s="74"/>
      <c r="BF33" s="120"/>
      <c r="BG33" s="121"/>
      <c r="BH33" s="6"/>
      <c r="BI33" s="74"/>
      <c r="BJ33" s="120"/>
      <c r="BK33" s="121"/>
      <c r="BL33" s="6"/>
      <c r="BM33" s="74"/>
      <c r="BN33" s="120"/>
      <c r="BO33" s="121"/>
      <c r="BP33" s="6"/>
      <c r="BQ33" s="74"/>
      <c r="BR33" s="120"/>
      <c r="BS33" s="121"/>
      <c r="BT33" s="6"/>
      <c r="BU33" s="74"/>
      <c r="BV33" s="120"/>
      <c r="BW33" s="121"/>
      <c r="BX33" s="6"/>
      <c r="BY33" s="74"/>
      <c r="BZ33" s="120"/>
      <c r="CA33" s="121"/>
      <c r="CB33" s="6"/>
      <c r="CC33" s="74"/>
      <c r="CD33" s="120"/>
      <c r="CE33" s="121"/>
      <c r="CF33" s="6"/>
      <c r="CG33" s="74"/>
      <c r="CH33" s="120"/>
      <c r="CI33" s="121"/>
      <c r="CJ33" s="6"/>
      <c r="CK33" s="74"/>
      <c r="CL33" s="120"/>
      <c r="CM33" s="121"/>
      <c r="CN33" s="6"/>
      <c r="CO33" s="74"/>
      <c r="CP33" s="120"/>
      <c r="CQ33" s="121"/>
      <c r="CR33" s="6"/>
      <c r="CS33" s="74"/>
      <c r="CT33" s="120"/>
      <c r="CU33" s="121"/>
      <c r="CV33" s="6"/>
      <c r="CW33" s="74"/>
      <c r="CX33" s="120"/>
      <c r="CY33" s="121"/>
      <c r="CZ33" s="6"/>
      <c r="DA33" s="74"/>
      <c r="DB33" s="120"/>
      <c r="DC33" s="121"/>
      <c r="DD33" s="6"/>
      <c r="DE33" s="74"/>
      <c r="DF33" s="120"/>
      <c r="DG33" s="121"/>
      <c r="DH33" s="6"/>
      <c r="DI33" s="74"/>
      <c r="DJ33" s="120"/>
      <c r="DK33" s="121"/>
      <c r="DL33" s="6"/>
      <c r="DM33" s="74"/>
      <c r="DN33" s="120"/>
      <c r="DO33" s="121"/>
      <c r="DP33" s="6"/>
      <c r="DQ33" s="74"/>
      <c r="DR33" s="120"/>
      <c r="DS33" s="121"/>
      <c r="DT33" s="6"/>
      <c r="DU33" s="74"/>
      <c r="DV33" s="120"/>
      <c r="DW33" s="121"/>
      <c r="DX33" s="6"/>
      <c r="DY33" s="74"/>
      <c r="DZ33" s="120"/>
      <c r="EA33" s="121"/>
      <c r="EB33" s="6"/>
      <c r="EC33" s="74"/>
      <c r="ED33" s="120"/>
      <c r="EE33" s="121"/>
      <c r="EF33" s="6"/>
      <c r="EG33" s="74"/>
      <c r="EH33" s="120"/>
      <c r="EI33" s="121"/>
      <c r="EJ33" s="6"/>
      <c r="EK33" s="74"/>
      <c r="EL33" s="120"/>
      <c r="EM33" s="121"/>
    </row>
    <row r="34" spans="1:143" ht="19.5" customHeight="1" x14ac:dyDescent="0.2">
      <c r="A34" s="117"/>
      <c r="B34" s="118"/>
      <c r="C34" s="119"/>
      <c r="D34" s="6"/>
      <c r="E34" s="74"/>
      <c r="F34" s="120"/>
      <c r="G34" s="121"/>
      <c r="H34" s="6"/>
      <c r="I34" s="74"/>
      <c r="J34" s="120"/>
      <c r="K34" s="121"/>
      <c r="L34" s="6"/>
      <c r="M34" s="74"/>
      <c r="N34" s="120"/>
      <c r="O34" s="121"/>
      <c r="P34" s="6"/>
      <c r="Q34" s="74"/>
      <c r="R34" s="120"/>
      <c r="S34" s="121"/>
      <c r="T34" s="6"/>
      <c r="U34" s="74"/>
      <c r="V34" s="120"/>
      <c r="W34" s="121"/>
      <c r="X34" s="6"/>
      <c r="Y34" s="74"/>
      <c r="Z34" s="120"/>
      <c r="AA34" s="121"/>
      <c r="AB34" s="6"/>
      <c r="AC34" s="74"/>
      <c r="AD34" s="120"/>
      <c r="AE34" s="121"/>
      <c r="AF34" s="6"/>
      <c r="AG34" s="74"/>
      <c r="AH34" s="120"/>
      <c r="AI34" s="121"/>
      <c r="AJ34" s="6"/>
      <c r="AK34" s="74"/>
      <c r="AL34" s="120"/>
      <c r="AM34" s="121"/>
      <c r="AN34" s="6"/>
      <c r="AO34" s="74"/>
      <c r="AP34" s="120"/>
      <c r="AQ34" s="121"/>
      <c r="AR34" s="6"/>
      <c r="AS34" s="74"/>
      <c r="AT34" s="120"/>
      <c r="AU34" s="121"/>
      <c r="AV34" s="6"/>
      <c r="AW34" s="74"/>
      <c r="AX34" s="120"/>
      <c r="AY34" s="121"/>
      <c r="AZ34" s="6"/>
      <c r="BA34" s="74"/>
      <c r="BB34" s="120"/>
      <c r="BC34" s="121"/>
      <c r="BD34" s="6"/>
      <c r="BE34" s="74"/>
      <c r="BF34" s="120"/>
      <c r="BG34" s="121"/>
      <c r="BH34" s="6"/>
      <c r="BI34" s="74"/>
      <c r="BJ34" s="120"/>
      <c r="BK34" s="121"/>
      <c r="BL34" s="6"/>
      <c r="BM34" s="74"/>
      <c r="BN34" s="120"/>
      <c r="BO34" s="121"/>
      <c r="BP34" s="6"/>
      <c r="BQ34" s="74"/>
      <c r="BR34" s="120"/>
      <c r="BS34" s="121"/>
      <c r="BT34" s="6"/>
      <c r="BU34" s="74"/>
      <c r="BV34" s="120"/>
      <c r="BW34" s="121"/>
      <c r="BX34" s="6"/>
      <c r="BY34" s="74"/>
      <c r="BZ34" s="120"/>
      <c r="CA34" s="121"/>
      <c r="CB34" s="6"/>
      <c r="CC34" s="74"/>
      <c r="CD34" s="120"/>
      <c r="CE34" s="121"/>
      <c r="CF34" s="6"/>
      <c r="CG34" s="74"/>
      <c r="CH34" s="120"/>
      <c r="CI34" s="121"/>
      <c r="CJ34" s="6"/>
      <c r="CK34" s="74"/>
      <c r="CL34" s="120"/>
      <c r="CM34" s="121"/>
      <c r="CN34" s="6"/>
      <c r="CO34" s="74"/>
      <c r="CP34" s="120"/>
      <c r="CQ34" s="121"/>
      <c r="CR34" s="6"/>
      <c r="CS34" s="74"/>
      <c r="CT34" s="120"/>
      <c r="CU34" s="121"/>
      <c r="CV34" s="6"/>
      <c r="CW34" s="74"/>
      <c r="CX34" s="120"/>
      <c r="CY34" s="121"/>
      <c r="CZ34" s="6"/>
      <c r="DA34" s="74"/>
      <c r="DB34" s="120"/>
      <c r="DC34" s="121"/>
      <c r="DD34" s="6"/>
      <c r="DE34" s="74"/>
      <c r="DF34" s="120"/>
      <c r="DG34" s="121"/>
      <c r="DH34" s="6"/>
      <c r="DI34" s="74"/>
      <c r="DJ34" s="120"/>
      <c r="DK34" s="121"/>
      <c r="DL34" s="6"/>
      <c r="DM34" s="74"/>
      <c r="DN34" s="120"/>
      <c r="DO34" s="121"/>
      <c r="DP34" s="6"/>
      <c r="DQ34" s="74"/>
      <c r="DR34" s="120"/>
      <c r="DS34" s="121"/>
      <c r="DT34" s="6"/>
      <c r="DU34" s="74"/>
      <c r="DV34" s="120"/>
      <c r="DW34" s="121"/>
      <c r="DX34" s="6"/>
      <c r="DY34" s="74"/>
      <c r="DZ34" s="120"/>
      <c r="EA34" s="121"/>
      <c r="EB34" s="6"/>
      <c r="EC34" s="74"/>
      <c r="ED34" s="120"/>
      <c r="EE34" s="121"/>
      <c r="EF34" s="6"/>
      <c r="EG34" s="74"/>
      <c r="EH34" s="120"/>
      <c r="EI34" s="121"/>
      <c r="EJ34" s="6"/>
      <c r="EK34" s="74"/>
      <c r="EL34" s="120"/>
      <c r="EM34" s="121"/>
    </row>
    <row r="35" spans="1:143" ht="19.5" customHeight="1" x14ac:dyDescent="0.2">
      <c r="A35" s="117"/>
      <c r="B35" s="118"/>
      <c r="C35" s="119"/>
      <c r="D35" s="6"/>
      <c r="E35" s="74"/>
      <c r="F35" s="120"/>
      <c r="G35" s="121"/>
      <c r="H35" s="6"/>
      <c r="I35" s="74"/>
      <c r="J35" s="120"/>
      <c r="K35" s="121"/>
      <c r="L35" s="6"/>
      <c r="M35" s="74"/>
      <c r="N35" s="120"/>
      <c r="O35" s="121"/>
      <c r="P35" s="6"/>
      <c r="Q35" s="74"/>
      <c r="R35" s="120"/>
      <c r="S35" s="121"/>
      <c r="T35" s="6"/>
      <c r="U35" s="74"/>
      <c r="V35" s="120"/>
      <c r="W35" s="121"/>
      <c r="X35" s="6"/>
      <c r="Y35" s="74"/>
      <c r="Z35" s="120"/>
      <c r="AA35" s="121"/>
      <c r="AB35" s="6"/>
      <c r="AC35" s="74"/>
      <c r="AD35" s="120"/>
      <c r="AE35" s="121"/>
      <c r="AF35" s="6"/>
      <c r="AG35" s="74"/>
      <c r="AH35" s="120"/>
      <c r="AI35" s="121"/>
      <c r="AJ35" s="6"/>
      <c r="AK35" s="74"/>
      <c r="AL35" s="120"/>
      <c r="AM35" s="121"/>
      <c r="AN35" s="6"/>
      <c r="AO35" s="74"/>
      <c r="AP35" s="120"/>
      <c r="AQ35" s="121"/>
      <c r="AR35" s="6"/>
      <c r="AS35" s="74"/>
      <c r="AT35" s="120"/>
      <c r="AU35" s="121"/>
      <c r="AV35" s="6"/>
      <c r="AW35" s="74"/>
      <c r="AX35" s="120"/>
      <c r="AY35" s="121"/>
      <c r="AZ35" s="6"/>
      <c r="BA35" s="74"/>
      <c r="BB35" s="120"/>
      <c r="BC35" s="121"/>
      <c r="BD35" s="6"/>
      <c r="BE35" s="74"/>
      <c r="BF35" s="120"/>
      <c r="BG35" s="121"/>
      <c r="BH35" s="6"/>
      <c r="BI35" s="74"/>
      <c r="BJ35" s="120"/>
      <c r="BK35" s="121"/>
      <c r="BL35" s="6"/>
      <c r="BM35" s="74"/>
      <c r="BN35" s="120"/>
      <c r="BO35" s="121"/>
      <c r="BP35" s="6"/>
      <c r="BQ35" s="74"/>
      <c r="BR35" s="120"/>
      <c r="BS35" s="121"/>
      <c r="BT35" s="6"/>
      <c r="BU35" s="74"/>
      <c r="BV35" s="120"/>
      <c r="BW35" s="121"/>
      <c r="BX35" s="6"/>
      <c r="BY35" s="74"/>
      <c r="BZ35" s="120"/>
      <c r="CA35" s="121"/>
      <c r="CB35" s="6"/>
      <c r="CC35" s="74"/>
      <c r="CD35" s="120"/>
      <c r="CE35" s="121"/>
      <c r="CF35" s="6"/>
      <c r="CG35" s="74"/>
      <c r="CH35" s="120"/>
      <c r="CI35" s="121"/>
      <c r="CJ35" s="6"/>
      <c r="CK35" s="74"/>
      <c r="CL35" s="120"/>
      <c r="CM35" s="121"/>
      <c r="CN35" s="6"/>
      <c r="CO35" s="74"/>
      <c r="CP35" s="120"/>
      <c r="CQ35" s="121"/>
      <c r="CR35" s="6"/>
      <c r="CS35" s="74"/>
      <c r="CT35" s="120"/>
      <c r="CU35" s="121"/>
      <c r="CV35" s="6"/>
      <c r="CW35" s="74"/>
      <c r="CX35" s="120"/>
      <c r="CY35" s="121"/>
      <c r="CZ35" s="6"/>
      <c r="DA35" s="74"/>
      <c r="DB35" s="120"/>
      <c r="DC35" s="121"/>
      <c r="DD35" s="6"/>
      <c r="DE35" s="74"/>
      <c r="DF35" s="120"/>
      <c r="DG35" s="121"/>
      <c r="DH35" s="6"/>
      <c r="DI35" s="74"/>
      <c r="DJ35" s="120"/>
      <c r="DK35" s="121"/>
      <c r="DL35" s="6"/>
      <c r="DM35" s="74"/>
      <c r="DN35" s="120"/>
      <c r="DO35" s="121"/>
      <c r="DP35" s="6"/>
      <c r="DQ35" s="74"/>
      <c r="DR35" s="120"/>
      <c r="DS35" s="121"/>
      <c r="DT35" s="6"/>
      <c r="DU35" s="74"/>
      <c r="DV35" s="120"/>
      <c r="DW35" s="121"/>
      <c r="DX35" s="6"/>
      <c r="DY35" s="74"/>
      <c r="DZ35" s="120"/>
      <c r="EA35" s="121"/>
      <c r="EB35" s="6"/>
      <c r="EC35" s="74"/>
      <c r="ED35" s="120"/>
      <c r="EE35" s="121"/>
      <c r="EF35" s="6"/>
      <c r="EG35" s="74"/>
      <c r="EH35" s="120"/>
      <c r="EI35" s="121"/>
      <c r="EJ35" s="6"/>
      <c r="EK35" s="74"/>
      <c r="EL35" s="120"/>
      <c r="EM35" s="121"/>
    </row>
    <row r="36" spans="1:143" ht="19.5" customHeight="1" x14ac:dyDescent="0.2">
      <c r="A36" s="117"/>
      <c r="B36" s="118"/>
      <c r="C36" s="119"/>
      <c r="D36" s="6"/>
      <c r="E36" s="74"/>
      <c r="F36" s="120"/>
      <c r="G36" s="121"/>
      <c r="H36" s="6"/>
      <c r="I36" s="74"/>
      <c r="J36" s="120"/>
      <c r="K36" s="121"/>
      <c r="L36" s="6"/>
      <c r="M36" s="74"/>
      <c r="N36" s="120"/>
      <c r="O36" s="121"/>
      <c r="P36" s="6"/>
      <c r="Q36" s="74"/>
      <c r="R36" s="120"/>
      <c r="S36" s="121"/>
      <c r="T36" s="6"/>
      <c r="U36" s="74"/>
      <c r="V36" s="120"/>
      <c r="W36" s="121"/>
      <c r="X36" s="6"/>
      <c r="Y36" s="74"/>
      <c r="Z36" s="120"/>
      <c r="AA36" s="121"/>
      <c r="AB36" s="6"/>
      <c r="AC36" s="74"/>
      <c r="AD36" s="120"/>
      <c r="AE36" s="121"/>
      <c r="AF36" s="6"/>
      <c r="AG36" s="74"/>
      <c r="AH36" s="120"/>
      <c r="AI36" s="121"/>
      <c r="AJ36" s="6"/>
      <c r="AK36" s="74"/>
      <c r="AL36" s="120"/>
      <c r="AM36" s="121"/>
      <c r="AN36" s="6"/>
      <c r="AO36" s="74"/>
      <c r="AP36" s="120"/>
      <c r="AQ36" s="121"/>
      <c r="AR36" s="6"/>
      <c r="AS36" s="74"/>
      <c r="AT36" s="120"/>
      <c r="AU36" s="121"/>
      <c r="AV36" s="6"/>
      <c r="AW36" s="74"/>
      <c r="AX36" s="120"/>
      <c r="AY36" s="121"/>
      <c r="AZ36" s="6"/>
      <c r="BA36" s="74"/>
      <c r="BB36" s="120"/>
      <c r="BC36" s="121"/>
      <c r="BD36" s="6"/>
      <c r="BE36" s="74"/>
      <c r="BF36" s="120"/>
      <c r="BG36" s="121"/>
      <c r="BH36" s="6"/>
      <c r="BI36" s="74"/>
      <c r="BJ36" s="120"/>
      <c r="BK36" s="121"/>
      <c r="BL36" s="6"/>
      <c r="BM36" s="74"/>
      <c r="BN36" s="120"/>
      <c r="BO36" s="121"/>
      <c r="BP36" s="6"/>
      <c r="BQ36" s="74"/>
      <c r="BR36" s="120"/>
      <c r="BS36" s="121"/>
      <c r="BT36" s="6"/>
      <c r="BU36" s="74"/>
      <c r="BV36" s="120"/>
      <c r="BW36" s="121"/>
      <c r="BX36" s="6"/>
      <c r="BY36" s="74"/>
      <c r="BZ36" s="120"/>
      <c r="CA36" s="121"/>
      <c r="CB36" s="6"/>
      <c r="CC36" s="74"/>
      <c r="CD36" s="120"/>
      <c r="CE36" s="121"/>
      <c r="CF36" s="6"/>
      <c r="CG36" s="74"/>
      <c r="CH36" s="120"/>
      <c r="CI36" s="121"/>
      <c r="CJ36" s="6"/>
      <c r="CK36" s="74"/>
      <c r="CL36" s="120"/>
      <c r="CM36" s="121"/>
      <c r="CN36" s="6"/>
      <c r="CO36" s="74"/>
      <c r="CP36" s="120"/>
      <c r="CQ36" s="121"/>
      <c r="CR36" s="6"/>
      <c r="CS36" s="74"/>
      <c r="CT36" s="120"/>
      <c r="CU36" s="121"/>
      <c r="CV36" s="6"/>
      <c r="CW36" s="74"/>
      <c r="CX36" s="120"/>
      <c r="CY36" s="121"/>
      <c r="CZ36" s="6"/>
      <c r="DA36" s="74"/>
      <c r="DB36" s="120"/>
      <c r="DC36" s="121"/>
      <c r="DD36" s="6"/>
      <c r="DE36" s="74"/>
      <c r="DF36" s="120"/>
      <c r="DG36" s="121"/>
      <c r="DH36" s="6"/>
      <c r="DI36" s="74"/>
      <c r="DJ36" s="120"/>
      <c r="DK36" s="121"/>
      <c r="DL36" s="6"/>
      <c r="DM36" s="74"/>
      <c r="DN36" s="120"/>
      <c r="DO36" s="121"/>
      <c r="DP36" s="6"/>
      <c r="DQ36" s="74"/>
      <c r="DR36" s="120"/>
      <c r="DS36" s="121"/>
      <c r="DT36" s="6"/>
      <c r="DU36" s="74"/>
      <c r="DV36" s="120"/>
      <c r="DW36" s="121"/>
      <c r="DX36" s="6"/>
      <c r="DY36" s="74"/>
      <c r="DZ36" s="120"/>
      <c r="EA36" s="121"/>
      <c r="EB36" s="6"/>
      <c r="EC36" s="74"/>
      <c r="ED36" s="120"/>
      <c r="EE36" s="121"/>
      <c r="EF36" s="6"/>
      <c r="EG36" s="74"/>
      <c r="EH36" s="120"/>
      <c r="EI36" s="121"/>
      <c r="EJ36" s="6"/>
      <c r="EK36" s="74"/>
      <c r="EL36" s="120"/>
      <c r="EM36" s="121"/>
    </row>
    <row r="37" spans="1:143" ht="19.5" customHeight="1" x14ac:dyDescent="0.2">
      <c r="A37" s="117"/>
      <c r="B37" s="118"/>
      <c r="C37" s="119"/>
      <c r="D37" s="6"/>
      <c r="E37" s="74"/>
      <c r="F37" s="120"/>
      <c r="G37" s="121"/>
      <c r="H37" s="6"/>
      <c r="I37" s="74"/>
      <c r="J37" s="120"/>
      <c r="K37" s="121"/>
      <c r="L37" s="6"/>
      <c r="M37" s="74"/>
      <c r="N37" s="120"/>
      <c r="O37" s="121"/>
      <c r="P37" s="6"/>
      <c r="Q37" s="74"/>
      <c r="R37" s="120"/>
      <c r="S37" s="121"/>
      <c r="T37" s="6"/>
      <c r="U37" s="74"/>
      <c r="V37" s="120"/>
      <c r="W37" s="121"/>
      <c r="X37" s="6"/>
      <c r="Y37" s="74"/>
      <c r="Z37" s="120"/>
      <c r="AA37" s="121"/>
      <c r="AB37" s="6"/>
      <c r="AC37" s="74"/>
      <c r="AD37" s="120"/>
      <c r="AE37" s="121"/>
      <c r="AF37" s="6"/>
      <c r="AG37" s="74"/>
      <c r="AH37" s="120"/>
      <c r="AI37" s="121"/>
      <c r="AJ37" s="6"/>
      <c r="AK37" s="74"/>
      <c r="AL37" s="120"/>
      <c r="AM37" s="121"/>
      <c r="AN37" s="6"/>
      <c r="AO37" s="74"/>
      <c r="AP37" s="120"/>
      <c r="AQ37" s="121"/>
      <c r="AR37" s="6"/>
      <c r="AS37" s="74"/>
      <c r="AT37" s="120"/>
      <c r="AU37" s="121"/>
      <c r="AV37" s="6"/>
      <c r="AW37" s="74"/>
      <c r="AX37" s="120"/>
      <c r="AY37" s="121"/>
      <c r="AZ37" s="6"/>
      <c r="BA37" s="74"/>
      <c r="BB37" s="120"/>
      <c r="BC37" s="121"/>
      <c r="BD37" s="6"/>
      <c r="BE37" s="74"/>
      <c r="BF37" s="120"/>
      <c r="BG37" s="121"/>
      <c r="BH37" s="6"/>
      <c r="BI37" s="74"/>
      <c r="BJ37" s="120"/>
      <c r="BK37" s="121"/>
      <c r="BL37" s="6"/>
      <c r="BM37" s="74"/>
      <c r="BN37" s="120"/>
      <c r="BO37" s="121"/>
      <c r="BP37" s="6"/>
      <c r="BQ37" s="74"/>
      <c r="BR37" s="120"/>
      <c r="BS37" s="121"/>
      <c r="BT37" s="6"/>
      <c r="BU37" s="74"/>
      <c r="BV37" s="120"/>
      <c r="BW37" s="121"/>
      <c r="BX37" s="6"/>
      <c r="BY37" s="74"/>
      <c r="BZ37" s="120"/>
      <c r="CA37" s="121"/>
      <c r="CB37" s="6"/>
      <c r="CC37" s="74"/>
      <c r="CD37" s="120"/>
      <c r="CE37" s="121"/>
      <c r="CF37" s="6"/>
      <c r="CG37" s="74"/>
      <c r="CH37" s="120"/>
      <c r="CI37" s="121"/>
      <c r="CJ37" s="6"/>
      <c r="CK37" s="74"/>
      <c r="CL37" s="120"/>
      <c r="CM37" s="121"/>
      <c r="CN37" s="6"/>
      <c r="CO37" s="74"/>
      <c r="CP37" s="120"/>
      <c r="CQ37" s="121"/>
      <c r="CR37" s="6"/>
      <c r="CS37" s="74"/>
      <c r="CT37" s="120"/>
      <c r="CU37" s="121"/>
      <c r="CV37" s="6"/>
      <c r="CW37" s="74"/>
      <c r="CX37" s="120"/>
      <c r="CY37" s="121"/>
      <c r="CZ37" s="6"/>
      <c r="DA37" s="74"/>
      <c r="DB37" s="120"/>
      <c r="DC37" s="121"/>
      <c r="DD37" s="6"/>
      <c r="DE37" s="74"/>
      <c r="DF37" s="120"/>
      <c r="DG37" s="121"/>
      <c r="DH37" s="6"/>
      <c r="DI37" s="74"/>
      <c r="DJ37" s="120"/>
      <c r="DK37" s="121"/>
      <c r="DL37" s="6"/>
      <c r="DM37" s="74"/>
      <c r="DN37" s="120"/>
      <c r="DO37" s="121"/>
      <c r="DP37" s="6"/>
      <c r="DQ37" s="74"/>
      <c r="DR37" s="120"/>
      <c r="DS37" s="121"/>
      <c r="DT37" s="6"/>
      <c r="DU37" s="74"/>
      <c r="DV37" s="120"/>
      <c r="DW37" s="121"/>
      <c r="DX37" s="6"/>
      <c r="DY37" s="74"/>
      <c r="DZ37" s="120"/>
      <c r="EA37" s="121"/>
      <c r="EB37" s="6"/>
      <c r="EC37" s="74"/>
      <c r="ED37" s="120"/>
      <c r="EE37" s="121"/>
      <c r="EF37" s="6"/>
      <c r="EG37" s="74"/>
      <c r="EH37" s="120"/>
      <c r="EI37" s="121"/>
      <c r="EJ37" s="6"/>
      <c r="EK37" s="74"/>
      <c r="EL37" s="120"/>
      <c r="EM37" s="121"/>
    </row>
    <row r="38" spans="1:143" ht="19.5" customHeight="1" x14ac:dyDescent="0.2">
      <c r="A38" s="117"/>
      <c r="B38" s="118"/>
      <c r="C38" s="119"/>
      <c r="D38" s="6"/>
      <c r="E38" s="74"/>
      <c r="F38" s="120"/>
      <c r="G38" s="121"/>
      <c r="H38" s="6"/>
      <c r="I38" s="74"/>
      <c r="J38" s="120"/>
      <c r="K38" s="121"/>
      <c r="L38" s="6"/>
      <c r="M38" s="74"/>
      <c r="N38" s="120"/>
      <c r="O38" s="121"/>
      <c r="P38" s="6"/>
      <c r="Q38" s="74"/>
      <c r="R38" s="120"/>
      <c r="S38" s="121"/>
      <c r="T38" s="6"/>
      <c r="U38" s="74"/>
      <c r="V38" s="120"/>
      <c r="W38" s="121"/>
      <c r="X38" s="6"/>
      <c r="Y38" s="74"/>
      <c r="Z38" s="120"/>
      <c r="AA38" s="121"/>
      <c r="AB38" s="6"/>
      <c r="AC38" s="74"/>
      <c r="AD38" s="120"/>
      <c r="AE38" s="121"/>
      <c r="AF38" s="6"/>
      <c r="AG38" s="74"/>
      <c r="AH38" s="120"/>
      <c r="AI38" s="121"/>
      <c r="AJ38" s="6"/>
      <c r="AK38" s="74"/>
      <c r="AL38" s="120"/>
      <c r="AM38" s="121"/>
      <c r="AN38" s="6"/>
      <c r="AO38" s="74"/>
      <c r="AP38" s="120"/>
      <c r="AQ38" s="121"/>
      <c r="AR38" s="6"/>
      <c r="AS38" s="74"/>
      <c r="AT38" s="120"/>
      <c r="AU38" s="121"/>
      <c r="AV38" s="6"/>
      <c r="AW38" s="74"/>
      <c r="AX38" s="120"/>
      <c r="AY38" s="121"/>
      <c r="AZ38" s="6"/>
      <c r="BA38" s="74"/>
      <c r="BB38" s="120"/>
      <c r="BC38" s="121"/>
      <c r="BD38" s="6"/>
      <c r="BE38" s="74"/>
      <c r="BF38" s="120"/>
      <c r="BG38" s="121"/>
      <c r="BH38" s="6"/>
      <c r="BI38" s="74"/>
      <c r="BJ38" s="120"/>
      <c r="BK38" s="121"/>
      <c r="BL38" s="6"/>
      <c r="BM38" s="74"/>
      <c r="BN38" s="120"/>
      <c r="BO38" s="121"/>
      <c r="BP38" s="6"/>
      <c r="BQ38" s="74"/>
      <c r="BR38" s="120"/>
      <c r="BS38" s="121"/>
      <c r="BT38" s="6"/>
      <c r="BU38" s="74"/>
      <c r="BV38" s="120"/>
      <c r="BW38" s="121"/>
      <c r="BX38" s="6"/>
      <c r="BY38" s="74"/>
      <c r="BZ38" s="120"/>
      <c r="CA38" s="121"/>
      <c r="CB38" s="6"/>
      <c r="CC38" s="74"/>
      <c r="CD38" s="120"/>
      <c r="CE38" s="121"/>
      <c r="CF38" s="6"/>
      <c r="CG38" s="74"/>
      <c r="CH38" s="120"/>
      <c r="CI38" s="121"/>
      <c r="CJ38" s="6"/>
      <c r="CK38" s="74"/>
      <c r="CL38" s="120"/>
      <c r="CM38" s="121"/>
      <c r="CN38" s="6"/>
      <c r="CO38" s="74"/>
      <c r="CP38" s="120"/>
      <c r="CQ38" s="121"/>
      <c r="CR38" s="6"/>
      <c r="CS38" s="74"/>
      <c r="CT38" s="120"/>
      <c r="CU38" s="121"/>
      <c r="CV38" s="6"/>
      <c r="CW38" s="74"/>
      <c r="CX38" s="120"/>
      <c r="CY38" s="121"/>
      <c r="CZ38" s="6"/>
      <c r="DA38" s="74"/>
      <c r="DB38" s="120"/>
      <c r="DC38" s="121"/>
      <c r="DD38" s="6"/>
      <c r="DE38" s="74"/>
      <c r="DF38" s="120"/>
      <c r="DG38" s="121"/>
      <c r="DH38" s="6"/>
      <c r="DI38" s="74"/>
      <c r="DJ38" s="120"/>
      <c r="DK38" s="121"/>
      <c r="DL38" s="6"/>
      <c r="DM38" s="74"/>
      <c r="DN38" s="120"/>
      <c r="DO38" s="121"/>
      <c r="DP38" s="6"/>
      <c r="DQ38" s="74"/>
      <c r="DR38" s="120"/>
      <c r="DS38" s="121"/>
      <c r="DT38" s="6"/>
      <c r="DU38" s="74"/>
      <c r="DV38" s="120"/>
      <c r="DW38" s="121"/>
      <c r="DX38" s="6"/>
      <c r="DY38" s="74"/>
      <c r="DZ38" s="120"/>
      <c r="EA38" s="121"/>
      <c r="EB38" s="6"/>
      <c r="EC38" s="74"/>
      <c r="ED38" s="120"/>
      <c r="EE38" s="121"/>
      <c r="EF38" s="6"/>
      <c r="EG38" s="74"/>
      <c r="EH38" s="120"/>
      <c r="EI38" s="121"/>
      <c r="EJ38" s="6"/>
      <c r="EK38" s="74"/>
      <c r="EL38" s="120"/>
      <c r="EM38" s="121"/>
    </row>
    <row r="39" spans="1:143" ht="19.5" customHeight="1" x14ac:dyDescent="0.2">
      <c r="A39" s="117"/>
      <c r="B39" s="118"/>
      <c r="C39" s="119"/>
      <c r="D39" s="6"/>
      <c r="E39" s="74"/>
      <c r="F39" s="120"/>
      <c r="G39" s="121"/>
      <c r="H39" s="6"/>
      <c r="I39" s="74"/>
      <c r="J39" s="120"/>
      <c r="K39" s="121"/>
      <c r="L39" s="6"/>
      <c r="M39" s="74"/>
      <c r="N39" s="120"/>
      <c r="O39" s="121"/>
      <c r="P39" s="6"/>
      <c r="Q39" s="74"/>
      <c r="R39" s="120"/>
      <c r="S39" s="121"/>
      <c r="T39" s="6"/>
      <c r="U39" s="74"/>
      <c r="V39" s="120"/>
      <c r="W39" s="121"/>
      <c r="X39" s="6"/>
      <c r="Y39" s="74"/>
      <c r="Z39" s="120"/>
      <c r="AA39" s="121"/>
      <c r="AB39" s="6"/>
      <c r="AC39" s="74"/>
      <c r="AD39" s="120"/>
      <c r="AE39" s="121"/>
      <c r="AF39" s="6"/>
      <c r="AG39" s="74"/>
      <c r="AH39" s="120"/>
      <c r="AI39" s="121"/>
      <c r="AJ39" s="6"/>
      <c r="AK39" s="74"/>
      <c r="AL39" s="120"/>
      <c r="AM39" s="121"/>
      <c r="AN39" s="6"/>
      <c r="AO39" s="74"/>
      <c r="AP39" s="120"/>
      <c r="AQ39" s="121"/>
      <c r="AR39" s="6"/>
      <c r="AS39" s="74"/>
      <c r="AT39" s="120"/>
      <c r="AU39" s="121"/>
      <c r="AV39" s="6"/>
      <c r="AW39" s="74"/>
      <c r="AX39" s="120"/>
      <c r="AY39" s="121"/>
      <c r="AZ39" s="6"/>
      <c r="BA39" s="74"/>
      <c r="BB39" s="120"/>
      <c r="BC39" s="121"/>
      <c r="BD39" s="6"/>
      <c r="BE39" s="74"/>
      <c r="BF39" s="120"/>
      <c r="BG39" s="121"/>
      <c r="BH39" s="6"/>
      <c r="BI39" s="74"/>
      <c r="BJ39" s="120"/>
      <c r="BK39" s="121"/>
      <c r="BL39" s="6"/>
      <c r="BM39" s="74"/>
      <c r="BN39" s="120"/>
      <c r="BO39" s="121"/>
      <c r="BP39" s="6"/>
      <c r="BQ39" s="74"/>
      <c r="BR39" s="120"/>
      <c r="BS39" s="121"/>
      <c r="BT39" s="6"/>
      <c r="BU39" s="74"/>
      <c r="BV39" s="120"/>
      <c r="BW39" s="121"/>
      <c r="BX39" s="6"/>
      <c r="BY39" s="74"/>
      <c r="BZ39" s="120"/>
      <c r="CA39" s="121"/>
      <c r="CB39" s="6"/>
      <c r="CC39" s="74"/>
      <c r="CD39" s="120"/>
      <c r="CE39" s="121"/>
      <c r="CF39" s="6"/>
      <c r="CG39" s="74"/>
      <c r="CH39" s="120"/>
      <c r="CI39" s="121"/>
      <c r="CJ39" s="6"/>
      <c r="CK39" s="74"/>
      <c r="CL39" s="120"/>
      <c r="CM39" s="121"/>
      <c r="CN39" s="6"/>
      <c r="CO39" s="74"/>
      <c r="CP39" s="120"/>
      <c r="CQ39" s="121"/>
      <c r="CR39" s="6"/>
      <c r="CS39" s="74"/>
      <c r="CT39" s="120"/>
      <c r="CU39" s="121"/>
      <c r="CV39" s="6"/>
      <c r="CW39" s="74"/>
      <c r="CX39" s="120"/>
      <c r="CY39" s="121"/>
      <c r="CZ39" s="6"/>
      <c r="DA39" s="74"/>
      <c r="DB39" s="120"/>
      <c r="DC39" s="121"/>
      <c r="DD39" s="6"/>
      <c r="DE39" s="74"/>
      <c r="DF39" s="120"/>
      <c r="DG39" s="121"/>
      <c r="DH39" s="6"/>
      <c r="DI39" s="74"/>
      <c r="DJ39" s="120"/>
      <c r="DK39" s="121"/>
      <c r="DL39" s="6"/>
      <c r="DM39" s="74"/>
      <c r="DN39" s="120"/>
      <c r="DO39" s="121"/>
      <c r="DP39" s="6"/>
      <c r="DQ39" s="74"/>
      <c r="DR39" s="120"/>
      <c r="DS39" s="121"/>
      <c r="DT39" s="6"/>
      <c r="DU39" s="74"/>
      <c r="DV39" s="120"/>
      <c r="DW39" s="121"/>
      <c r="DX39" s="6"/>
      <c r="DY39" s="74"/>
      <c r="DZ39" s="120"/>
      <c r="EA39" s="121"/>
      <c r="EB39" s="6"/>
      <c r="EC39" s="74"/>
      <c r="ED39" s="120"/>
      <c r="EE39" s="121"/>
      <c r="EF39" s="6"/>
      <c r="EG39" s="74"/>
      <c r="EH39" s="120"/>
      <c r="EI39" s="121"/>
      <c r="EJ39" s="6"/>
      <c r="EK39" s="74"/>
      <c r="EL39" s="120"/>
      <c r="EM39" s="121"/>
    </row>
    <row r="40" spans="1:143" ht="19.5" customHeight="1" x14ac:dyDescent="0.2">
      <c r="A40" s="117"/>
      <c r="B40" s="118"/>
      <c r="C40" s="119"/>
      <c r="D40" s="6"/>
      <c r="E40" s="74"/>
      <c r="F40" s="120"/>
      <c r="G40" s="121"/>
      <c r="H40" s="6"/>
      <c r="I40" s="74"/>
      <c r="J40" s="120"/>
      <c r="K40" s="121"/>
      <c r="L40" s="6"/>
      <c r="M40" s="74"/>
      <c r="N40" s="120"/>
      <c r="O40" s="121"/>
      <c r="P40" s="6"/>
      <c r="Q40" s="74"/>
      <c r="R40" s="120"/>
      <c r="S40" s="121"/>
      <c r="T40" s="6"/>
      <c r="U40" s="74"/>
      <c r="V40" s="120"/>
      <c r="W40" s="121"/>
      <c r="X40" s="6"/>
      <c r="Y40" s="74"/>
      <c r="Z40" s="120"/>
      <c r="AA40" s="121"/>
      <c r="AB40" s="6"/>
      <c r="AC40" s="74"/>
      <c r="AD40" s="120"/>
      <c r="AE40" s="121"/>
      <c r="AF40" s="6"/>
      <c r="AG40" s="74"/>
      <c r="AH40" s="120"/>
      <c r="AI40" s="121"/>
      <c r="AJ40" s="6"/>
      <c r="AK40" s="74"/>
      <c r="AL40" s="120"/>
      <c r="AM40" s="121"/>
      <c r="AN40" s="6"/>
      <c r="AO40" s="74"/>
      <c r="AP40" s="120"/>
      <c r="AQ40" s="121"/>
      <c r="AR40" s="6"/>
      <c r="AS40" s="74"/>
      <c r="AT40" s="120"/>
      <c r="AU40" s="121"/>
      <c r="AV40" s="6"/>
      <c r="AW40" s="74"/>
      <c r="AX40" s="120"/>
      <c r="AY40" s="121"/>
      <c r="AZ40" s="6"/>
      <c r="BA40" s="74"/>
      <c r="BB40" s="120"/>
      <c r="BC40" s="121"/>
      <c r="BD40" s="6"/>
      <c r="BE40" s="74"/>
      <c r="BF40" s="120"/>
      <c r="BG40" s="121"/>
      <c r="BH40" s="6"/>
      <c r="BI40" s="74"/>
      <c r="BJ40" s="120"/>
      <c r="BK40" s="121"/>
      <c r="BL40" s="6"/>
      <c r="BM40" s="74"/>
      <c r="BN40" s="120"/>
      <c r="BO40" s="121"/>
      <c r="BP40" s="6"/>
      <c r="BQ40" s="74"/>
      <c r="BR40" s="120"/>
      <c r="BS40" s="121"/>
      <c r="BT40" s="6"/>
      <c r="BU40" s="74"/>
      <c r="BV40" s="120"/>
      <c r="BW40" s="121"/>
      <c r="BX40" s="6"/>
      <c r="BY40" s="74"/>
      <c r="BZ40" s="120"/>
      <c r="CA40" s="121"/>
      <c r="CB40" s="6"/>
      <c r="CC40" s="74"/>
      <c r="CD40" s="120"/>
      <c r="CE40" s="121"/>
      <c r="CF40" s="6"/>
      <c r="CG40" s="74"/>
      <c r="CH40" s="120"/>
      <c r="CI40" s="121"/>
      <c r="CJ40" s="6"/>
      <c r="CK40" s="74"/>
      <c r="CL40" s="120"/>
      <c r="CM40" s="121"/>
      <c r="CN40" s="6"/>
      <c r="CO40" s="74"/>
      <c r="CP40" s="120"/>
      <c r="CQ40" s="121"/>
      <c r="CR40" s="6"/>
      <c r="CS40" s="74"/>
      <c r="CT40" s="120"/>
      <c r="CU40" s="121"/>
      <c r="CV40" s="6"/>
      <c r="CW40" s="74"/>
      <c r="CX40" s="120"/>
      <c r="CY40" s="121"/>
      <c r="CZ40" s="6"/>
      <c r="DA40" s="74"/>
      <c r="DB40" s="120"/>
      <c r="DC40" s="121"/>
      <c r="DD40" s="6"/>
      <c r="DE40" s="74"/>
      <c r="DF40" s="120"/>
      <c r="DG40" s="121"/>
      <c r="DH40" s="6"/>
      <c r="DI40" s="74"/>
      <c r="DJ40" s="120"/>
      <c r="DK40" s="121"/>
      <c r="DL40" s="6"/>
      <c r="DM40" s="74"/>
      <c r="DN40" s="120"/>
      <c r="DO40" s="121"/>
      <c r="DP40" s="6"/>
      <c r="DQ40" s="74"/>
      <c r="DR40" s="120"/>
      <c r="DS40" s="121"/>
      <c r="DT40" s="6"/>
      <c r="DU40" s="74"/>
      <c r="DV40" s="120"/>
      <c r="DW40" s="121"/>
      <c r="DX40" s="6"/>
      <c r="DY40" s="74"/>
      <c r="DZ40" s="120"/>
      <c r="EA40" s="121"/>
      <c r="EB40" s="6"/>
      <c r="EC40" s="74"/>
      <c r="ED40" s="120"/>
      <c r="EE40" s="121"/>
      <c r="EF40" s="6"/>
      <c r="EG40" s="74"/>
      <c r="EH40" s="120"/>
      <c r="EI40" s="121"/>
      <c r="EJ40" s="6"/>
      <c r="EK40" s="74"/>
      <c r="EL40" s="120"/>
      <c r="EM40" s="121"/>
    </row>
    <row r="41" spans="1:143" ht="19.5" customHeight="1" x14ac:dyDescent="0.2">
      <c r="A41" s="117"/>
      <c r="B41" s="118"/>
      <c r="C41" s="119"/>
      <c r="D41" s="6"/>
      <c r="E41" s="74"/>
      <c r="F41" s="120"/>
      <c r="G41" s="121"/>
      <c r="H41" s="6"/>
      <c r="I41" s="74"/>
      <c r="J41" s="120"/>
      <c r="K41" s="121"/>
      <c r="L41" s="6"/>
      <c r="M41" s="74"/>
      <c r="N41" s="120"/>
      <c r="O41" s="121"/>
      <c r="P41" s="6"/>
      <c r="Q41" s="74"/>
      <c r="R41" s="120"/>
      <c r="S41" s="121"/>
      <c r="T41" s="6"/>
      <c r="U41" s="74"/>
      <c r="V41" s="120"/>
      <c r="W41" s="121"/>
      <c r="X41" s="6"/>
      <c r="Y41" s="74"/>
      <c r="Z41" s="120"/>
      <c r="AA41" s="121"/>
      <c r="AB41" s="6"/>
      <c r="AC41" s="74"/>
      <c r="AD41" s="120"/>
      <c r="AE41" s="121"/>
      <c r="AF41" s="6"/>
      <c r="AG41" s="74"/>
      <c r="AH41" s="120"/>
      <c r="AI41" s="121"/>
      <c r="AJ41" s="6"/>
      <c r="AK41" s="74"/>
      <c r="AL41" s="120"/>
      <c r="AM41" s="121"/>
      <c r="AN41" s="6"/>
      <c r="AO41" s="74"/>
      <c r="AP41" s="120"/>
      <c r="AQ41" s="121"/>
      <c r="AR41" s="6"/>
      <c r="AS41" s="74"/>
      <c r="AT41" s="120"/>
      <c r="AU41" s="121"/>
      <c r="AV41" s="6"/>
      <c r="AW41" s="74"/>
      <c r="AX41" s="120"/>
      <c r="AY41" s="121"/>
      <c r="AZ41" s="6"/>
      <c r="BA41" s="74"/>
      <c r="BB41" s="120"/>
      <c r="BC41" s="121"/>
      <c r="BD41" s="6"/>
      <c r="BE41" s="74"/>
      <c r="BF41" s="120"/>
      <c r="BG41" s="121"/>
      <c r="BH41" s="6"/>
      <c r="BI41" s="74"/>
      <c r="BJ41" s="120"/>
      <c r="BK41" s="121"/>
      <c r="BL41" s="6"/>
      <c r="BM41" s="74"/>
      <c r="BN41" s="120"/>
      <c r="BO41" s="121"/>
      <c r="BP41" s="6"/>
      <c r="BQ41" s="74"/>
      <c r="BR41" s="120"/>
      <c r="BS41" s="121"/>
      <c r="BT41" s="6"/>
      <c r="BU41" s="74"/>
      <c r="BV41" s="120"/>
      <c r="BW41" s="121"/>
      <c r="BX41" s="6"/>
      <c r="BY41" s="74"/>
      <c r="BZ41" s="120"/>
      <c r="CA41" s="121"/>
      <c r="CB41" s="6"/>
      <c r="CC41" s="74"/>
      <c r="CD41" s="120"/>
      <c r="CE41" s="121"/>
      <c r="CF41" s="6"/>
      <c r="CG41" s="74"/>
      <c r="CH41" s="120"/>
      <c r="CI41" s="121"/>
      <c r="CJ41" s="6"/>
      <c r="CK41" s="74"/>
      <c r="CL41" s="120"/>
      <c r="CM41" s="121"/>
      <c r="CN41" s="6"/>
      <c r="CO41" s="74"/>
      <c r="CP41" s="120"/>
      <c r="CQ41" s="121"/>
      <c r="CR41" s="6"/>
      <c r="CS41" s="74"/>
      <c r="CT41" s="120"/>
      <c r="CU41" s="121"/>
      <c r="CV41" s="6"/>
      <c r="CW41" s="74"/>
      <c r="CX41" s="120"/>
      <c r="CY41" s="121"/>
      <c r="CZ41" s="6"/>
      <c r="DA41" s="74"/>
      <c r="DB41" s="120"/>
      <c r="DC41" s="121"/>
      <c r="DD41" s="6"/>
      <c r="DE41" s="74"/>
      <c r="DF41" s="120"/>
      <c r="DG41" s="121"/>
      <c r="DH41" s="6"/>
      <c r="DI41" s="74"/>
      <c r="DJ41" s="120"/>
      <c r="DK41" s="121"/>
      <c r="DL41" s="6"/>
      <c r="DM41" s="74"/>
      <c r="DN41" s="120"/>
      <c r="DO41" s="121"/>
      <c r="DP41" s="6"/>
      <c r="DQ41" s="74"/>
      <c r="DR41" s="120"/>
      <c r="DS41" s="121"/>
      <c r="DT41" s="6"/>
      <c r="DU41" s="74"/>
      <c r="DV41" s="120"/>
      <c r="DW41" s="121"/>
      <c r="DX41" s="6"/>
      <c r="DY41" s="74"/>
      <c r="DZ41" s="120"/>
      <c r="EA41" s="121"/>
      <c r="EB41" s="6"/>
      <c r="EC41" s="74"/>
      <c r="ED41" s="120"/>
      <c r="EE41" s="121"/>
      <c r="EF41" s="6"/>
      <c r="EG41" s="74"/>
      <c r="EH41" s="120"/>
      <c r="EI41" s="121"/>
      <c r="EJ41" s="6"/>
      <c r="EK41" s="74"/>
      <c r="EL41" s="120"/>
      <c r="EM41" s="121"/>
    </row>
    <row r="42" spans="1:143" ht="19.5" customHeight="1" x14ac:dyDescent="0.2">
      <c r="A42" s="117"/>
      <c r="B42" s="118"/>
      <c r="C42" s="119"/>
      <c r="D42" s="6"/>
      <c r="E42" s="74"/>
      <c r="F42" s="120"/>
      <c r="G42" s="121"/>
      <c r="H42" s="6"/>
      <c r="I42" s="74"/>
      <c r="J42" s="120"/>
      <c r="K42" s="121"/>
      <c r="L42" s="6"/>
      <c r="M42" s="74"/>
      <c r="N42" s="120"/>
      <c r="O42" s="121"/>
      <c r="P42" s="6"/>
      <c r="Q42" s="74"/>
      <c r="R42" s="120"/>
      <c r="S42" s="121"/>
      <c r="T42" s="6"/>
      <c r="U42" s="74"/>
      <c r="V42" s="120"/>
      <c r="W42" s="121"/>
      <c r="X42" s="6"/>
      <c r="Y42" s="74"/>
      <c r="Z42" s="120"/>
      <c r="AA42" s="121"/>
      <c r="AB42" s="6"/>
      <c r="AC42" s="74"/>
      <c r="AD42" s="120"/>
      <c r="AE42" s="121"/>
      <c r="AF42" s="6"/>
      <c r="AG42" s="74"/>
      <c r="AH42" s="120"/>
      <c r="AI42" s="121"/>
      <c r="AJ42" s="6"/>
      <c r="AK42" s="74"/>
      <c r="AL42" s="120"/>
      <c r="AM42" s="121"/>
      <c r="AN42" s="6"/>
      <c r="AO42" s="74"/>
      <c r="AP42" s="120"/>
      <c r="AQ42" s="121"/>
      <c r="AR42" s="6"/>
      <c r="AS42" s="74"/>
      <c r="AT42" s="120"/>
      <c r="AU42" s="121"/>
      <c r="AV42" s="6"/>
      <c r="AW42" s="74"/>
      <c r="AX42" s="120"/>
      <c r="AY42" s="121"/>
      <c r="AZ42" s="6"/>
      <c r="BA42" s="74"/>
      <c r="BB42" s="120"/>
      <c r="BC42" s="121"/>
      <c r="BD42" s="6"/>
      <c r="BE42" s="74"/>
      <c r="BF42" s="120"/>
      <c r="BG42" s="121"/>
      <c r="BH42" s="6"/>
      <c r="BI42" s="74"/>
      <c r="BJ42" s="120"/>
      <c r="BK42" s="121"/>
      <c r="BL42" s="6"/>
      <c r="BM42" s="74"/>
      <c r="BN42" s="120"/>
      <c r="BO42" s="121"/>
      <c r="BP42" s="6"/>
      <c r="BQ42" s="74"/>
      <c r="BR42" s="120"/>
      <c r="BS42" s="121"/>
      <c r="BT42" s="6"/>
      <c r="BU42" s="74"/>
      <c r="BV42" s="120"/>
      <c r="BW42" s="121"/>
      <c r="BX42" s="6"/>
      <c r="BY42" s="74"/>
      <c r="BZ42" s="120"/>
      <c r="CA42" s="121"/>
      <c r="CB42" s="6"/>
      <c r="CC42" s="74"/>
      <c r="CD42" s="120"/>
      <c r="CE42" s="121"/>
      <c r="CF42" s="6"/>
      <c r="CG42" s="74"/>
      <c r="CH42" s="120"/>
      <c r="CI42" s="121"/>
      <c r="CJ42" s="6"/>
      <c r="CK42" s="74"/>
      <c r="CL42" s="120"/>
      <c r="CM42" s="121"/>
      <c r="CN42" s="6"/>
      <c r="CO42" s="74"/>
      <c r="CP42" s="120"/>
      <c r="CQ42" s="121"/>
      <c r="CR42" s="6"/>
      <c r="CS42" s="74"/>
      <c r="CT42" s="120"/>
      <c r="CU42" s="121"/>
      <c r="CV42" s="6"/>
      <c r="CW42" s="74"/>
      <c r="CX42" s="120"/>
      <c r="CY42" s="121"/>
      <c r="CZ42" s="6"/>
      <c r="DA42" s="74"/>
      <c r="DB42" s="120"/>
      <c r="DC42" s="121"/>
      <c r="DD42" s="6"/>
      <c r="DE42" s="74"/>
      <c r="DF42" s="120"/>
      <c r="DG42" s="121"/>
      <c r="DH42" s="6"/>
      <c r="DI42" s="74"/>
      <c r="DJ42" s="120"/>
      <c r="DK42" s="121"/>
      <c r="DL42" s="6"/>
      <c r="DM42" s="74"/>
      <c r="DN42" s="120"/>
      <c r="DO42" s="121"/>
      <c r="DP42" s="6"/>
      <c r="DQ42" s="74"/>
      <c r="DR42" s="120"/>
      <c r="DS42" s="121"/>
      <c r="DT42" s="6"/>
      <c r="DU42" s="74"/>
      <c r="DV42" s="120"/>
      <c r="DW42" s="121"/>
      <c r="DX42" s="6"/>
      <c r="DY42" s="74"/>
      <c r="DZ42" s="120"/>
      <c r="EA42" s="121"/>
      <c r="EB42" s="6"/>
      <c r="EC42" s="74"/>
      <c r="ED42" s="120"/>
      <c r="EE42" s="121"/>
      <c r="EF42" s="6"/>
      <c r="EG42" s="74"/>
      <c r="EH42" s="120"/>
      <c r="EI42" s="121"/>
      <c r="EJ42" s="6"/>
      <c r="EK42" s="74"/>
      <c r="EL42" s="120"/>
      <c r="EM42" s="121"/>
    </row>
    <row r="43" spans="1:143" ht="19.5" customHeight="1" x14ac:dyDescent="0.2">
      <c r="A43" s="117"/>
      <c r="B43" s="118"/>
      <c r="C43" s="119"/>
      <c r="D43" s="6"/>
      <c r="E43" s="74"/>
      <c r="F43" s="120"/>
      <c r="G43" s="121"/>
      <c r="H43" s="6"/>
      <c r="I43" s="74"/>
      <c r="J43" s="120"/>
      <c r="K43" s="121"/>
      <c r="L43" s="6"/>
      <c r="M43" s="74"/>
      <c r="N43" s="120"/>
      <c r="O43" s="121"/>
      <c r="P43" s="6"/>
      <c r="Q43" s="74"/>
      <c r="R43" s="120"/>
      <c r="S43" s="121"/>
      <c r="T43" s="6"/>
      <c r="U43" s="74"/>
      <c r="V43" s="120"/>
      <c r="W43" s="121"/>
      <c r="X43" s="6"/>
      <c r="Y43" s="74"/>
      <c r="Z43" s="120"/>
      <c r="AA43" s="121"/>
      <c r="AB43" s="6"/>
      <c r="AC43" s="74"/>
      <c r="AD43" s="120"/>
      <c r="AE43" s="121"/>
      <c r="AF43" s="6"/>
      <c r="AG43" s="74"/>
      <c r="AH43" s="120"/>
      <c r="AI43" s="121"/>
      <c r="AJ43" s="6"/>
      <c r="AK43" s="74"/>
      <c r="AL43" s="120"/>
      <c r="AM43" s="121"/>
      <c r="AN43" s="6"/>
      <c r="AO43" s="74"/>
      <c r="AP43" s="120"/>
      <c r="AQ43" s="121"/>
      <c r="AR43" s="6"/>
      <c r="AS43" s="74"/>
      <c r="AT43" s="120"/>
      <c r="AU43" s="121"/>
      <c r="AV43" s="6"/>
      <c r="AW43" s="74"/>
      <c r="AX43" s="120"/>
      <c r="AY43" s="121"/>
      <c r="AZ43" s="6"/>
      <c r="BA43" s="74"/>
      <c r="BB43" s="120"/>
      <c r="BC43" s="121"/>
      <c r="BD43" s="6"/>
      <c r="BE43" s="74"/>
      <c r="BF43" s="120"/>
      <c r="BG43" s="121"/>
      <c r="BH43" s="6"/>
      <c r="BI43" s="74"/>
      <c r="BJ43" s="120"/>
      <c r="BK43" s="121"/>
      <c r="BL43" s="6"/>
      <c r="BM43" s="74"/>
      <c r="BN43" s="120"/>
      <c r="BO43" s="121"/>
      <c r="BP43" s="6"/>
      <c r="BQ43" s="74"/>
      <c r="BR43" s="120"/>
      <c r="BS43" s="121"/>
      <c r="BT43" s="6"/>
      <c r="BU43" s="74"/>
      <c r="BV43" s="120"/>
      <c r="BW43" s="121"/>
      <c r="BX43" s="6"/>
      <c r="BY43" s="74"/>
      <c r="BZ43" s="120"/>
      <c r="CA43" s="121"/>
      <c r="CB43" s="6"/>
      <c r="CC43" s="74"/>
      <c r="CD43" s="120"/>
      <c r="CE43" s="121"/>
      <c r="CF43" s="6"/>
      <c r="CG43" s="74"/>
      <c r="CH43" s="120"/>
      <c r="CI43" s="121"/>
      <c r="CJ43" s="6"/>
      <c r="CK43" s="74"/>
      <c r="CL43" s="120"/>
      <c r="CM43" s="121"/>
      <c r="CN43" s="6"/>
      <c r="CO43" s="74"/>
      <c r="CP43" s="120"/>
      <c r="CQ43" s="121"/>
      <c r="CR43" s="6"/>
      <c r="CS43" s="74"/>
      <c r="CT43" s="120"/>
      <c r="CU43" s="121"/>
      <c r="CV43" s="6"/>
      <c r="CW43" s="74"/>
      <c r="CX43" s="120"/>
      <c r="CY43" s="121"/>
      <c r="CZ43" s="6"/>
      <c r="DA43" s="74"/>
      <c r="DB43" s="120"/>
      <c r="DC43" s="121"/>
      <c r="DD43" s="6"/>
      <c r="DE43" s="74"/>
      <c r="DF43" s="120"/>
      <c r="DG43" s="121"/>
      <c r="DH43" s="6"/>
      <c r="DI43" s="74"/>
      <c r="DJ43" s="120"/>
      <c r="DK43" s="121"/>
      <c r="DL43" s="6"/>
      <c r="DM43" s="74"/>
      <c r="DN43" s="120"/>
      <c r="DO43" s="121"/>
      <c r="DP43" s="6"/>
      <c r="DQ43" s="74"/>
      <c r="DR43" s="120"/>
      <c r="DS43" s="121"/>
      <c r="DT43" s="6"/>
      <c r="DU43" s="74"/>
      <c r="DV43" s="120"/>
      <c r="DW43" s="121"/>
      <c r="DX43" s="6"/>
      <c r="DY43" s="74"/>
      <c r="DZ43" s="120"/>
      <c r="EA43" s="121"/>
      <c r="EB43" s="6"/>
      <c r="EC43" s="74"/>
      <c r="ED43" s="120"/>
      <c r="EE43" s="121"/>
      <c r="EF43" s="6"/>
      <c r="EG43" s="74"/>
      <c r="EH43" s="120"/>
      <c r="EI43" s="121"/>
      <c r="EJ43" s="6"/>
      <c r="EK43" s="74"/>
      <c r="EL43" s="120"/>
      <c r="EM43" s="121"/>
    </row>
    <row r="44" spans="1:143" ht="19.5" customHeight="1" x14ac:dyDescent="0.2">
      <c r="A44" s="117"/>
      <c r="B44" s="118"/>
      <c r="C44" s="119"/>
      <c r="D44" s="6"/>
      <c r="E44" s="74"/>
      <c r="F44" s="120"/>
      <c r="G44" s="121"/>
      <c r="H44" s="6"/>
      <c r="I44" s="74"/>
      <c r="J44" s="120"/>
      <c r="K44" s="121"/>
      <c r="L44" s="6"/>
      <c r="M44" s="74"/>
      <c r="N44" s="120"/>
      <c r="O44" s="121"/>
      <c r="P44" s="6"/>
      <c r="Q44" s="74"/>
      <c r="R44" s="120"/>
      <c r="S44" s="121"/>
      <c r="T44" s="6"/>
      <c r="U44" s="74"/>
      <c r="V44" s="120"/>
      <c r="W44" s="121"/>
      <c r="X44" s="6"/>
      <c r="Y44" s="74"/>
      <c r="Z44" s="120"/>
      <c r="AA44" s="121"/>
      <c r="AB44" s="6"/>
      <c r="AC44" s="74"/>
      <c r="AD44" s="120"/>
      <c r="AE44" s="121"/>
      <c r="AF44" s="6"/>
      <c r="AG44" s="74"/>
      <c r="AH44" s="120"/>
      <c r="AI44" s="121"/>
      <c r="AJ44" s="6"/>
      <c r="AK44" s="74"/>
      <c r="AL44" s="120"/>
      <c r="AM44" s="121"/>
      <c r="AN44" s="6"/>
      <c r="AO44" s="74"/>
      <c r="AP44" s="120"/>
      <c r="AQ44" s="121"/>
      <c r="AR44" s="6"/>
      <c r="AS44" s="74"/>
      <c r="AT44" s="120"/>
      <c r="AU44" s="121"/>
      <c r="AV44" s="6"/>
      <c r="AW44" s="74"/>
      <c r="AX44" s="120"/>
      <c r="AY44" s="121"/>
      <c r="AZ44" s="6"/>
      <c r="BA44" s="74"/>
      <c r="BB44" s="120"/>
      <c r="BC44" s="121"/>
      <c r="BD44" s="6"/>
      <c r="BE44" s="74"/>
      <c r="BF44" s="120"/>
      <c r="BG44" s="121"/>
      <c r="BH44" s="6"/>
      <c r="BI44" s="74"/>
      <c r="BJ44" s="120"/>
      <c r="BK44" s="121"/>
      <c r="BL44" s="6"/>
      <c r="BM44" s="74"/>
      <c r="BN44" s="120"/>
      <c r="BO44" s="121"/>
      <c r="BP44" s="6"/>
      <c r="BQ44" s="74"/>
      <c r="BR44" s="120"/>
      <c r="BS44" s="121"/>
      <c r="BT44" s="6"/>
      <c r="BU44" s="74"/>
      <c r="BV44" s="120"/>
      <c r="BW44" s="121"/>
      <c r="BX44" s="6"/>
      <c r="BY44" s="74"/>
      <c r="BZ44" s="120"/>
      <c r="CA44" s="121"/>
      <c r="CB44" s="6"/>
      <c r="CC44" s="74"/>
      <c r="CD44" s="120"/>
      <c r="CE44" s="121"/>
      <c r="CF44" s="6"/>
      <c r="CG44" s="74"/>
      <c r="CH44" s="120"/>
      <c r="CI44" s="121"/>
      <c r="CJ44" s="6"/>
      <c r="CK44" s="74"/>
      <c r="CL44" s="120"/>
      <c r="CM44" s="121"/>
      <c r="CN44" s="6"/>
      <c r="CO44" s="74"/>
      <c r="CP44" s="120"/>
      <c r="CQ44" s="121"/>
      <c r="CR44" s="6"/>
      <c r="CS44" s="74"/>
      <c r="CT44" s="120"/>
      <c r="CU44" s="121"/>
      <c r="CV44" s="6"/>
      <c r="CW44" s="74"/>
      <c r="CX44" s="120"/>
      <c r="CY44" s="121"/>
      <c r="CZ44" s="6"/>
      <c r="DA44" s="74"/>
      <c r="DB44" s="120"/>
      <c r="DC44" s="121"/>
      <c r="DD44" s="6"/>
      <c r="DE44" s="74"/>
      <c r="DF44" s="120"/>
      <c r="DG44" s="121"/>
      <c r="DH44" s="6"/>
      <c r="DI44" s="74"/>
      <c r="DJ44" s="120"/>
      <c r="DK44" s="121"/>
      <c r="DL44" s="6"/>
      <c r="DM44" s="74"/>
      <c r="DN44" s="120"/>
      <c r="DO44" s="121"/>
      <c r="DP44" s="6"/>
      <c r="DQ44" s="74"/>
      <c r="DR44" s="120"/>
      <c r="DS44" s="121"/>
      <c r="DT44" s="6"/>
      <c r="DU44" s="74"/>
      <c r="DV44" s="120"/>
      <c r="DW44" s="121"/>
      <c r="DX44" s="6"/>
      <c r="DY44" s="74"/>
      <c r="DZ44" s="120"/>
      <c r="EA44" s="121"/>
      <c r="EB44" s="6"/>
      <c r="EC44" s="74"/>
      <c r="ED44" s="120"/>
      <c r="EE44" s="121"/>
      <c r="EF44" s="6"/>
      <c r="EG44" s="74"/>
      <c r="EH44" s="120"/>
      <c r="EI44" s="121"/>
      <c r="EJ44" s="6"/>
      <c r="EK44" s="74"/>
      <c r="EL44" s="120"/>
      <c r="EM44" s="121"/>
    </row>
    <row r="45" spans="1:143" ht="19.5" customHeight="1" x14ac:dyDescent="0.2">
      <c r="A45" s="117"/>
      <c r="B45" s="118"/>
      <c r="C45" s="119"/>
      <c r="D45" s="6"/>
      <c r="E45" s="74"/>
      <c r="F45" s="120"/>
      <c r="G45" s="121"/>
      <c r="H45" s="6"/>
      <c r="I45" s="74"/>
      <c r="J45" s="120"/>
      <c r="K45" s="121"/>
      <c r="L45" s="6"/>
      <c r="M45" s="74"/>
      <c r="N45" s="120"/>
      <c r="O45" s="121"/>
      <c r="P45" s="6"/>
      <c r="Q45" s="74"/>
      <c r="R45" s="120"/>
      <c r="S45" s="121"/>
      <c r="T45" s="6"/>
      <c r="U45" s="74"/>
      <c r="V45" s="120"/>
      <c r="W45" s="121"/>
      <c r="X45" s="6"/>
      <c r="Y45" s="74"/>
      <c r="Z45" s="120"/>
      <c r="AA45" s="121"/>
      <c r="AB45" s="6"/>
      <c r="AC45" s="74"/>
      <c r="AD45" s="120"/>
      <c r="AE45" s="121"/>
      <c r="AF45" s="6"/>
      <c r="AG45" s="74"/>
      <c r="AH45" s="120"/>
      <c r="AI45" s="121"/>
      <c r="AJ45" s="6"/>
      <c r="AK45" s="74"/>
      <c r="AL45" s="120"/>
      <c r="AM45" s="121"/>
      <c r="AN45" s="6"/>
      <c r="AO45" s="74"/>
      <c r="AP45" s="120"/>
      <c r="AQ45" s="121"/>
      <c r="AR45" s="6"/>
      <c r="AS45" s="74"/>
      <c r="AT45" s="120"/>
      <c r="AU45" s="121"/>
      <c r="AV45" s="6"/>
      <c r="AW45" s="74"/>
      <c r="AX45" s="120"/>
      <c r="AY45" s="121"/>
      <c r="AZ45" s="6"/>
      <c r="BA45" s="74"/>
      <c r="BB45" s="120"/>
      <c r="BC45" s="121"/>
      <c r="BD45" s="6"/>
      <c r="BE45" s="74"/>
      <c r="BF45" s="120"/>
      <c r="BG45" s="121"/>
      <c r="BH45" s="6"/>
      <c r="BI45" s="74"/>
      <c r="BJ45" s="120"/>
      <c r="BK45" s="121"/>
      <c r="BL45" s="6"/>
      <c r="BM45" s="74"/>
      <c r="BN45" s="120"/>
      <c r="BO45" s="121"/>
      <c r="BP45" s="6"/>
      <c r="BQ45" s="74"/>
      <c r="BR45" s="120"/>
      <c r="BS45" s="121"/>
      <c r="BT45" s="6"/>
      <c r="BU45" s="74"/>
      <c r="BV45" s="120"/>
      <c r="BW45" s="121"/>
      <c r="BX45" s="6"/>
      <c r="BY45" s="74"/>
      <c r="BZ45" s="120"/>
      <c r="CA45" s="121"/>
      <c r="CB45" s="6"/>
      <c r="CC45" s="74"/>
      <c r="CD45" s="120"/>
      <c r="CE45" s="121"/>
      <c r="CF45" s="6"/>
      <c r="CG45" s="74"/>
      <c r="CH45" s="120"/>
      <c r="CI45" s="121"/>
      <c r="CJ45" s="6"/>
      <c r="CK45" s="74"/>
      <c r="CL45" s="120"/>
      <c r="CM45" s="121"/>
      <c r="CN45" s="6"/>
      <c r="CO45" s="74"/>
      <c r="CP45" s="120"/>
      <c r="CQ45" s="121"/>
      <c r="CR45" s="6"/>
      <c r="CS45" s="74"/>
      <c r="CT45" s="120"/>
      <c r="CU45" s="121"/>
      <c r="CV45" s="6"/>
      <c r="CW45" s="74"/>
      <c r="CX45" s="120"/>
      <c r="CY45" s="121"/>
      <c r="CZ45" s="6"/>
      <c r="DA45" s="74"/>
      <c r="DB45" s="120"/>
      <c r="DC45" s="121"/>
      <c r="DD45" s="6"/>
      <c r="DE45" s="74"/>
      <c r="DF45" s="120"/>
      <c r="DG45" s="121"/>
      <c r="DH45" s="6"/>
      <c r="DI45" s="74"/>
      <c r="DJ45" s="120"/>
      <c r="DK45" s="121"/>
      <c r="DL45" s="6"/>
      <c r="DM45" s="74"/>
      <c r="DN45" s="120"/>
      <c r="DO45" s="121"/>
      <c r="DP45" s="6"/>
      <c r="DQ45" s="74"/>
      <c r="DR45" s="120"/>
      <c r="DS45" s="121"/>
      <c r="DT45" s="6"/>
      <c r="DU45" s="74"/>
      <c r="DV45" s="120"/>
      <c r="DW45" s="121"/>
      <c r="DX45" s="6"/>
      <c r="DY45" s="74"/>
      <c r="DZ45" s="120"/>
      <c r="EA45" s="121"/>
      <c r="EB45" s="6"/>
      <c r="EC45" s="74"/>
      <c r="ED45" s="120"/>
      <c r="EE45" s="121"/>
      <c r="EF45" s="6"/>
      <c r="EG45" s="74"/>
      <c r="EH45" s="120"/>
      <c r="EI45" s="121"/>
      <c r="EJ45" s="6"/>
      <c r="EK45" s="74"/>
      <c r="EL45" s="120"/>
      <c r="EM45" s="121"/>
    </row>
    <row r="46" spans="1:143" ht="19.5" customHeight="1" x14ac:dyDescent="0.2">
      <c r="A46" s="117"/>
      <c r="B46" s="118"/>
      <c r="C46" s="119"/>
      <c r="D46" s="6"/>
      <c r="E46" s="74"/>
      <c r="F46" s="120"/>
      <c r="G46" s="121"/>
      <c r="H46" s="6"/>
      <c r="I46" s="74"/>
      <c r="J46" s="120"/>
      <c r="K46" s="121"/>
      <c r="L46" s="6"/>
      <c r="M46" s="74"/>
      <c r="N46" s="120"/>
      <c r="O46" s="121"/>
      <c r="P46" s="6"/>
      <c r="Q46" s="74"/>
      <c r="R46" s="120"/>
      <c r="S46" s="121"/>
      <c r="T46" s="6"/>
      <c r="U46" s="74"/>
      <c r="V46" s="120"/>
      <c r="W46" s="121"/>
      <c r="X46" s="6"/>
      <c r="Y46" s="74"/>
      <c r="Z46" s="120"/>
      <c r="AA46" s="121"/>
      <c r="AB46" s="6"/>
      <c r="AC46" s="74"/>
      <c r="AD46" s="120"/>
      <c r="AE46" s="121"/>
      <c r="AF46" s="6"/>
      <c r="AG46" s="74"/>
      <c r="AH46" s="120"/>
      <c r="AI46" s="121"/>
      <c r="AJ46" s="6"/>
      <c r="AK46" s="74"/>
      <c r="AL46" s="120"/>
      <c r="AM46" s="121"/>
      <c r="AN46" s="6"/>
      <c r="AO46" s="74"/>
      <c r="AP46" s="120"/>
      <c r="AQ46" s="121"/>
      <c r="AR46" s="6"/>
      <c r="AS46" s="74"/>
      <c r="AT46" s="120"/>
      <c r="AU46" s="121"/>
      <c r="AV46" s="6"/>
      <c r="AW46" s="74"/>
      <c r="AX46" s="120"/>
      <c r="AY46" s="121"/>
      <c r="AZ46" s="6"/>
      <c r="BA46" s="74"/>
      <c r="BB46" s="120"/>
      <c r="BC46" s="121"/>
      <c r="BD46" s="6"/>
      <c r="BE46" s="74"/>
      <c r="BF46" s="120"/>
      <c r="BG46" s="121"/>
      <c r="BH46" s="6"/>
      <c r="BI46" s="74"/>
      <c r="BJ46" s="120"/>
      <c r="BK46" s="121"/>
      <c r="BL46" s="6"/>
      <c r="BM46" s="74"/>
      <c r="BN46" s="120"/>
      <c r="BO46" s="121"/>
      <c r="BP46" s="6"/>
      <c r="BQ46" s="74"/>
      <c r="BR46" s="120"/>
      <c r="BS46" s="121"/>
      <c r="BT46" s="6"/>
      <c r="BU46" s="74"/>
      <c r="BV46" s="120"/>
      <c r="BW46" s="121"/>
      <c r="BX46" s="6"/>
      <c r="BY46" s="74"/>
      <c r="BZ46" s="120"/>
      <c r="CA46" s="121"/>
      <c r="CB46" s="6"/>
      <c r="CC46" s="74"/>
      <c r="CD46" s="120"/>
      <c r="CE46" s="121"/>
      <c r="CF46" s="6"/>
      <c r="CG46" s="74"/>
      <c r="CH46" s="120"/>
      <c r="CI46" s="121"/>
      <c r="CJ46" s="6"/>
      <c r="CK46" s="74"/>
      <c r="CL46" s="120"/>
      <c r="CM46" s="121"/>
      <c r="CN46" s="6"/>
      <c r="CO46" s="74"/>
      <c r="CP46" s="120"/>
      <c r="CQ46" s="121"/>
      <c r="CR46" s="6"/>
      <c r="CS46" s="74"/>
      <c r="CT46" s="120"/>
      <c r="CU46" s="121"/>
      <c r="CV46" s="6"/>
      <c r="CW46" s="74"/>
      <c r="CX46" s="120"/>
      <c r="CY46" s="121"/>
      <c r="CZ46" s="6"/>
      <c r="DA46" s="74"/>
      <c r="DB46" s="120"/>
      <c r="DC46" s="121"/>
      <c r="DD46" s="6"/>
      <c r="DE46" s="74"/>
      <c r="DF46" s="120"/>
      <c r="DG46" s="121"/>
      <c r="DH46" s="6"/>
      <c r="DI46" s="74"/>
      <c r="DJ46" s="120"/>
      <c r="DK46" s="121"/>
      <c r="DL46" s="6"/>
      <c r="DM46" s="74"/>
      <c r="DN46" s="120"/>
      <c r="DO46" s="121"/>
      <c r="DP46" s="6"/>
      <c r="DQ46" s="74"/>
      <c r="DR46" s="120"/>
      <c r="DS46" s="121"/>
      <c r="DT46" s="6"/>
      <c r="DU46" s="74"/>
      <c r="DV46" s="120"/>
      <c r="DW46" s="121"/>
      <c r="DX46" s="6"/>
      <c r="DY46" s="74"/>
      <c r="DZ46" s="120"/>
      <c r="EA46" s="121"/>
      <c r="EB46" s="6"/>
      <c r="EC46" s="74"/>
      <c r="ED46" s="120"/>
      <c r="EE46" s="121"/>
      <c r="EF46" s="6"/>
      <c r="EG46" s="74"/>
      <c r="EH46" s="120"/>
      <c r="EI46" s="121"/>
      <c r="EJ46" s="6"/>
      <c r="EK46" s="74"/>
      <c r="EL46" s="120"/>
      <c r="EM46" s="121"/>
    </row>
    <row r="47" spans="1:143" ht="19.5" customHeight="1" x14ac:dyDescent="0.2">
      <c r="A47" s="117"/>
      <c r="B47" s="118"/>
      <c r="C47" s="119"/>
      <c r="D47" s="6"/>
      <c r="E47" s="74"/>
      <c r="F47" s="120"/>
      <c r="G47" s="121"/>
      <c r="H47" s="6"/>
      <c r="I47" s="74"/>
      <c r="J47" s="120"/>
      <c r="K47" s="121"/>
      <c r="L47" s="6"/>
      <c r="M47" s="74"/>
      <c r="N47" s="120"/>
      <c r="O47" s="121"/>
      <c r="P47" s="6"/>
      <c r="Q47" s="74"/>
      <c r="R47" s="120"/>
      <c r="S47" s="121"/>
      <c r="T47" s="6"/>
      <c r="U47" s="74"/>
      <c r="V47" s="120"/>
      <c r="W47" s="121"/>
      <c r="X47" s="6"/>
      <c r="Y47" s="74"/>
      <c r="Z47" s="120"/>
      <c r="AA47" s="121"/>
      <c r="AB47" s="6"/>
      <c r="AC47" s="74"/>
      <c r="AD47" s="120"/>
      <c r="AE47" s="121"/>
      <c r="AF47" s="6"/>
      <c r="AG47" s="74"/>
      <c r="AH47" s="120"/>
      <c r="AI47" s="121"/>
      <c r="AJ47" s="6"/>
      <c r="AK47" s="74"/>
      <c r="AL47" s="120"/>
      <c r="AM47" s="121"/>
      <c r="AN47" s="6"/>
      <c r="AO47" s="74"/>
      <c r="AP47" s="120"/>
      <c r="AQ47" s="121"/>
      <c r="AR47" s="6"/>
      <c r="AS47" s="74"/>
      <c r="AT47" s="120"/>
      <c r="AU47" s="121"/>
      <c r="AV47" s="6"/>
      <c r="AW47" s="74"/>
      <c r="AX47" s="120"/>
      <c r="AY47" s="121"/>
      <c r="AZ47" s="6"/>
      <c r="BA47" s="74"/>
      <c r="BB47" s="120"/>
      <c r="BC47" s="121"/>
      <c r="BD47" s="6"/>
      <c r="BE47" s="74"/>
      <c r="BF47" s="120"/>
      <c r="BG47" s="121"/>
      <c r="BH47" s="6"/>
      <c r="BI47" s="74"/>
      <c r="BJ47" s="120"/>
      <c r="BK47" s="121"/>
      <c r="BL47" s="6"/>
      <c r="BM47" s="74"/>
      <c r="BN47" s="120"/>
      <c r="BO47" s="121"/>
      <c r="BP47" s="6"/>
      <c r="BQ47" s="74"/>
      <c r="BR47" s="120"/>
      <c r="BS47" s="121"/>
      <c r="BT47" s="6"/>
      <c r="BU47" s="74"/>
      <c r="BV47" s="120"/>
      <c r="BW47" s="121"/>
      <c r="BX47" s="6"/>
      <c r="BY47" s="74"/>
      <c r="BZ47" s="120"/>
      <c r="CA47" s="121"/>
      <c r="CB47" s="6"/>
      <c r="CC47" s="74"/>
      <c r="CD47" s="120"/>
      <c r="CE47" s="121"/>
      <c r="CF47" s="6"/>
      <c r="CG47" s="74"/>
      <c r="CH47" s="120"/>
      <c r="CI47" s="121"/>
      <c r="CJ47" s="6"/>
      <c r="CK47" s="74"/>
      <c r="CL47" s="120"/>
      <c r="CM47" s="121"/>
      <c r="CN47" s="6"/>
      <c r="CO47" s="74"/>
      <c r="CP47" s="120"/>
      <c r="CQ47" s="121"/>
      <c r="CR47" s="6"/>
      <c r="CS47" s="74"/>
      <c r="CT47" s="120"/>
      <c r="CU47" s="121"/>
      <c r="CV47" s="6"/>
      <c r="CW47" s="74"/>
      <c r="CX47" s="120"/>
      <c r="CY47" s="121"/>
      <c r="CZ47" s="6"/>
      <c r="DA47" s="74"/>
      <c r="DB47" s="120"/>
      <c r="DC47" s="121"/>
      <c r="DD47" s="6"/>
      <c r="DE47" s="74"/>
      <c r="DF47" s="120"/>
      <c r="DG47" s="121"/>
      <c r="DH47" s="6"/>
      <c r="DI47" s="74"/>
      <c r="DJ47" s="120"/>
      <c r="DK47" s="121"/>
      <c r="DL47" s="6"/>
      <c r="DM47" s="74"/>
      <c r="DN47" s="120"/>
      <c r="DO47" s="121"/>
      <c r="DP47" s="6"/>
      <c r="DQ47" s="74"/>
      <c r="DR47" s="120"/>
      <c r="DS47" s="121"/>
      <c r="DT47" s="6"/>
      <c r="DU47" s="74"/>
      <c r="DV47" s="120"/>
      <c r="DW47" s="121"/>
      <c r="DX47" s="6"/>
      <c r="DY47" s="74"/>
      <c r="DZ47" s="120"/>
      <c r="EA47" s="121"/>
      <c r="EB47" s="6"/>
      <c r="EC47" s="74"/>
      <c r="ED47" s="120"/>
      <c r="EE47" s="121"/>
      <c r="EF47" s="6"/>
      <c r="EG47" s="74"/>
      <c r="EH47" s="120"/>
      <c r="EI47" s="121"/>
      <c r="EJ47" s="6"/>
      <c r="EK47" s="74"/>
      <c r="EL47" s="120"/>
      <c r="EM47" s="121"/>
    </row>
    <row r="48" spans="1:143" ht="19.5" customHeight="1" x14ac:dyDescent="0.2">
      <c r="A48" s="117"/>
      <c r="B48" s="118"/>
      <c r="C48" s="119"/>
      <c r="D48" s="6"/>
      <c r="E48" s="74"/>
      <c r="F48" s="120"/>
      <c r="G48" s="121"/>
      <c r="H48" s="6"/>
      <c r="I48" s="74"/>
      <c r="J48" s="120"/>
      <c r="K48" s="121"/>
      <c r="L48" s="6"/>
      <c r="M48" s="74"/>
      <c r="N48" s="120"/>
      <c r="O48" s="121"/>
      <c r="P48" s="6"/>
      <c r="Q48" s="74"/>
      <c r="R48" s="120"/>
      <c r="S48" s="121"/>
      <c r="T48" s="6"/>
      <c r="U48" s="74"/>
      <c r="V48" s="120"/>
      <c r="W48" s="121"/>
      <c r="X48" s="6"/>
      <c r="Y48" s="74"/>
      <c r="Z48" s="120"/>
      <c r="AA48" s="121"/>
      <c r="AB48" s="6"/>
      <c r="AC48" s="74"/>
      <c r="AD48" s="120"/>
      <c r="AE48" s="121"/>
      <c r="AF48" s="6"/>
      <c r="AG48" s="74"/>
      <c r="AH48" s="120"/>
      <c r="AI48" s="121"/>
      <c r="AJ48" s="6"/>
      <c r="AK48" s="74"/>
      <c r="AL48" s="120"/>
      <c r="AM48" s="121"/>
      <c r="AN48" s="6"/>
      <c r="AO48" s="74"/>
      <c r="AP48" s="120"/>
      <c r="AQ48" s="121"/>
      <c r="AR48" s="6"/>
      <c r="AS48" s="74"/>
      <c r="AT48" s="120"/>
      <c r="AU48" s="121"/>
      <c r="AV48" s="6"/>
      <c r="AW48" s="74"/>
      <c r="AX48" s="120"/>
      <c r="AY48" s="121"/>
      <c r="AZ48" s="6"/>
      <c r="BA48" s="74"/>
      <c r="BB48" s="120"/>
      <c r="BC48" s="121"/>
      <c r="BD48" s="6"/>
      <c r="BE48" s="74"/>
      <c r="BF48" s="120"/>
      <c r="BG48" s="121"/>
      <c r="BH48" s="6"/>
      <c r="BI48" s="74"/>
      <c r="BJ48" s="120"/>
      <c r="BK48" s="121"/>
      <c r="BL48" s="6"/>
      <c r="BM48" s="74"/>
      <c r="BN48" s="120"/>
      <c r="BO48" s="121"/>
      <c r="BP48" s="6"/>
      <c r="BQ48" s="74"/>
      <c r="BR48" s="120"/>
      <c r="BS48" s="121"/>
      <c r="BT48" s="6"/>
      <c r="BU48" s="74"/>
      <c r="BV48" s="120"/>
      <c r="BW48" s="121"/>
      <c r="BX48" s="6"/>
      <c r="BY48" s="74"/>
      <c r="BZ48" s="120"/>
      <c r="CA48" s="121"/>
      <c r="CB48" s="6"/>
      <c r="CC48" s="74"/>
      <c r="CD48" s="120"/>
      <c r="CE48" s="121"/>
      <c r="CF48" s="6"/>
      <c r="CG48" s="74"/>
      <c r="CH48" s="120"/>
      <c r="CI48" s="121"/>
      <c r="CJ48" s="6"/>
      <c r="CK48" s="74"/>
      <c r="CL48" s="120"/>
      <c r="CM48" s="121"/>
      <c r="CN48" s="6"/>
      <c r="CO48" s="74"/>
      <c r="CP48" s="120"/>
      <c r="CQ48" s="121"/>
      <c r="CR48" s="6"/>
      <c r="CS48" s="74"/>
      <c r="CT48" s="120"/>
      <c r="CU48" s="121"/>
      <c r="CV48" s="6"/>
      <c r="CW48" s="74"/>
      <c r="CX48" s="120"/>
      <c r="CY48" s="121"/>
      <c r="CZ48" s="6"/>
      <c r="DA48" s="74"/>
      <c r="DB48" s="120"/>
      <c r="DC48" s="121"/>
      <c r="DD48" s="6"/>
      <c r="DE48" s="74"/>
      <c r="DF48" s="120"/>
      <c r="DG48" s="121"/>
      <c r="DH48" s="6"/>
      <c r="DI48" s="74"/>
      <c r="DJ48" s="120"/>
      <c r="DK48" s="121"/>
      <c r="DL48" s="6"/>
      <c r="DM48" s="74"/>
      <c r="DN48" s="120"/>
      <c r="DO48" s="121"/>
      <c r="DP48" s="6"/>
      <c r="DQ48" s="74"/>
      <c r="DR48" s="120"/>
      <c r="DS48" s="121"/>
      <c r="DT48" s="6"/>
      <c r="DU48" s="74"/>
      <c r="DV48" s="120"/>
      <c r="DW48" s="121"/>
      <c r="DX48" s="6"/>
      <c r="DY48" s="74"/>
      <c r="DZ48" s="120"/>
      <c r="EA48" s="121"/>
      <c r="EB48" s="6"/>
      <c r="EC48" s="74"/>
      <c r="ED48" s="120"/>
      <c r="EE48" s="121"/>
      <c r="EF48" s="6"/>
      <c r="EG48" s="74"/>
      <c r="EH48" s="120"/>
      <c r="EI48" s="121"/>
      <c r="EJ48" s="6"/>
      <c r="EK48" s="74"/>
      <c r="EL48" s="120"/>
      <c r="EM48" s="121"/>
    </row>
    <row r="49" spans="1:143" ht="19.5" customHeight="1" x14ac:dyDescent="0.2">
      <c r="A49" s="117"/>
      <c r="B49" s="118"/>
      <c r="C49" s="119"/>
      <c r="D49" s="6"/>
      <c r="E49" s="74"/>
      <c r="F49" s="120"/>
      <c r="G49" s="121"/>
      <c r="H49" s="6"/>
      <c r="I49" s="74"/>
      <c r="J49" s="120"/>
      <c r="K49" s="121"/>
      <c r="L49" s="6"/>
      <c r="M49" s="74"/>
      <c r="N49" s="120"/>
      <c r="O49" s="121"/>
      <c r="P49" s="6"/>
      <c r="Q49" s="74"/>
      <c r="R49" s="120"/>
      <c r="S49" s="121"/>
      <c r="T49" s="6"/>
      <c r="U49" s="74"/>
      <c r="V49" s="120"/>
      <c r="W49" s="121"/>
      <c r="X49" s="6"/>
      <c r="Y49" s="74"/>
      <c r="Z49" s="120"/>
      <c r="AA49" s="121"/>
      <c r="AB49" s="6"/>
      <c r="AC49" s="74"/>
      <c r="AD49" s="120"/>
      <c r="AE49" s="121"/>
      <c r="AF49" s="6"/>
      <c r="AG49" s="74"/>
      <c r="AH49" s="120"/>
      <c r="AI49" s="121"/>
      <c r="AJ49" s="6"/>
      <c r="AK49" s="74"/>
      <c r="AL49" s="120"/>
      <c r="AM49" s="121"/>
      <c r="AN49" s="6"/>
      <c r="AO49" s="74"/>
      <c r="AP49" s="120"/>
      <c r="AQ49" s="121"/>
      <c r="AR49" s="6"/>
      <c r="AS49" s="74"/>
      <c r="AT49" s="120"/>
      <c r="AU49" s="121"/>
      <c r="AV49" s="6"/>
      <c r="AW49" s="74"/>
      <c r="AX49" s="120"/>
      <c r="AY49" s="121"/>
      <c r="AZ49" s="6"/>
      <c r="BA49" s="74"/>
      <c r="BB49" s="120"/>
      <c r="BC49" s="121"/>
      <c r="BD49" s="6"/>
      <c r="BE49" s="74"/>
      <c r="BF49" s="120"/>
      <c r="BG49" s="121"/>
      <c r="BH49" s="6"/>
      <c r="BI49" s="74"/>
      <c r="BJ49" s="120"/>
      <c r="BK49" s="121"/>
      <c r="BL49" s="6"/>
      <c r="BM49" s="74"/>
      <c r="BN49" s="120"/>
      <c r="BO49" s="121"/>
      <c r="BP49" s="6"/>
      <c r="BQ49" s="74"/>
      <c r="BR49" s="120"/>
      <c r="BS49" s="121"/>
      <c r="BT49" s="6"/>
      <c r="BU49" s="74"/>
      <c r="BV49" s="120"/>
      <c r="BW49" s="121"/>
      <c r="BX49" s="6"/>
      <c r="BY49" s="74"/>
      <c r="BZ49" s="120"/>
      <c r="CA49" s="121"/>
      <c r="CB49" s="6"/>
      <c r="CC49" s="74"/>
      <c r="CD49" s="120"/>
      <c r="CE49" s="121"/>
      <c r="CF49" s="6"/>
      <c r="CG49" s="74"/>
      <c r="CH49" s="120"/>
      <c r="CI49" s="121"/>
      <c r="CJ49" s="6"/>
      <c r="CK49" s="74"/>
      <c r="CL49" s="120"/>
      <c r="CM49" s="121"/>
      <c r="CN49" s="6"/>
      <c r="CO49" s="74"/>
      <c r="CP49" s="120"/>
      <c r="CQ49" s="121"/>
      <c r="CR49" s="6"/>
      <c r="CS49" s="74"/>
      <c r="CT49" s="120"/>
      <c r="CU49" s="121"/>
      <c r="CV49" s="6"/>
      <c r="CW49" s="74"/>
      <c r="CX49" s="120"/>
      <c r="CY49" s="121"/>
      <c r="CZ49" s="6"/>
      <c r="DA49" s="74"/>
      <c r="DB49" s="120"/>
      <c r="DC49" s="121"/>
      <c r="DD49" s="6"/>
      <c r="DE49" s="74"/>
      <c r="DF49" s="120"/>
      <c r="DG49" s="121"/>
      <c r="DH49" s="6"/>
      <c r="DI49" s="74"/>
      <c r="DJ49" s="120"/>
      <c r="DK49" s="121"/>
      <c r="DL49" s="6"/>
      <c r="DM49" s="74"/>
      <c r="DN49" s="120"/>
      <c r="DO49" s="121"/>
      <c r="DP49" s="6"/>
      <c r="DQ49" s="74"/>
      <c r="DR49" s="120"/>
      <c r="DS49" s="121"/>
      <c r="DT49" s="6"/>
      <c r="DU49" s="74"/>
      <c r="DV49" s="120"/>
      <c r="DW49" s="121"/>
      <c r="DX49" s="6"/>
      <c r="DY49" s="74"/>
      <c r="DZ49" s="120"/>
      <c r="EA49" s="121"/>
      <c r="EB49" s="6"/>
      <c r="EC49" s="74"/>
      <c r="ED49" s="120"/>
      <c r="EE49" s="121"/>
      <c r="EF49" s="6"/>
      <c r="EG49" s="74"/>
      <c r="EH49" s="120"/>
      <c r="EI49" s="121"/>
      <c r="EJ49" s="6"/>
      <c r="EK49" s="74"/>
      <c r="EL49" s="120"/>
      <c r="EM49" s="121"/>
    </row>
    <row r="50" spans="1:143" ht="19.5" customHeight="1" x14ac:dyDescent="0.2">
      <c r="A50" s="117"/>
      <c r="B50" s="118"/>
      <c r="C50" s="119"/>
      <c r="D50" s="6"/>
      <c r="E50" s="74"/>
      <c r="F50" s="120"/>
      <c r="G50" s="121"/>
      <c r="H50" s="6"/>
      <c r="I50" s="74"/>
      <c r="J50" s="120"/>
      <c r="K50" s="121"/>
      <c r="L50" s="6"/>
      <c r="M50" s="74"/>
      <c r="N50" s="120"/>
      <c r="O50" s="121"/>
      <c r="P50" s="6"/>
      <c r="Q50" s="74"/>
      <c r="R50" s="120"/>
      <c r="S50" s="121"/>
      <c r="T50" s="6"/>
      <c r="U50" s="74"/>
      <c r="V50" s="120"/>
      <c r="W50" s="121"/>
      <c r="X50" s="6"/>
      <c r="Y50" s="74"/>
      <c r="Z50" s="120"/>
      <c r="AA50" s="121"/>
      <c r="AB50" s="6"/>
      <c r="AC50" s="74"/>
      <c r="AD50" s="120"/>
      <c r="AE50" s="121"/>
      <c r="AF50" s="6"/>
      <c r="AG50" s="74"/>
      <c r="AH50" s="120"/>
      <c r="AI50" s="121"/>
      <c r="AJ50" s="6"/>
      <c r="AK50" s="74"/>
      <c r="AL50" s="120"/>
      <c r="AM50" s="121"/>
      <c r="AN50" s="6"/>
      <c r="AO50" s="74"/>
      <c r="AP50" s="120"/>
      <c r="AQ50" s="121"/>
      <c r="AR50" s="6"/>
      <c r="AS50" s="74"/>
      <c r="AT50" s="120"/>
      <c r="AU50" s="121"/>
      <c r="AV50" s="6"/>
      <c r="AW50" s="74"/>
      <c r="AX50" s="120"/>
      <c r="AY50" s="121"/>
      <c r="AZ50" s="6"/>
      <c r="BA50" s="74"/>
      <c r="BB50" s="120"/>
      <c r="BC50" s="121"/>
      <c r="BD50" s="6"/>
      <c r="BE50" s="74"/>
      <c r="BF50" s="120"/>
      <c r="BG50" s="121"/>
      <c r="BH50" s="6"/>
      <c r="BI50" s="74"/>
      <c r="BJ50" s="120"/>
      <c r="BK50" s="121"/>
      <c r="BL50" s="6"/>
      <c r="BM50" s="74"/>
      <c r="BN50" s="120"/>
      <c r="BO50" s="121"/>
      <c r="BP50" s="6"/>
      <c r="BQ50" s="74"/>
      <c r="BR50" s="120"/>
      <c r="BS50" s="121"/>
      <c r="BT50" s="6"/>
      <c r="BU50" s="74"/>
      <c r="BV50" s="120"/>
      <c r="BW50" s="121"/>
      <c r="BX50" s="6"/>
      <c r="BY50" s="74"/>
      <c r="BZ50" s="120"/>
      <c r="CA50" s="121"/>
      <c r="CB50" s="6"/>
      <c r="CC50" s="74"/>
      <c r="CD50" s="120"/>
      <c r="CE50" s="121"/>
      <c r="CF50" s="6"/>
      <c r="CG50" s="74"/>
      <c r="CH50" s="120"/>
      <c r="CI50" s="121"/>
      <c r="CJ50" s="6"/>
      <c r="CK50" s="74"/>
      <c r="CL50" s="120"/>
      <c r="CM50" s="121"/>
      <c r="CN50" s="6"/>
      <c r="CO50" s="74"/>
      <c r="CP50" s="120"/>
      <c r="CQ50" s="121"/>
      <c r="CR50" s="6"/>
      <c r="CS50" s="74"/>
      <c r="CT50" s="120"/>
      <c r="CU50" s="121"/>
      <c r="CV50" s="6"/>
      <c r="CW50" s="74"/>
      <c r="CX50" s="120"/>
      <c r="CY50" s="121"/>
      <c r="CZ50" s="6"/>
      <c r="DA50" s="74"/>
      <c r="DB50" s="120"/>
      <c r="DC50" s="121"/>
      <c r="DD50" s="6"/>
      <c r="DE50" s="74"/>
      <c r="DF50" s="120"/>
      <c r="DG50" s="121"/>
      <c r="DH50" s="6"/>
      <c r="DI50" s="74"/>
      <c r="DJ50" s="120"/>
      <c r="DK50" s="121"/>
      <c r="DL50" s="6"/>
      <c r="DM50" s="74"/>
      <c r="DN50" s="120"/>
      <c r="DO50" s="121"/>
      <c r="DP50" s="6"/>
      <c r="DQ50" s="74"/>
      <c r="DR50" s="120"/>
      <c r="DS50" s="121"/>
      <c r="DT50" s="6"/>
      <c r="DU50" s="74"/>
      <c r="DV50" s="120"/>
      <c r="DW50" s="121"/>
      <c r="DX50" s="6"/>
      <c r="DY50" s="74"/>
      <c r="DZ50" s="120"/>
      <c r="EA50" s="121"/>
      <c r="EB50" s="6"/>
      <c r="EC50" s="74"/>
      <c r="ED50" s="120"/>
      <c r="EE50" s="121"/>
      <c r="EF50" s="6"/>
      <c r="EG50" s="74"/>
      <c r="EH50" s="120"/>
      <c r="EI50" s="121"/>
      <c r="EJ50" s="6"/>
      <c r="EK50" s="74"/>
      <c r="EL50" s="120"/>
      <c r="EM50" s="121"/>
    </row>
    <row r="51" spans="1:143" ht="19.5" customHeight="1" x14ac:dyDescent="0.2">
      <c r="A51" s="117"/>
      <c r="B51" s="118"/>
      <c r="C51" s="119"/>
      <c r="D51" s="6"/>
      <c r="E51" s="74"/>
      <c r="F51" s="120"/>
      <c r="G51" s="121"/>
      <c r="H51" s="6"/>
      <c r="I51" s="74"/>
      <c r="J51" s="120"/>
      <c r="K51" s="121"/>
      <c r="L51" s="6"/>
      <c r="M51" s="74"/>
      <c r="N51" s="120"/>
      <c r="O51" s="121"/>
      <c r="P51" s="6"/>
      <c r="Q51" s="74"/>
      <c r="R51" s="120"/>
      <c r="S51" s="121"/>
      <c r="T51" s="6"/>
      <c r="U51" s="74"/>
      <c r="V51" s="120"/>
      <c r="W51" s="121"/>
      <c r="X51" s="6"/>
      <c r="Y51" s="74"/>
      <c r="Z51" s="120"/>
      <c r="AA51" s="121"/>
      <c r="AB51" s="6"/>
      <c r="AC51" s="74"/>
      <c r="AD51" s="120"/>
      <c r="AE51" s="121"/>
      <c r="AF51" s="6"/>
      <c r="AG51" s="74"/>
      <c r="AH51" s="120"/>
      <c r="AI51" s="121"/>
      <c r="AJ51" s="6"/>
      <c r="AK51" s="74"/>
      <c r="AL51" s="120"/>
      <c r="AM51" s="121"/>
      <c r="AN51" s="6"/>
      <c r="AO51" s="74"/>
      <c r="AP51" s="120"/>
      <c r="AQ51" s="121"/>
      <c r="AR51" s="6"/>
      <c r="AS51" s="74"/>
      <c r="AT51" s="120"/>
      <c r="AU51" s="121"/>
      <c r="AV51" s="6"/>
      <c r="AW51" s="74"/>
      <c r="AX51" s="120"/>
      <c r="AY51" s="121"/>
      <c r="AZ51" s="6"/>
      <c r="BA51" s="74"/>
      <c r="BB51" s="120"/>
      <c r="BC51" s="121"/>
      <c r="BD51" s="6"/>
      <c r="BE51" s="74"/>
      <c r="BF51" s="120"/>
      <c r="BG51" s="121"/>
      <c r="BH51" s="6"/>
      <c r="BI51" s="74"/>
      <c r="BJ51" s="120"/>
      <c r="BK51" s="121"/>
      <c r="BL51" s="6"/>
      <c r="BM51" s="74"/>
      <c r="BN51" s="120"/>
      <c r="BO51" s="121"/>
      <c r="BP51" s="6"/>
      <c r="BQ51" s="74"/>
      <c r="BR51" s="120"/>
      <c r="BS51" s="121"/>
      <c r="BT51" s="6"/>
      <c r="BU51" s="74"/>
      <c r="BV51" s="120"/>
      <c r="BW51" s="121"/>
      <c r="BX51" s="6"/>
      <c r="BY51" s="74"/>
      <c r="BZ51" s="120"/>
      <c r="CA51" s="121"/>
      <c r="CB51" s="6"/>
      <c r="CC51" s="74"/>
      <c r="CD51" s="120"/>
      <c r="CE51" s="121"/>
      <c r="CF51" s="6"/>
      <c r="CG51" s="74"/>
      <c r="CH51" s="120"/>
      <c r="CI51" s="121"/>
      <c r="CJ51" s="6"/>
      <c r="CK51" s="74"/>
      <c r="CL51" s="120"/>
      <c r="CM51" s="121"/>
      <c r="CN51" s="6"/>
      <c r="CO51" s="74"/>
      <c r="CP51" s="120"/>
      <c r="CQ51" s="121"/>
      <c r="CR51" s="6"/>
      <c r="CS51" s="74"/>
      <c r="CT51" s="120"/>
      <c r="CU51" s="121"/>
      <c r="CV51" s="6"/>
      <c r="CW51" s="74"/>
      <c r="CX51" s="120"/>
      <c r="CY51" s="121"/>
      <c r="CZ51" s="6"/>
      <c r="DA51" s="74"/>
      <c r="DB51" s="120"/>
      <c r="DC51" s="121"/>
      <c r="DD51" s="6"/>
      <c r="DE51" s="74"/>
      <c r="DF51" s="120"/>
      <c r="DG51" s="121"/>
      <c r="DH51" s="6"/>
      <c r="DI51" s="74"/>
      <c r="DJ51" s="120"/>
      <c r="DK51" s="121"/>
      <c r="DL51" s="6"/>
      <c r="DM51" s="74"/>
      <c r="DN51" s="120"/>
      <c r="DO51" s="121"/>
      <c r="DP51" s="6"/>
      <c r="DQ51" s="74"/>
      <c r="DR51" s="120"/>
      <c r="DS51" s="121"/>
      <c r="DT51" s="6"/>
      <c r="DU51" s="74"/>
      <c r="DV51" s="120"/>
      <c r="DW51" s="121"/>
      <c r="DX51" s="6"/>
      <c r="DY51" s="74"/>
      <c r="DZ51" s="120"/>
      <c r="EA51" s="121"/>
      <c r="EB51" s="6"/>
      <c r="EC51" s="74"/>
      <c r="ED51" s="120"/>
      <c r="EE51" s="121"/>
      <c r="EF51" s="6"/>
      <c r="EG51" s="74"/>
      <c r="EH51" s="120"/>
      <c r="EI51" s="121"/>
      <c r="EJ51" s="6"/>
      <c r="EK51" s="74"/>
      <c r="EL51" s="120"/>
      <c r="EM51" s="121"/>
    </row>
    <row r="52" spans="1:143" ht="19.5" customHeight="1" x14ac:dyDescent="0.2">
      <c r="A52" s="117"/>
      <c r="B52" s="118"/>
      <c r="C52" s="119"/>
      <c r="D52" s="6"/>
      <c r="E52" s="74"/>
      <c r="F52" s="120"/>
      <c r="G52" s="121"/>
      <c r="H52" s="6"/>
      <c r="I52" s="74"/>
      <c r="J52" s="120"/>
      <c r="K52" s="121"/>
      <c r="L52" s="6"/>
      <c r="M52" s="74"/>
      <c r="N52" s="120"/>
      <c r="O52" s="121"/>
      <c r="P52" s="6"/>
      <c r="Q52" s="74"/>
      <c r="R52" s="120"/>
      <c r="S52" s="121"/>
      <c r="T52" s="6"/>
      <c r="U52" s="74"/>
      <c r="V52" s="120"/>
      <c r="W52" s="121"/>
      <c r="X52" s="6"/>
      <c r="Y52" s="74"/>
      <c r="Z52" s="120"/>
      <c r="AA52" s="121"/>
      <c r="AB52" s="6"/>
      <c r="AC52" s="74"/>
      <c r="AD52" s="120"/>
      <c r="AE52" s="121"/>
      <c r="AF52" s="6"/>
      <c r="AG52" s="74"/>
      <c r="AH52" s="120"/>
      <c r="AI52" s="121"/>
      <c r="AJ52" s="6"/>
      <c r="AK52" s="74"/>
      <c r="AL52" s="120"/>
      <c r="AM52" s="121"/>
      <c r="AN52" s="6"/>
      <c r="AO52" s="74"/>
      <c r="AP52" s="120"/>
      <c r="AQ52" s="121"/>
      <c r="AR52" s="6"/>
      <c r="AS52" s="74"/>
      <c r="AT52" s="120"/>
      <c r="AU52" s="121"/>
      <c r="AV52" s="6"/>
      <c r="AW52" s="74"/>
      <c r="AX52" s="120"/>
      <c r="AY52" s="121"/>
      <c r="AZ52" s="6"/>
      <c r="BA52" s="74"/>
      <c r="BB52" s="120"/>
      <c r="BC52" s="121"/>
      <c r="BD52" s="6"/>
      <c r="BE52" s="74"/>
      <c r="BF52" s="120"/>
      <c r="BG52" s="121"/>
      <c r="BH52" s="6"/>
      <c r="BI52" s="74"/>
      <c r="BJ52" s="120"/>
      <c r="BK52" s="121"/>
      <c r="BL52" s="6"/>
      <c r="BM52" s="74"/>
      <c r="BN52" s="120"/>
      <c r="BO52" s="121"/>
      <c r="BP52" s="6"/>
      <c r="BQ52" s="74"/>
      <c r="BR52" s="120"/>
      <c r="BS52" s="121"/>
      <c r="BT52" s="6"/>
      <c r="BU52" s="74"/>
      <c r="BV52" s="120"/>
      <c r="BW52" s="121"/>
      <c r="BX52" s="6"/>
      <c r="BY52" s="74"/>
      <c r="BZ52" s="120"/>
      <c r="CA52" s="121"/>
      <c r="CB52" s="6"/>
      <c r="CC52" s="74"/>
      <c r="CD52" s="120"/>
      <c r="CE52" s="121"/>
      <c r="CF52" s="6"/>
      <c r="CG52" s="74"/>
      <c r="CH52" s="120"/>
      <c r="CI52" s="121"/>
      <c r="CJ52" s="6"/>
      <c r="CK52" s="74"/>
      <c r="CL52" s="120"/>
      <c r="CM52" s="121"/>
      <c r="CN52" s="6"/>
      <c r="CO52" s="74"/>
      <c r="CP52" s="120"/>
      <c r="CQ52" s="121"/>
      <c r="CR52" s="6"/>
      <c r="CS52" s="74"/>
      <c r="CT52" s="120"/>
      <c r="CU52" s="121"/>
      <c r="CV52" s="6"/>
      <c r="CW52" s="74"/>
      <c r="CX52" s="120"/>
      <c r="CY52" s="121"/>
      <c r="CZ52" s="6"/>
      <c r="DA52" s="74"/>
      <c r="DB52" s="120"/>
      <c r="DC52" s="121"/>
      <c r="DD52" s="6"/>
      <c r="DE52" s="74"/>
      <c r="DF52" s="120"/>
      <c r="DG52" s="121"/>
      <c r="DH52" s="6"/>
      <c r="DI52" s="74"/>
      <c r="DJ52" s="120"/>
      <c r="DK52" s="121"/>
      <c r="DL52" s="6"/>
      <c r="DM52" s="74"/>
      <c r="DN52" s="120"/>
      <c r="DO52" s="121"/>
      <c r="DP52" s="6"/>
      <c r="DQ52" s="74"/>
      <c r="DR52" s="120"/>
      <c r="DS52" s="121"/>
      <c r="DT52" s="6"/>
      <c r="DU52" s="74"/>
      <c r="DV52" s="120"/>
      <c r="DW52" s="121"/>
      <c r="DX52" s="6"/>
      <c r="DY52" s="74"/>
      <c r="DZ52" s="120"/>
      <c r="EA52" s="121"/>
      <c r="EB52" s="6"/>
      <c r="EC52" s="74"/>
      <c r="ED52" s="120"/>
      <c r="EE52" s="121"/>
      <c r="EF52" s="6"/>
      <c r="EG52" s="74"/>
      <c r="EH52" s="120"/>
      <c r="EI52" s="121"/>
      <c r="EJ52" s="6"/>
      <c r="EK52" s="74"/>
      <c r="EL52" s="120"/>
      <c r="EM52" s="121"/>
    </row>
    <row r="53" spans="1:143" ht="19.5" customHeight="1" x14ac:dyDescent="0.2">
      <c r="A53" s="117"/>
      <c r="B53" s="118"/>
      <c r="C53" s="119"/>
      <c r="D53" s="6"/>
      <c r="E53" s="74"/>
      <c r="F53" s="120"/>
      <c r="G53" s="121"/>
      <c r="H53" s="6"/>
      <c r="I53" s="74"/>
      <c r="J53" s="120"/>
      <c r="K53" s="121"/>
      <c r="L53" s="6"/>
      <c r="M53" s="74"/>
      <c r="N53" s="120"/>
      <c r="O53" s="121"/>
      <c r="P53" s="6"/>
      <c r="Q53" s="74"/>
      <c r="R53" s="120"/>
      <c r="S53" s="121"/>
      <c r="T53" s="6"/>
      <c r="U53" s="74"/>
      <c r="V53" s="120"/>
      <c r="W53" s="121"/>
      <c r="X53" s="6"/>
      <c r="Y53" s="74"/>
      <c r="Z53" s="120"/>
      <c r="AA53" s="121"/>
      <c r="AB53" s="6"/>
      <c r="AC53" s="74"/>
      <c r="AD53" s="120"/>
      <c r="AE53" s="121"/>
      <c r="AF53" s="6"/>
      <c r="AG53" s="74"/>
      <c r="AH53" s="120"/>
      <c r="AI53" s="121"/>
      <c r="AJ53" s="6"/>
      <c r="AK53" s="74"/>
      <c r="AL53" s="120"/>
      <c r="AM53" s="121"/>
      <c r="AN53" s="6"/>
      <c r="AO53" s="74"/>
      <c r="AP53" s="120"/>
      <c r="AQ53" s="121"/>
      <c r="AR53" s="6"/>
      <c r="AS53" s="74"/>
      <c r="AT53" s="120"/>
      <c r="AU53" s="121"/>
      <c r="AV53" s="6"/>
      <c r="AW53" s="74"/>
      <c r="AX53" s="120"/>
      <c r="AY53" s="121"/>
      <c r="AZ53" s="6"/>
      <c r="BA53" s="74"/>
      <c r="BB53" s="120"/>
      <c r="BC53" s="121"/>
      <c r="BD53" s="6"/>
      <c r="BE53" s="74"/>
      <c r="BF53" s="120"/>
      <c r="BG53" s="121"/>
      <c r="BH53" s="6"/>
      <c r="BI53" s="74"/>
      <c r="BJ53" s="120"/>
      <c r="BK53" s="121"/>
      <c r="BL53" s="6"/>
      <c r="BM53" s="74"/>
      <c r="BN53" s="120"/>
      <c r="BO53" s="121"/>
      <c r="BP53" s="6"/>
      <c r="BQ53" s="74"/>
      <c r="BR53" s="120"/>
      <c r="BS53" s="121"/>
      <c r="BT53" s="6"/>
      <c r="BU53" s="74"/>
      <c r="BV53" s="120"/>
      <c r="BW53" s="121"/>
      <c r="BX53" s="6"/>
      <c r="BY53" s="74"/>
      <c r="BZ53" s="120"/>
      <c r="CA53" s="121"/>
      <c r="CB53" s="6"/>
      <c r="CC53" s="74"/>
      <c r="CD53" s="120"/>
      <c r="CE53" s="121"/>
      <c r="CF53" s="6"/>
      <c r="CG53" s="74"/>
      <c r="CH53" s="120"/>
      <c r="CI53" s="121"/>
      <c r="CJ53" s="6"/>
      <c r="CK53" s="74"/>
      <c r="CL53" s="120"/>
      <c r="CM53" s="121"/>
      <c r="CN53" s="6"/>
      <c r="CO53" s="74"/>
      <c r="CP53" s="120"/>
      <c r="CQ53" s="121"/>
      <c r="CR53" s="6"/>
      <c r="CS53" s="74"/>
      <c r="CT53" s="120"/>
      <c r="CU53" s="121"/>
      <c r="CV53" s="6"/>
      <c r="CW53" s="74"/>
      <c r="CX53" s="120"/>
      <c r="CY53" s="121"/>
      <c r="CZ53" s="6"/>
      <c r="DA53" s="74"/>
      <c r="DB53" s="120"/>
      <c r="DC53" s="121"/>
      <c r="DD53" s="6"/>
      <c r="DE53" s="74"/>
      <c r="DF53" s="120"/>
      <c r="DG53" s="121"/>
      <c r="DH53" s="6"/>
      <c r="DI53" s="74"/>
      <c r="DJ53" s="120"/>
      <c r="DK53" s="121"/>
      <c r="DL53" s="6"/>
      <c r="DM53" s="74"/>
      <c r="DN53" s="120"/>
      <c r="DO53" s="121"/>
      <c r="DP53" s="6"/>
      <c r="DQ53" s="74"/>
      <c r="DR53" s="120"/>
      <c r="DS53" s="121"/>
      <c r="DT53" s="6"/>
      <c r="DU53" s="74"/>
      <c r="DV53" s="120"/>
      <c r="DW53" s="121"/>
      <c r="DX53" s="6"/>
      <c r="DY53" s="74"/>
      <c r="DZ53" s="120"/>
      <c r="EA53" s="121"/>
      <c r="EB53" s="6"/>
      <c r="EC53" s="74"/>
      <c r="ED53" s="120"/>
      <c r="EE53" s="121"/>
      <c r="EF53" s="6"/>
      <c r="EG53" s="74"/>
      <c r="EH53" s="120"/>
      <c r="EI53" s="121"/>
      <c r="EJ53" s="6"/>
      <c r="EK53" s="74"/>
      <c r="EL53" s="120"/>
      <c r="EM53" s="121"/>
    </row>
    <row r="54" spans="1:143" ht="19.5" customHeight="1" x14ac:dyDescent="0.2">
      <c r="A54" s="117"/>
      <c r="B54" s="118"/>
      <c r="C54" s="119"/>
      <c r="D54" s="6"/>
      <c r="E54" s="74"/>
      <c r="F54" s="120"/>
      <c r="G54" s="121"/>
      <c r="H54" s="6"/>
      <c r="I54" s="74"/>
      <c r="J54" s="120"/>
      <c r="K54" s="121"/>
      <c r="L54" s="6"/>
      <c r="M54" s="74"/>
      <c r="N54" s="120"/>
      <c r="O54" s="121"/>
      <c r="P54" s="6"/>
      <c r="Q54" s="74"/>
      <c r="R54" s="120"/>
      <c r="S54" s="121"/>
      <c r="T54" s="6"/>
      <c r="U54" s="74"/>
      <c r="V54" s="120"/>
      <c r="W54" s="121"/>
      <c r="X54" s="6"/>
      <c r="Y54" s="74"/>
      <c r="Z54" s="120"/>
      <c r="AA54" s="121"/>
      <c r="AB54" s="6"/>
      <c r="AC54" s="74"/>
      <c r="AD54" s="120"/>
      <c r="AE54" s="121"/>
      <c r="AF54" s="6"/>
      <c r="AG54" s="74"/>
      <c r="AH54" s="120"/>
      <c r="AI54" s="121"/>
      <c r="AJ54" s="6"/>
      <c r="AK54" s="74"/>
      <c r="AL54" s="120"/>
      <c r="AM54" s="121"/>
      <c r="AN54" s="6"/>
      <c r="AO54" s="74"/>
      <c r="AP54" s="120"/>
      <c r="AQ54" s="121"/>
      <c r="AR54" s="6"/>
      <c r="AS54" s="74"/>
      <c r="AT54" s="120"/>
      <c r="AU54" s="121"/>
      <c r="AV54" s="6"/>
      <c r="AW54" s="74"/>
      <c r="AX54" s="120"/>
      <c r="AY54" s="121"/>
      <c r="AZ54" s="6"/>
      <c r="BA54" s="74"/>
      <c r="BB54" s="120"/>
      <c r="BC54" s="121"/>
      <c r="BD54" s="6"/>
      <c r="BE54" s="74"/>
      <c r="BF54" s="120"/>
      <c r="BG54" s="121"/>
      <c r="BH54" s="6"/>
      <c r="BI54" s="74"/>
      <c r="BJ54" s="120"/>
      <c r="BK54" s="121"/>
      <c r="BL54" s="6"/>
      <c r="BM54" s="74"/>
      <c r="BN54" s="120"/>
      <c r="BO54" s="121"/>
      <c r="BP54" s="6"/>
      <c r="BQ54" s="74"/>
      <c r="BR54" s="120"/>
      <c r="BS54" s="121"/>
      <c r="BT54" s="6"/>
      <c r="BU54" s="74"/>
      <c r="BV54" s="120"/>
      <c r="BW54" s="121"/>
      <c r="BX54" s="6"/>
      <c r="BY54" s="74"/>
      <c r="BZ54" s="120"/>
      <c r="CA54" s="121"/>
      <c r="CB54" s="6"/>
      <c r="CC54" s="74"/>
      <c r="CD54" s="120"/>
      <c r="CE54" s="121"/>
      <c r="CF54" s="6"/>
      <c r="CG54" s="74"/>
      <c r="CH54" s="120"/>
      <c r="CI54" s="121"/>
      <c r="CJ54" s="6"/>
      <c r="CK54" s="74"/>
      <c r="CL54" s="120"/>
      <c r="CM54" s="121"/>
      <c r="CN54" s="6"/>
      <c r="CO54" s="74"/>
      <c r="CP54" s="120"/>
      <c r="CQ54" s="121"/>
      <c r="CR54" s="6"/>
      <c r="CS54" s="74"/>
      <c r="CT54" s="120"/>
      <c r="CU54" s="121"/>
      <c r="CV54" s="6"/>
      <c r="CW54" s="74"/>
      <c r="CX54" s="120"/>
      <c r="CY54" s="121"/>
      <c r="CZ54" s="6"/>
      <c r="DA54" s="74"/>
      <c r="DB54" s="120"/>
      <c r="DC54" s="121"/>
      <c r="DD54" s="6"/>
      <c r="DE54" s="74"/>
      <c r="DF54" s="120"/>
      <c r="DG54" s="121"/>
      <c r="DH54" s="6"/>
      <c r="DI54" s="74"/>
      <c r="DJ54" s="120"/>
      <c r="DK54" s="121"/>
      <c r="DL54" s="6"/>
      <c r="DM54" s="74"/>
      <c r="DN54" s="120"/>
      <c r="DO54" s="121"/>
      <c r="DP54" s="6"/>
      <c r="DQ54" s="74"/>
      <c r="DR54" s="120"/>
      <c r="DS54" s="121"/>
      <c r="DT54" s="6"/>
      <c r="DU54" s="74"/>
      <c r="DV54" s="120"/>
      <c r="DW54" s="121"/>
      <c r="DX54" s="6"/>
      <c r="DY54" s="74"/>
      <c r="DZ54" s="120"/>
      <c r="EA54" s="121"/>
      <c r="EB54" s="6"/>
      <c r="EC54" s="74"/>
      <c r="ED54" s="120"/>
      <c r="EE54" s="121"/>
      <c r="EF54" s="6"/>
      <c r="EG54" s="74"/>
      <c r="EH54" s="120"/>
      <c r="EI54" s="121"/>
      <c r="EJ54" s="6"/>
      <c r="EK54" s="74"/>
      <c r="EL54" s="120"/>
      <c r="EM54" s="121"/>
    </row>
    <row r="55" spans="1:143" ht="19.5" customHeight="1" x14ac:dyDescent="0.2">
      <c r="A55" s="117"/>
      <c r="B55" s="118"/>
      <c r="C55" s="119"/>
      <c r="D55" s="6"/>
      <c r="E55" s="74"/>
      <c r="F55" s="120"/>
      <c r="G55" s="121"/>
      <c r="H55" s="6"/>
      <c r="I55" s="74"/>
      <c r="J55" s="120"/>
      <c r="K55" s="121"/>
      <c r="L55" s="6"/>
      <c r="M55" s="74"/>
      <c r="N55" s="120"/>
      <c r="O55" s="121"/>
      <c r="P55" s="6"/>
      <c r="Q55" s="74"/>
      <c r="R55" s="120"/>
      <c r="S55" s="121"/>
      <c r="T55" s="6"/>
      <c r="U55" s="74"/>
      <c r="V55" s="120"/>
      <c r="W55" s="121"/>
      <c r="X55" s="6"/>
      <c r="Y55" s="74"/>
      <c r="Z55" s="120"/>
      <c r="AA55" s="121"/>
      <c r="AB55" s="6"/>
      <c r="AC55" s="74"/>
      <c r="AD55" s="120"/>
      <c r="AE55" s="121"/>
      <c r="AF55" s="6"/>
      <c r="AG55" s="74"/>
      <c r="AH55" s="120"/>
      <c r="AI55" s="121"/>
      <c r="AJ55" s="6"/>
      <c r="AK55" s="74"/>
      <c r="AL55" s="120"/>
      <c r="AM55" s="121"/>
      <c r="AN55" s="6"/>
      <c r="AO55" s="74"/>
      <c r="AP55" s="120"/>
      <c r="AQ55" s="121"/>
      <c r="AR55" s="6"/>
      <c r="AS55" s="74"/>
      <c r="AT55" s="120"/>
      <c r="AU55" s="121"/>
      <c r="AV55" s="6"/>
      <c r="AW55" s="74"/>
      <c r="AX55" s="120"/>
      <c r="AY55" s="121"/>
      <c r="AZ55" s="6"/>
      <c r="BA55" s="74"/>
      <c r="BB55" s="120"/>
      <c r="BC55" s="121"/>
      <c r="BD55" s="6"/>
      <c r="BE55" s="74"/>
      <c r="BF55" s="120"/>
      <c r="BG55" s="121"/>
      <c r="BH55" s="6"/>
      <c r="BI55" s="74"/>
      <c r="BJ55" s="120"/>
      <c r="BK55" s="121"/>
      <c r="BL55" s="6"/>
      <c r="BM55" s="74"/>
      <c r="BN55" s="120"/>
      <c r="BO55" s="121"/>
      <c r="BP55" s="6"/>
      <c r="BQ55" s="74"/>
      <c r="BR55" s="120"/>
      <c r="BS55" s="121"/>
      <c r="BT55" s="6"/>
      <c r="BU55" s="74"/>
      <c r="BV55" s="120"/>
      <c r="BW55" s="121"/>
      <c r="BX55" s="6"/>
      <c r="BY55" s="74"/>
      <c r="BZ55" s="120"/>
      <c r="CA55" s="121"/>
      <c r="CB55" s="6"/>
      <c r="CC55" s="74"/>
      <c r="CD55" s="120"/>
      <c r="CE55" s="121"/>
      <c r="CF55" s="6"/>
      <c r="CG55" s="74"/>
      <c r="CH55" s="120"/>
      <c r="CI55" s="121"/>
      <c r="CJ55" s="6"/>
      <c r="CK55" s="74"/>
      <c r="CL55" s="120"/>
      <c r="CM55" s="121"/>
      <c r="CN55" s="6"/>
      <c r="CO55" s="74"/>
      <c r="CP55" s="120"/>
      <c r="CQ55" s="121"/>
      <c r="CR55" s="6"/>
      <c r="CS55" s="74"/>
      <c r="CT55" s="120"/>
      <c r="CU55" s="121"/>
      <c r="CV55" s="6"/>
      <c r="CW55" s="74"/>
      <c r="CX55" s="120"/>
      <c r="CY55" s="121"/>
      <c r="CZ55" s="6"/>
      <c r="DA55" s="74"/>
      <c r="DB55" s="120"/>
      <c r="DC55" s="121"/>
      <c r="DD55" s="6"/>
      <c r="DE55" s="74"/>
      <c r="DF55" s="120"/>
      <c r="DG55" s="121"/>
      <c r="DH55" s="6"/>
      <c r="DI55" s="74"/>
      <c r="DJ55" s="120"/>
      <c r="DK55" s="121"/>
      <c r="DL55" s="6"/>
      <c r="DM55" s="74"/>
      <c r="DN55" s="120"/>
      <c r="DO55" s="121"/>
      <c r="DP55" s="6"/>
      <c r="DQ55" s="74"/>
      <c r="DR55" s="120"/>
      <c r="DS55" s="121"/>
      <c r="DT55" s="6"/>
      <c r="DU55" s="74"/>
      <c r="DV55" s="120"/>
      <c r="DW55" s="121"/>
      <c r="DX55" s="6"/>
      <c r="DY55" s="74"/>
      <c r="DZ55" s="120"/>
      <c r="EA55" s="121"/>
      <c r="EB55" s="6"/>
      <c r="EC55" s="74"/>
      <c r="ED55" s="120"/>
      <c r="EE55" s="121"/>
      <c r="EF55" s="6"/>
      <c r="EG55" s="74"/>
      <c r="EH55" s="120"/>
      <c r="EI55" s="121"/>
      <c r="EJ55" s="6"/>
      <c r="EK55" s="74"/>
      <c r="EL55" s="120"/>
      <c r="EM55" s="121"/>
    </row>
    <row r="56" spans="1:143" ht="19.5" customHeight="1" x14ac:dyDescent="0.2">
      <c r="A56" s="117"/>
      <c r="B56" s="118"/>
      <c r="C56" s="119"/>
      <c r="D56" s="6"/>
      <c r="E56" s="74"/>
      <c r="F56" s="120"/>
      <c r="G56" s="121"/>
      <c r="H56" s="6"/>
      <c r="I56" s="74"/>
      <c r="J56" s="120"/>
      <c r="K56" s="121"/>
      <c r="L56" s="6"/>
      <c r="M56" s="74"/>
      <c r="N56" s="120"/>
      <c r="O56" s="121"/>
      <c r="P56" s="6"/>
      <c r="Q56" s="74"/>
      <c r="R56" s="120"/>
      <c r="S56" s="121"/>
      <c r="T56" s="6"/>
      <c r="U56" s="74"/>
      <c r="V56" s="120"/>
      <c r="W56" s="121"/>
      <c r="X56" s="6"/>
      <c r="Y56" s="74"/>
      <c r="Z56" s="120"/>
      <c r="AA56" s="121"/>
      <c r="AB56" s="6"/>
      <c r="AC56" s="74"/>
      <c r="AD56" s="120"/>
      <c r="AE56" s="121"/>
      <c r="AF56" s="6"/>
      <c r="AG56" s="74"/>
      <c r="AH56" s="120"/>
      <c r="AI56" s="121"/>
      <c r="AJ56" s="6"/>
      <c r="AK56" s="74"/>
      <c r="AL56" s="120"/>
      <c r="AM56" s="121"/>
      <c r="AN56" s="6"/>
      <c r="AO56" s="74"/>
      <c r="AP56" s="120"/>
      <c r="AQ56" s="121"/>
      <c r="AR56" s="6"/>
      <c r="AS56" s="74"/>
      <c r="AT56" s="120"/>
      <c r="AU56" s="121"/>
      <c r="AV56" s="6"/>
      <c r="AW56" s="74"/>
      <c r="AX56" s="120"/>
      <c r="AY56" s="121"/>
      <c r="AZ56" s="6"/>
      <c r="BA56" s="74"/>
      <c r="BB56" s="120"/>
      <c r="BC56" s="121"/>
      <c r="BD56" s="6"/>
      <c r="BE56" s="74"/>
      <c r="BF56" s="120"/>
      <c r="BG56" s="121"/>
      <c r="BH56" s="6"/>
      <c r="BI56" s="74"/>
      <c r="BJ56" s="120"/>
      <c r="BK56" s="121"/>
      <c r="BL56" s="6"/>
      <c r="BM56" s="74"/>
      <c r="BN56" s="120"/>
      <c r="BO56" s="121"/>
      <c r="BP56" s="6"/>
      <c r="BQ56" s="74"/>
      <c r="BR56" s="120"/>
      <c r="BS56" s="121"/>
      <c r="BT56" s="6"/>
      <c r="BU56" s="74"/>
      <c r="BV56" s="120"/>
      <c r="BW56" s="121"/>
      <c r="BX56" s="6"/>
      <c r="BY56" s="74"/>
      <c r="BZ56" s="120"/>
      <c r="CA56" s="121"/>
      <c r="CB56" s="6"/>
      <c r="CC56" s="74"/>
      <c r="CD56" s="120"/>
      <c r="CE56" s="121"/>
      <c r="CF56" s="6"/>
      <c r="CG56" s="74"/>
      <c r="CH56" s="120"/>
      <c r="CI56" s="121"/>
      <c r="CJ56" s="6"/>
      <c r="CK56" s="74"/>
      <c r="CL56" s="120"/>
      <c r="CM56" s="121"/>
      <c r="CN56" s="6"/>
      <c r="CO56" s="74"/>
      <c r="CP56" s="120"/>
      <c r="CQ56" s="121"/>
      <c r="CR56" s="6"/>
      <c r="CS56" s="74"/>
      <c r="CT56" s="120"/>
      <c r="CU56" s="121"/>
      <c r="CV56" s="6"/>
      <c r="CW56" s="74"/>
      <c r="CX56" s="120"/>
      <c r="CY56" s="121"/>
      <c r="CZ56" s="6"/>
      <c r="DA56" s="74"/>
      <c r="DB56" s="120"/>
      <c r="DC56" s="121"/>
      <c r="DD56" s="6"/>
      <c r="DE56" s="74"/>
      <c r="DF56" s="120"/>
      <c r="DG56" s="121"/>
      <c r="DH56" s="6"/>
      <c r="DI56" s="74"/>
      <c r="DJ56" s="120"/>
      <c r="DK56" s="121"/>
      <c r="DL56" s="6"/>
      <c r="DM56" s="74"/>
      <c r="DN56" s="120"/>
      <c r="DO56" s="121"/>
      <c r="DP56" s="6"/>
      <c r="DQ56" s="74"/>
      <c r="DR56" s="120"/>
      <c r="DS56" s="121"/>
      <c r="DT56" s="6"/>
      <c r="DU56" s="74"/>
      <c r="DV56" s="120"/>
      <c r="DW56" s="121"/>
      <c r="DX56" s="6"/>
      <c r="DY56" s="74"/>
      <c r="DZ56" s="120"/>
      <c r="EA56" s="121"/>
      <c r="EB56" s="6"/>
      <c r="EC56" s="74"/>
      <c r="ED56" s="120"/>
      <c r="EE56" s="121"/>
      <c r="EF56" s="6"/>
      <c r="EG56" s="74"/>
      <c r="EH56" s="120"/>
      <c r="EI56" s="121"/>
      <c r="EJ56" s="6"/>
      <c r="EK56" s="74"/>
      <c r="EL56" s="120"/>
      <c r="EM56" s="121"/>
    </row>
    <row r="57" spans="1:143" ht="19.5" customHeight="1" x14ac:dyDescent="0.2">
      <c r="A57" s="117"/>
      <c r="B57" s="118"/>
      <c r="C57" s="119"/>
      <c r="D57" s="6"/>
      <c r="E57" s="74"/>
      <c r="F57" s="120"/>
      <c r="G57" s="121"/>
      <c r="H57" s="6"/>
      <c r="I57" s="74"/>
      <c r="J57" s="120"/>
      <c r="K57" s="121"/>
      <c r="L57" s="6"/>
      <c r="M57" s="74"/>
      <c r="N57" s="120"/>
      <c r="O57" s="121"/>
      <c r="P57" s="6"/>
      <c r="Q57" s="74"/>
      <c r="R57" s="120"/>
      <c r="S57" s="121"/>
      <c r="T57" s="6"/>
      <c r="U57" s="74"/>
      <c r="V57" s="120"/>
      <c r="W57" s="121"/>
      <c r="X57" s="6"/>
      <c r="Y57" s="74"/>
      <c r="Z57" s="120"/>
      <c r="AA57" s="121"/>
      <c r="AB57" s="6"/>
      <c r="AC57" s="74"/>
      <c r="AD57" s="120"/>
      <c r="AE57" s="121"/>
      <c r="AF57" s="6"/>
      <c r="AG57" s="74"/>
      <c r="AH57" s="120"/>
      <c r="AI57" s="121"/>
      <c r="AJ57" s="6"/>
      <c r="AK57" s="74"/>
      <c r="AL57" s="120"/>
      <c r="AM57" s="121"/>
      <c r="AN57" s="6"/>
      <c r="AO57" s="74"/>
      <c r="AP57" s="120"/>
      <c r="AQ57" s="121"/>
      <c r="AR57" s="6"/>
      <c r="AS57" s="74"/>
      <c r="AT57" s="120"/>
      <c r="AU57" s="121"/>
      <c r="AV57" s="6"/>
      <c r="AW57" s="74"/>
      <c r="AX57" s="120"/>
      <c r="AY57" s="121"/>
      <c r="AZ57" s="6"/>
      <c r="BA57" s="74"/>
      <c r="BB57" s="120"/>
      <c r="BC57" s="121"/>
      <c r="BD57" s="6"/>
      <c r="BE57" s="74"/>
      <c r="BF57" s="120"/>
      <c r="BG57" s="121"/>
      <c r="BH57" s="6"/>
      <c r="BI57" s="74"/>
      <c r="BJ57" s="120"/>
      <c r="BK57" s="121"/>
      <c r="BL57" s="6"/>
      <c r="BM57" s="74"/>
      <c r="BN57" s="120"/>
      <c r="BO57" s="121"/>
      <c r="BP57" s="6"/>
      <c r="BQ57" s="74"/>
      <c r="BR57" s="120"/>
      <c r="BS57" s="121"/>
      <c r="BT57" s="6"/>
      <c r="BU57" s="74"/>
      <c r="BV57" s="120"/>
      <c r="BW57" s="121"/>
      <c r="BX57" s="6"/>
      <c r="BY57" s="74"/>
      <c r="BZ57" s="120"/>
      <c r="CA57" s="121"/>
      <c r="CB57" s="6"/>
      <c r="CC57" s="74"/>
      <c r="CD57" s="120"/>
      <c r="CE57" s="121"/>
      <c r="CF57" s="6"/>
      <c r="CG57" s="74"/>
      <c r="CH57" s="120"/>
      <c r="CI57" s="121"/>
      <c r="CJ57" s="6"/>
      <c r="CK57" s="74"/>
      <c r="CL57" s="120"/>
      <c r="CM57" s="121"/>
      <c r="CN57" s="6"/>
      <c r="CO57" s="74"/>
      <c r="CP57" s="120"/>
      <c r="CQ57" s="121"/>
      <c r="CR57" s="6"/>
      <c r="CS57" s="74"/>
      <c r="CT57" s="120"/>
      <c r="CU57" s="121"/>
      <c r="CV57" s="6"/>
      <c r="CW57" s="74"/>
      <c r="CX57" s="120"/>
      <c r="CY57" s="121"/>
      <c r="CZ57" s="6"/>
      <c r="DA57" s="74"/>
      <c r="DB57" s="120"/>
      <c r="DC57" s="121"/>
      <c r="DD57" s="6"/>
      <c r="DE57" s="74"/>
      <c r="DF57" s="120"/>
      <c r="DG57" s="121"/>
      <c r="DH57" s="6"/>
      <c r="DI57" s="74"/>
      <c r="DJ57" s="120"/>
      <c r="DK57" s="121"/>
      <c r="DL57" s="6"/>
      <c r="DM57" s="74"/>
      <c r="DN57" s="120"/>
      <c r="DO57" s="121"/>
      <c r="DP57" s="6"/>
      <c r="DQ57" s="74"/>
      <c r="DR57" s="120"/>
      <c r="DS57" s="121"/>
      <c r="DT57" s="6"/>
      <c r="DU57" s="74"/>
      <c r="DV57" s="120"/>
      <c r="DW57" s="121"/>
      <c r="DX57" s="6"/>
      <c r="DY57" s="74"/>
      <c r="DZ57" s="120"/>
      <c r="EA57" s="121"/>
      <c r="EB57" s="6"/>
      <c r="EC57" s="74"/>
      <c r="ED57" s="120"/>
      <c r="EE57" s="121"/>
      <c r="EF57" s="6"/>
      <c r="EG57" s="74"/>
      <c r="EH57" s="120"/>
      <c r="EI57" s="121"/>
      <c r="EJ57" s="6"/>
      <c r="EK57" s="74"/>
      <c r="EL57" s="120"/>
      <c r="EM57" s="121"/>
    </row>
    <row r="58" spans="1:143" ht="19.5" customHeight="1" x14ac:dyDescent="0.2">
      <c r="A58" s="117"/>
      <c r="B58" s="118"/>
      <c r="C58" s="119"/>
      <c r="D58" s="6"/>
      <c r="E58" s="74"/>
      <c r="F58" s="120"/>
      <c r="G58" s="121"/>
      <c r="H58" s="6"/>
      <c r="I58" s="74"/>
      <c r="J58" s="120"/>
      <c r="K58" s="121"/>
      <c r="L58" s="6"/>
      <c r="M58" s="74"/>
      <c r="N58" s="120"/>
      <c r="O58" s="121"/>
      <c r="P58" s="6"/>
      <c r="Q58" s="74"/>
      <c r="R58" s="120"/>
      <c r="S58" s="121"/>
      <c r="T58" s="6"/>
      <c r="U58" s="74"/>
      <c r="V58" s="120"/>
      <c r="W58" s="121"/>
      <c r="X58" s="6"/>
      <c r="Y58" s="74"/>
      <c r="Z58" s="120"/>
      <c r="AA58" s="121"/>
      <c r="AB58" s="6"/>
      <c r="AC58" s="74"/>
      <c r="AD58" s="120"/>
      <c r="AE58" s="121"/>
      <c r="AF58" s="6"/>
      <c r="AG58" s="74"/>
      <c r="AH58" s="120"/>
      <c r="AI58" s="121"/>
      <c r="AJ58" s="6"/>
      <c r="AK58" s="74"/>
      <c r="AL58" s="120"/>
      <c r="AM58" s="121"/>
      <c r="AN58" s="6"/>
      <c r="AO58" s="74"/>
      <c r="AP58" s="120"/>
      <c r="AQ58" s="121"/>
      <c r="AR58" s="6"/>
      <c r="AS58" s="74"/>
      <c r="AT58" s="120"/>
      <c r="AU58" s="121"/>
      <c r="AV58" s="6"/>
      <c r="AW58" s="74"/>
      <c r="AX58" s="120"/>
      <c r="AY58" s="121"/>
      <c r="AZ58" s="6"/>
      <c r="BA58" s="74"/>
      <c r="BB58" s="120"/>
      <c r="BC58" s="121"/>
      <c r="BD58" s="6"/>
      <c r="BE58" s="74"/>
      <c r="BF58" s="120"/>
      <c r="BG58" s="121"/>
      <c r="BH58" s="6"/>
      <c r="BI58" s="74"/>
      <c r="BJ58" s="120"/>
      <c r="BK58" s="121"/>
      <c r="BL58" s="6"/>
      <c r="BM58" s="74"/>
      <c r="BN58" s="120"/>
      <c r="BO58" s="121"/>
      <c r="BP58" s="6"/>
      <c r="BQ58" s="74"/>
      <c r="BR58" s="120"/>
      <c r="BS58" s="121"/>
      <c r="BT58" s="6"/>
      <c r="BU58" s="74"/>
      <c r="BV58" s="120"/>
      <c r="BW58" s="121"/>
      <c r="BX58" s="6"/>
      <c r="BY58" s="74"/>
      <c r="BZ58" s="120"/>
      <c r="CA58" s="121"/>
      <c r="CB58" s="6"/>
      <c r="CC58" s="74"/>
      <c r="CD58" s="120"/>
      <c r="CE58" s="121"/>
      <c r="CF58" s="6"/>
      <c r="CG58" s="74"/>
      <c r="CH58" s="120"/>
      <c r="CI58" s="121"/>
      <c r="CJ58" s="6"/>
      <c r="CK58" s="74"/>
      <c r="CL58" s="120"/>
      <c r="CM58" s="121"/>
      <c r="CN58" s="6"/>
      <c r="CO58" s="74"/>
      <c r="CP58" s="120"/>
      <c r="CQ58" s="121"/>
      <c r="CR58" s="6"/>
      <c r="CS58" s="74"/>
      <c r="CT58" s="120"/>
      <c r="CU58" s="121"/>
      <c r="CV58" s="6"/>
      <c r="CW58" s="74"/>
      <c r="CX58" s="120"/>
      <c r="CY58" s="121"/>
      <c r="CZ58" s="6"/>
      <c r="DA58" s="74"/>
      <c r="DB58" s="120"/>
      <c r="DC58" s="121"/>
      <c r="DD58" s="6"/>
      <c r="DE58" s="74"/>
      <c r="DF58" s="120"/>
      <c r="DG58" s="121"/>
      <c r="DH58" s="6"/>
      <c r="DI58" s="74"/>
      <c r="DJ58" s="120"/>
      <c r="DK58" s="121"/>
      <c r="DL58" s="6"/>
      <c r="DM58" s="74"/>
      <c r="DN58" s="120"/>
      <c r="DO58" s="121"/>
      <c r="DP58" s="6"/>
      <c r="DQ58" s="74"/>
      <c r="DR58" s="120"/>
      <c r="DS58" s="121"/>
      <c r="DT58" s="6"/>
      <c r="DU58" s="74"/>
      <c r="DV58" s="120"/>
      <c r="DW58" s="121"/>
      <c r="DX58" s="6"/>
      <c r="DY58" s="74"/>
      <c r="DZ58" s="120"/>
      <c r="EA58" s="121"/>
      <c r="EB58" s="6"/>
      <c r="EC58" s="74"/>
      <c r="ED58" s="120"/>
      <c r="EE58" s="121"/>
      <c r="EF58" s="6"/>
      <c r="EG58" s="74"/>
      <c r="EH58" s="120"/>
      <c r="EI58" s="121"/>
      <c r="EJ58" s="6"/>
      <c r="EK58" s="74"/>
      <c r="EL58" s="120"/>
      <c r="EM58" s="121"/>
    </row>
    <row r="59" spans="1:143" ht="19.5" customHeight="1" x14ac:dyDescent="0.2">
      <c r="A59" s="117"/>
      <c r="B59" s="118"/>
      <c r="C59" s="119"/>
      <c r="D59" s="6"/>
      <c r="E59" s="74"/>
      <c r="F59" s="120"/>
      <c r="G59" s="121"/>
      <c r="H59" s="6"/>
      <c r="I59" s="74"/>
      <c r="J59" s="120"/>
      <c r="K59" s="121"/>
      <c r="L59" s="6"/>
      <c r="M59" s="74"/>
      <c r="N59" s="120"/>
      <c r="O59" s="121"/>
      <c r="P59" s="6"/>
      <c r="Q59" s="74"/>
      <c r="R59" s="120"/>
      <c r="S59" s="121"/>
      <c r="T59" s="6"/>
      <c r="U59" s="74"/>
      <c r="V59" s="120"/>
      <c r="W59" s="121"/>
      <c r="X59" s="6"/>
      <c r="Y59" s="74"/>
      <c r="Z59" s="120"/>
      <c r="AA59" s="121"/>
      <c r="AB59" s="6"/>
      <c r="AC59" s="74"/>
      <c r="AD59" s="120"/>
      <c r="AE59" s="121"/>
      <c r="AF59" s="6"/>
      <c r="AG59" s="74"/>
      <c r="AH59" s="120"/>
      <c r="AI59" s="121"/>
      <c r="AJ59" s="6"/>
      <c r="AK59" s="74"/>
      <c r="AL59" s="120"/>
      <c r="AM59" s="121"/>
      <c r="AN59" s="6"/>
      <c r="AO59" s="74"/>
      <c r="AP59" s="120"/>
      <c r="AQ59" s="121"/>
      <c r="AR59" s="6"/>
      <c r="AS59" s="74"/>
      <c r="AT59" s="120"/>
      <c r="AU59" s="121"/>
      <c r="AV59" s="6"/>
      <c r="AW59" s="74"/>
      <c r="AX59" s="120"/>
      <c r="AY59" s="121"/>
      <c r="AZ59" s="6"/>
      <c r="BA59" s="74"/>
      <c r="BB59" s="120"/>
      <c r="BC59" s="121"/>
      <c r="BD59" s="6"/>
      <c r="BE59" s="74"/>
      <c r="BF59" s="120"/>
      <c r="BG59" s="121"/>
      <c r="BH59" s="6"/>
      <c r="BI59" s="74"/>
      <c r="BJ59" s="120"/>
      <c r="BK59" s="121"/>
      <c r="BL59" s="6"/>
      <c r="BM59" s="74"/>
      <c r="BN59" s="120"/>
      <c r="BO59" s="121"/>
      <c r="BP59" s="6"/>
      <c r="BQ59" s="74"/>
      <c r="BR59" s="120"/>
      <c r="BS59" s="121"/>
      <c r="BT59" s="6"/>
      <c r="BU59" s="74"/>
      <c r="BV59" s="120"/>
      <c r="BW59" s="121"/>
      <c r="BX59" s="6"/>
      <c r="BY59" s="74"/>
      <c r="BZ59" s="120"/>
      <c r="CA59" s="121"/>
      <c r="CB59" s="6"/>
      <c r="CC59" s="74"/>
      <c r="CD59" s="120"/>
      <c r="CE59" s="121"/>
      <c r="CF59" s="6"/>
      <c r="CG59" s="74"/>
      <c r="CH59" s="120"/>
      <c r="CI59" s="121"/>
      <c r="CJ59" s="6"/>
      <c r="CK59" s="74"/>
      <c r="CL59" s="120"/>
      <c r="CM59" s="121"/>
      <c r="CN59" s="6"/>
      <c r="CO59" s="74"/>
      <c r="CP59" s="120"/>
      <c r="CQ59" s="121"/>
      <c r="CR59" s="6"/>
      <c r="CS59" s="74"/>
      <c r="CT59" s="120"/>
      <c r="CU59" s="121"/>
      <c r="CV59" s="6"/>
      <c r="CW59" s="74"/>
      <c r="CX59" s="120"/>
      <c r="CY59" s="121"/>
      <c r="CZ59" s="6"/>
      <c r="DA59" s="74"/>
      <c r="DB59" s="120"/>
      <c r="DC59" s="121"/>
      <c r="DD59" s="6"/>
      <c r="DE59" s="74"/>
      <c r="DF59" s="120"/>
      <c r="DG59" s="121"/>
      <c r="DH59" s="6"/>
      <c r="DI59" s="74"/>
      <c r="DJ59" s="120"/>
      <c r="DK59" s="121"/>
      <c r="DL59" s="6"/>
      <c r="DM59" s="74"/>
      <c r="DN59" s="120"/>
      <c r="DO59" s="121"/>
      <c r="DP59" s="6"/>
      <c r="DQ59" s="74"/>
      <c r="DR59" s="120"/>
      <c r="DS59" s="121"/>
      <c r="DT59" s="6"/>
      <c r="DU59" s="74"/>
      <c r="DV59" s="120"/>
      <c r="DW59" s="121"/>
      <c r="DX59" s="6"/>
      <c r="DY59" s="74"/>
      <c r="DZ59" s="120"/>
      <c r="EA59" s="121"/>
      <c r="EB59" s="6"/>
      <c r="EC59" s="74"/>
      <c r="ED59" s="120"/>
      <c r="EE59" s="121"/>
      <c r="EF59" s="6"/>
      <c r="EG59" s="74"/>
      <c r="EH59" s="120"/>
      <c r="EI59" s="121"/>
      <c r="EJ59" s="6"/>
      <c r="EK59" s="74"/>
      <c r="EL59" s="120"/>
      <c r="EM59" s="121"/>
    </row>
    <row r="60" spans="1:143" ht="19.5" customHeight="1" x14ac:dyDescent="0.2">
      <c r="A60" s="117"/>
      <c r="B60" s="118"/>
      <c r="C60" s="119"/>
      <c r="D60" s="6"/>
      <c r="E60" s="74"/>
      <c r="F60" s="120"/>
      <c r="G60" s="121"/>
      <c r="H60" s="6"/>
      <c r="I60" s="74"/>
      <c r="J60" s="120"/>
      <c r="K60" s="121"/>
      <c r="L60" s="6"/>
      <c r="M60" s="74"/>
      <c r="N60" s="120"/>
      <c r="O60" s="121"/>
      <c r="P60" s="6"/>
      <c r="Q60" s="74"/>
      <c r="R60" s="120"/>
      <c r="S60" s="121"/>
      <c r="T60" s="6"/>
      <c r="U60" s="74"/>
      <c r="V60" s="120"/>
      <c r="W60" s="121"/>
      <c r="X60" s="6"/>
      <c r="Y60" s="74"/>
      <c r="Z60" s="120"/>
      <c r="AA60" s="121"/>
      <c r="AB60" s="6"/>
      <c r="AC60" s="74"/>
      <c r="AD60" s="120"/>
      <c r="AE60" s="121"/>
      <c r="AF60" s="6"/>
      <c r="AG60" s="74"/>
      <c r="AH60" s="120"/>
      <c r="AI60" s="121"/>
      <c r="AJ60" s="6"/>
      <c r="AK60" s="74"/>
      <c r="AL60" s="120"/>
      <c r="AM60" s="121"/>
      <c r="AN60" s="6"/>
      <c r="AO60" s="74"/>
      <c r="AP60" s="120"/>
      <c r="AQ60" s="121"/>
      <c r="AR60" s="6"/>
      <c r="AS60" s="74"/>
      <c r="AT60" s="120"/>
      <c r="AU60" s="121"/>
      <c r="AV60" s="6"/>
      <c r="AW60" s="74"/>
      <c r="AX60" s="120"/>
      <c r="AY60" s="121"/>
      <c r="AZ60" s="6"/>
      <c r="BA60" s="74"/>
      <c r="BB60" s="120"/>
      <c r="BC60" s="121"/>
      <c r="BD60" s="6"/>
      <c r="BE60" s="74"/>
      <c r="BF60" s="120"/>
      <c r="BG60" s="121"/>
      <c r="BH60" s="6"/>
      <c r="BI60" s="74"/>
      <c r="BJ60" s="120"/>
      <c r="BK60" s="121"/>
      <c r="BL60" s="6"/>
      <c r="BM60" s="74"/>
      <c r="BN60" s="120"/>
      <c r="BO60" s="121"/>
      <c r="BP60" s="6"/>
      <c r="BQ60" s="74"/>
      <c r="BR60" s="120"/>
      <c r="BS60" s="121"/>
      <c r="BT60" s="6"/>
      <c r="BU60" s="74"/>
      <c r="BV60" s="120"/>
      <c r="BW60" s="121"/>
      <c r="BX60" s="6"/>
      <c r="BY60" s="74"/>
      <c r="BZ60" s="120"/>
      <c r="CA60" s="121"/>
      <c r="CB60" s="6"/>
      <c r="CC60" s="74"/>
      <c r="CD60" s="120"/>
      <c r="CE60" s="121"/>
      <c r="CF60" s="6"/>
      <c r="CG60" s="74"/>
      <c r="CH60" s="120"/>
      <c r="CI60" s="121"/>
      <c r="CJ60" s="6"/>
      <c r="CK60" s="74"/>
      <c r="CL60" s="120"/>
      <c r="CM60" s="121"/>
      <c r="CN60" s="6"/>
      <c r="CO60" s="74"/>
      <c r="CP60" s="120"/>
      <c r="CQ60" s="121"/>
      <c r="CR60" s="6"/>
      <c r="CS60" s="74"/>
      <c r="CT60" s="120"/>
      <c r="CU60" s="121"/>
      <c r="CV60" s="6"/>
      <c r="CW60" s="74"/>
      <c r="CX60" s="120"/>
      <c r="CY60" s="121"/>
      <c r="CZ60" s="6"/>
      <c r="DA60" s="74"/>
      <c r="DB60" s="120"/>
      <c r="DC60" s="121"/>
      <c r="DD60" s="6"/>
      <c r="DE60" s="74"/>
      <c r="DF60" s="120"/>
      <c r="DG60" s="121"/>
      <c r="DH60" s="6"/>
      <c r="DI60" s="74"/>
      <c r="DJ60" s="120"/>
      <c r="DK60" s="121"/>
      <c r="DL60" s="6"/>
      <c r="DM60" s="74"/>
      <c r="DN60" s="120"/>
      <c r="DO60" s="121"/>
      <c r="DP60" s="6"/>
      <c r="DQ60" s="74"/>
      <c r="DR60" s="120"/>
      <c r="DS60" s="121"/>
      <c r="DT60" s="6"/>
      <c r="DU60" s="74"/>
      <c r="DV60" s="120"/>
      <c r="DW60" s="121"/>
      <c r="DX60" s="6"/>
      <c r="DY60" s="74"/>
      <c r="DZ60" s="120"/>
      <c r="EA60" s="121"/>
      <c r="EB60" s="6"/>
      <c r="EC60" s="74"/>
      <c r="ED60" s="120"/>
      <c r="EE60" s="121"/>
      <c r="EF60" s="6"/>
      <c r="EG60" s="74"/>
      <c r="EH60" s="120"/>
      <c r="EI60" s="121"/>
      <c r="EJ60" s="6"/>
      <c r="EK60" s="74"/>
      <c r="EL60" s="120"/>
      <c r="EM60" s="121"/>
    </row>
    <row r="61" spans="1:143" ht="19.5" customHeight="1" x14ac:dyDescent="0.2">
      <c r="A61" s="117"/>
      <c r="B61" s="118"/>
      <c r="C61" s="119"/>
      <c r="D61" s="6"/>
      <c r="E61" s="74"/>
      <c r="F61" s="120"/>
      <c r="G61" s="121"/>
      <c r="H61" s="6"/>
      <c r="I61" s="74"/>
      <c r="J61" s="120"/>
      <c r="K61" s="121"/>
      <c r="L61" s="6"/>
      <c r="M61" s="74"/>
      <c r="N61" s="120"/>
      <c r="O61" s="121"/>
      <c r="P61" s="6"/>
      <c r="Q61" s="74"/>
      <c r="R61" s="120"/>
      <c r="S61" s="121"/>
      <c r="T61" s="6"/>
      <c r="U61" s="74"/>
      <c r="V61" s="120"/>
      <c r="W61" s="121"/>
      <c r="X61" s="6"/>
      <c r="Y61" s="74"/>
      <c r="Z61" s="120"/>
      <c r="AA61" s="121"/>
      <c r="AB61" s="6"/>
      <c r="AC61" s="74"/>
      <c r="AD61" s="120"/>
      <c r="AE61" s="121"/>
      <c r="AF61" s="6"/>
      <c r="AG61" s="74"/>
      <c r="AH61" s="120"/>
      <c r="AI61" s="121"/>
      <c r="AJ61" s="6"/>
      <c r="AK61" s="74"/>
      <c r="AL61" s="120"/>
      <c r="AM61" s="121"/>
      <c r="AN61" s="6"/>
      <c r="AO61" s="74"/>
      <c r="AP61" s="120"/>
      <c r="AQ61" s="121"/>
      <c r="AR61" s="6"/>
      <c r="AS61" s="74"/>
      <c r="AT61" s="120"/>
      <c r="AU61" s="121"/>
      <c r="AV61" s="6"/>
      <c r="AW61" s="74"/>
      <c r="AX61" s="120"/>
      <c r="AY61" s="121"/>
      <c r="AZ61" s="6"/>
      <c r="BA61" s="74"/>
      <c r="BB61" s="120"/>
      <c r="BC61" s="121"/>
      <c r="BD61" s="6"/>
      <c r="BE61" s="74"/>
      <c r="BF61" s="120"/>
      <c r="BG61" s="121"/>
      <c r="BH61" s="6"/>
      <c r="BI61" s="74"/>
      <c r="BJ61" s="120"/>
      <c r="BK61" s="121"/>
      <c r="BL61" s="6"/>
      <c r="BM61" s="74"/>
      <c r="BN61" s="120"/>
      <c r="BO61" s="121"/>
      <c r="BP61" s="6"/>
      <c r="BQ61" s="74"/>
      <c r="BR61" s="120"/>
      <c r="BS61" s="121"/>
      <c r="BT61" s="6"/>
      <c r="BU61" s="74"/>
      <c r="BV61" s="120"/>
      <c r="BW61" s="121"/>
      <c r="BX61" s="6"/>
      <c r="BY61" s="74"/>
      <c r="BZ61" s="120"/>
      <c r="CA61" s="121"/>
      <c r="CB61" s="6"/>
      <c r="CC61" s="74"/>
      <c r="CD61" s="120"/>
      <c r="CE61" s="121"/>
      <c r="CF61" s="6"/>
      <c r="CG61" s="74"/>
      <c r="CH61" s="120"/>
      <c r="CI61" s="121"/>
      <c r="CJ61" s="6"/>
      <c r="CK61" s="74"/>
      <c r="CL61" s="120"/>
      <c r="CM61" s="121"/>
      <c r="CN61" s="6"/>
      <c r="CO61" s="74"/>
      <c r="CP61" s="120"/>
      <c r="CQ61" s="121"/>
      <c r="CR61" s="6"/>
      <c r="CS61" s="74"/>
      <c r="CT61" s="120"/>
      <c r="CU61" s="121"/>
      <c r="CV61" s="6"/>
      <c r="CW61" s="74"/>
      <c r="CX61" s="120"/>
      <c r="CY61" s="121"/>
      <c r="CZ61" s="6"/>
      <c r="DA61" s="74"/>
      <c r="DB61" s="120"/>
      <c r="DC61" s="121"/>
      <c r="DD61" s="6"/>
      <c r="DE61" s="74"/>
      <c r="DF61" s="120"/>
      <c r="DG61" s="121"/>
      <c r="DH61" s="6"/>
      <c r="DI61" s="74"/>
      <c r="DJ61" s="120"/>
      <c r="DK61" s="121"/>
      <c r="DL61" s="6"/>
      <c r="DM61" s="74"/>
      <c r="DN61" s="120"/>
      <c r="DO61" s="121"/>
      <c r="DP61" s="6"/>
      <c r="DQ61" s="74"/>
      <c r="DR61" s="120"/>
      <c r="DS61" s="121"/>
      <c r="DT61" s="6"/>
      <c r="DU61" s="74"/>
      <c r="DV61" s="120"/>
      <c r="DW61" s="121"/>
      <c r="DX61" s="6"/>
      <c r="DY61" s="74"/>
      <c r="DZ61" s="120"/>
      <c r="EA61" s="121"/>
      <c r="EB61" s="6"/>
      <c r="EC61" s="74"/>
      <c r="ED61" s="120"/>
      <c r="EE61" s="121"/>
      <c r="EF61" s="6"/>
      <c r="EG61" s="74"/>
      <c r="EH61" s="120"/>
      <c r="EI61" s="121"/>
      <c r="EJ61" s="6"/>
      <c r="EK61" s="74"/>
      <c r="EL61" s="120"/>
      <c r="EM61" s="121"/>
    </row>
    <row r="62" spans="1:143" ht="19.5" customHeight="1" x14ac:dyDescent="0.2">
      <c r="A62" s="117"/>
      <c r="B62" s="118"/>
      <c r="C62" s="119"/>
      <c r="D62" s="6"/>
      <c r="E62" s="74"/>
      <c r="F62" s="120"/>
      <c r="G62" s="121"/>
      <c r="H62" s="6"/>
      <c r="I62" s="74"/>
      <c r="J62" s="120"/>
      <c r="K62" s="121"/>
      <c r="L62" s="6"/>
      <c r="M62" s="74"/>
      <c r="N62" s="120"/>
      <c r="O62" s="121"/>
      <c r="P62" s="6"/>
      <c r="Q62" s="74"/>
      <c r="R62" s="120"/>
      <c r="S62" s="121"/>
      <c r="T62" s="6"/>
      <c r="U62" s="74"/>
      <c r="V62" s="120"/>
      <c r="W62" s="121"/>
      <c r="X62" s="6"/>
      <c r="Y62" s="74"/>
      <c r="Z62" s="120"/>
      <c r="AA62" s="121"/>
      <c r="AB62" s="6"/>
      <c r="AC62" s="74"/>
      <c r="AD62" s="120"/>
      <c r="AE62" s="121"/>
      <c r="AF62" s="6"/>
      <c r="AG62" s="74"/>
      <c r="AH62" s="120"/>
      <c r="AI62" s="121"/>
      <c r="AJ62" s="6"/>
      <c r="AK62" s="74"/>
      <c r="AL62" s="120"/>
      <c r="AM62" s="121"/>
      <c r="AN62" s="6"/>
      <c r="AO62" s="74"/>
      <c r="AP62" s="120"/>
      <c r="AQ62" s="121"/>
      <c r="AR62" s="6"/>
      <c r="AS62" s="74"/>
      <c r="AT62" s="120"/>
      <c r="AU62" s="121"/>
      <c r="AV62" s="6"/>
      <c r="AW62" s="74"/>
      <c r="AX62" s="120"/>
      <c r="AY62" s="121"/>
      <c r="AZ62" s="6"/>
      <c r="BA62" s="74"/>
      <c r="BB62" s="120"/>
      <c r="BC62" s="121"/>
      <c r="BD62" s="6"/>
      <c r="BE62" s="74"/>
      <c r="BF62" s="120"/>
      <c r="BG62" s="121"/>
      <c r="BH62" s="6"/>
      <c r="BI62" s="74"/>
      <c r="BJ62" s="120"/>
      <c r="BK62" s="121"/>
      <c r="BL62" s="6"/>
      <c r="BM62" s="74"/>
      <c r="BN62" s="120"/>
      <c r="BO62" s="121"/>
      <c r="BP62" s="6"/>
      <c r="BQ62" s="74"/>
      <c r="BR62" s="120"/>
      <c r="BS62" s="121"/>
      <c r="BT62" s="6"/>
      <c r="BU62" s="74"/>
      <c r="BV62" s="120"/>
      <c r="BW62" s="121"/>
      <c r="BX62" s="6"/>
      <c r="BY62" s="74"/>
      <c r="BZ62" s="120"/>
      <c r="CA62" s="121"/>
      <c r="CB62" s="6"/>
      <c r="CC62" s="74"/>
      <c r="CD62" s="120"/>
      <c r="CE62" s="121"/>
      <c r="CF62" s="6"/>
      <c r="CG62" s="74"/>
      <c r="CH62" s="120"/>
      <c r="CI62" s="121"/>
      <c r="CJ62" s="6"/>
      <c r="CK62" s="74"/>
      <c r="CL62" s="120"/>
      <c r="CM62" s="121"/>
      <c r="CN62" s="6"/>
      <c r="CO62" s="74"/>
      <c r="CP62" s="120"/>
      <c r="CQ62" s="121"/>
      <c r="CR62" s="6"/>
      <c r="CS62" s="74"/>
      <c r="CT62" s="120"/>
      <c r="CU62" s="121"/>
      <c r="CV62" s="6"/>
      <c r="CW62" s="74"/>
      <c r="CX62" s="120"/>
      <c r="CY62" s="121"/>
      <c r="CZ62" s="6"/>
      <c r="DA62" s="74"/>
      <c r="DB62" s="120"/>
      <c r="DC62" s="121"/>
      <c r="DD62" s="6"/>
      <c r="DE62" s="74"/>
      <c r="DF62" s="120"/>
      <c r="DG62" s="121"/>
      <c r="DH62" s="6"/>
      <c r="DI62" s="74"/>
      <c r="DJ62" s="120"/>
      <c r="DK62" s="121"/>
      <c r="DL62" s="6"/>
      <c r="DM62" s="74"/>
      <c r="DN62" s="120"/>
      <c r="DO62" s="121"/>
      <c r="DP62" s="6"/>
      <c r="DQ62" s="74"/>
      <c r="DR62" s="120"/>
      <c r="DS62" s="121"/>
      <c r="DT62" s="6"/>
      <c r="DU62" s="74"/>
      <c r="DV62" s="120"/>
      <c r="DW62" s="121"/>
      <c r="DX62" s="6"/>
      <c r="DY62" s="74"/>
      <c r="DZ62" s="120"/>
      <c r="EA62" s="121"/>
      <c r="EB62" s="6"/>
      <c r="EC62" s="74"/>
      <c r="ED62" s="120"/>
      <c r="EE62" s="121"/>
      <c r="EF62" s="6"/>
      <c r="EG62" s="74"/>
      <c r="EH62" s="120"/>
      <c r="EI62" s="121"/>
      <c r="EJ62" s="6"/>
      <c r="EK62" s="74"/>
      <c r="EL62" s="120"/>
      <c r="EM62" s="121"/>
    </row>
    <row r="63" spans="1:143" ht="19.5" customHeight="1" x14ac:dyDescent="0.2">
      <c r="A63" s="117"/>
      <c r="B63" s="118"/>
      <c r="C63" s="119"/>
      <c r="D63" s="6"/>
      <c r="E63" s="74"/>
      <c r="F63" s="120"/>
      <c r="G63" s="121"/>
      <c r="H63" s="6"/>
      <c r="I63" s="74"/>
      <c r="J63" s="120"/>
      <c r="K63" s="121"/>
      <c r="L63" s="6"/>
      <c r="M63" s="74"/>
      <c r="N63" s="120"/>
      <c r="O63" s="121"/>
      <c r="P63" s="6"/>
      <c r="Q63" s="74"/>
      <c r="R63" s="120"/>
      <c r="S63" s="121"/>
      <c r="T63" s="6"/>
      <c r="U63" s="74"/>
      <c r="V63" s="120"/>
      <c r="W63" s="121"/>
      <c r="X63" s="6"/>
      <c r="Y63" s="74"/>
      <c r="Z63" s="120"/>
      <c r="AA63" s="121"/>
      <c r="AB63" s="6"/>
      <c r="AC63" s="74"/>
      <c r="AD63" s="120"/>
      <c r="AE63" s="121"/>
      <c r="AF63" s="6"/>
      <c r="AG63" s="74"/>
      <c r="AH63" s="120"/>
      <c r="AI63" s="121"/>
      <c r="AJ63" s="6"/>
      <c r="AK63" s="74"/>
      <c r="AL63" s="120"/>
      <c r="AM63" s="121"/>
      <c r="AN63" s="6"/>
      <c r="AO63" s="74"/>
      <c r="AP63" s="120"/>
      <c r="AQ63" s="121"/>
      <c r="AR63" s="6"/>
      <c r="AS63" s="74"/>
      <c r="AT63" s="120"/>
      <c r="AU63" s="121"/>
      <c r="AV63" s="6"/>
      <c r="AW63" s="74"/>
      <c r="AX63" s="120"/>
      <c r="AY63" s="121"/>
      <c r="AZ63" s="6"/>
      <c r="BA63" s="74"/>
      <c r="BB63" s="120"/>
      <c r="BC63" s="121"/>
      <c r="BD63" s="6"/>
      <c r="BE63" s="74"/>
      <c r="BF63" s="120"/>
      <c r="BG63" s="121"/>
      <c r="BH63" s="6"/>
      <c r="BI63" s="74"/>
      <c r="BJ63" s="120"/>
      <c r="BK63" s="121"/>
      <c r="BL63" s="6"/>
      <c r="BM63" s="74"/>
      <c r="BN63" s="120"/>
      <c r="BO63" s="121"/>
      <c r="BP63" s="6"/>
      <c r="BQ63" s="74"/>
      <c r="BR63" s="120"/>
      <c r="BS63" s="121"/>
      <c r="BT63" s="6"/>
      <c r="BU63" s="74"/>
      <c r="BV63" s="120"/>
      <c r="BW63" s="121"/>
      <c r="BX63" s="6"/>
      <c r="BY63" s="74"/>
      <c r="BZ63" s="120"/>
      <c r="CA63" s="121"/>
      <c r="CB63" s="6"/>
      <c r="CC63" s="74"/>
      <c r="CD63" s="120"/>
      <c r="CE63" s="121"/>
      <c r="CF63" s="6"/>
      <c r="CG63" s="74"/>
      <c r="CH63" s="120"/>
      <c r="CI63" s="121"/>
      <c r="CJ63" s="6"/>
      <c r="CK63" s="74"/>
      <c r="CL63" s="120"/>
      <c r="CM63" s="121"/>
      <c r="CN63" s="6"/>
      <c r="CO63" s="74"/>
      <c r="CP63" s="120"/>
      <c r="CQ63" s="121"/>
      <c r="CR63" s="6"/>
      <c r="CS63" s="74"/>
      <c r="CT63" s="120"/>
      <c r="CU63" s="121"/>
      <c r="CV63" s="6"/>
      <c r="CW63" s="74"/>
      <c r="CX63" s="120"/>
      <c r="CY63" s="121"/>
      <c r="CZ63" s="6"/>
      <c r="DA63" s="74"/>
      <c r="DB63" s="120"/>
      <c r="DC63" s="121"/>
      <c r="DD63" s="6"/>
      <c r="DE63" s="74"/>
      <c r="DF63" s="120"/>
      <c r="DG63" s="121"/>
      <c r="DH63" s="6"/>
      <c r="DI63" s="74"/>
      <c r="DJ63" s="120"/>
      <c r="DK63" s="121"/>
      <c r="DL63" s="6"/>
      <c r="DM63" s="74"/>
      <c r="DN63" s="120"/>
      <c r="DO63" s="121"/>
      <c r="DP63" s="6"/>
      <c r="DQ63" s="74"/>
      <c r="DR63" s="120"/>
      <c r="DS63" s="121"/>
      <c r="DT63" s="6"/>
      <c r="DU63" s="74"/>
      <c r="DV63" s="120"/>
      <c r="DW63" s="121"/>
      <c r="DX63" s="6"/>
      <c r="DY63" s="74"/>
      <c r="DZ63" s="120"/>
      <c r="EA63" s="121"/>
      <c r="EB63" s="6"/>
      <c r="EC63" s="74"/>
      <c r="ED63" s="120"/>
      <c r="EE63" s="121"/>
      <c r="EF63" s="6"/>
      <c r="EG63" s="74"/>
      <c r="EH63" s="120"/>
      <c r="EI63" s="121"/>
      <c r="EJ63" s="6"/>
      <c r="EK63" s="74"/>
      <c r="EL63" s="120"/>
      <c r="EM63" s="121"/>
    </row>
    <row r="64" spans="1:143" ht="19.5" customHeight="1" x14ac:dyDescent="0.2">
      <c r="A64" s="117"/>
      <c r="B64" s="118"/>
      <c r="C64" s="119"/>
      <c r="D64" s="6"/>
      <c r="E64" s="74"/>
      <c r="F64" s="120"/>
      <c r="G64" s="121"/>
      <c r="H64" s="6"/>
      <c r="I64" s="74"/>
      <c r="J64" s="120"/>
      <c r="K64" s="121"/>
      <c r="L64" s="6"/>
      <c r="M64" s="74"/>
      <c r="N64" s="120"/>
      <c r="O64" s="121"/>
      <c r="P64" s="6"/>
      <c r="Q64" s="74"/>
      <c r="R64" s="120"/>
      <c r="S64" s="121"/>
      <c r="T64" s="6"/>
      <c r="U64" s="74"/>
      <c r="V64" s="120"/>
      <c r="W64" s="121"/>
      <c r="X64" s="6"/>
      <c r="Y64" s="74"/>
      <c r="Z64" s="120"/>
      <c r="AA64" s="121"/>
      <c r="AB64" s="6"/>
      <c r="AC64" s="74"/>
      <c r="AD64" s="120"/>
      <c r="AE64" s="121"/>
      <c r="AF64" s="6"/>
      <c r="AG64" s="74"/>
      <c r="AH64" s="120"/>
      <c r="AI64" s="121"/>
      <c r="AJ64" s="6"/>
      <c r="AK64" s="74"/>
      <c r="AL64" s="120"/>
      <c r="AM64" s="121"/>
      <c r="AN64" s="6"/>
      <c r="AO64" s="74"/>
      <c r="AP64" s="120"/>
      <c r="AQ64" s="121"/>
      <c r="AR64" s="6"/>
      <c r="AS64" s="74"/>
      <c r="AT64" s="120"/>
      <c r="AU64" s="121"/>
      <c r="AV64" s="6"/>
      <c r="AW64" s="74"/>
      <c r="AX64" s="120"/>
      <c r="AY64" s="121"/>
      <c r="AZ64" s="6"/>
      <c r="BA64" s="74"/>
      <c r="BB64" s="120"/>
      <c r="BC64" s="121"/>
      <c r="BD64" s="6"/>
      <c r="BE64" s="74"/>
      <c r="BF64" s="120"/>
      <c r="BG64" s="121"/>
      <c r="BH64" s="6"/>
      <c r="BI64" s="74"/>
      <c r="BJ64" s="120"/>
      <c r="BK64" s="121"/>
      <c r="BL64" s="6"/>
      <c r="BM64" s="74"/>
      <c r="BN64" s="120"/>
      <c r="BO64" s="121"/>
      <c r="BP64" s="6"/>
      <c r="BQ64" s="74"/>
      <c r="BR64" s="120"/>
      <c r="BS64" s="121"/>
      <c r="BT64" s="6"/>
      <c r="BU64" s="74"/>
      <c r="BV64" s="120"/>
      <c r="BW64" s="121"/>
      <c r="BX64" s="6"/>
      <c r="BY64" s="74"/>
      <c r="BZ64" s="120"/>
      <c r="CA64" s="121"/>
      <c r="CB64" s="6"/>
      <c r="CC64" s="74"/>
      <c r="CD64" s="120"/>
      <c r="CE64" s="121"/>
      <c r="CF64" s="6"/>
      <c r="CG64" s="74"/>
      <c r="CH64" s="120"/>
      <c r="CI64" s="121"/>
      <c r="CJ64" s="6"/>
      <c r="CK64" s="74"/>
      <c r="CL64" s="120"/>
      <c r="CM64" s="121"/>
      <c r="CN64" s="6"/>
      <c r="CO64" s="74"/>
      <c r="CP64" s="120"/>
      <c r="CQ64" s="121"/>
      <c r="CR64" s="6"/>
      <c r="CS64" s="74"/>
      <c r="CT64" s="120"/>
      <c r="CU64" s="121"/>
      <c r="CV64" s="6"/>
      <c r="CW64" s="74"/>
      <c r="CX64" s="120"/>
      <c r="CY64" s="121"/>
      <c r="CZ64" s="6"/>
      <c r="DA64" s="74"/>
      <c r="DB64" s="120"/>
      <c r="DC64" s="121"/>
      <c r="DD64" s="6"/>
      <c r="DE64" s="74"/>
      <c r="DF64" s="120"/>
      <c r="DG64" s="121"/>
      <c r="DH64" s="6"/>
      <c r="DI64" s="74"/>
      <c r="DJ64" s="120"/>
      <c r="DK64" s="121"/>
      <c r="DL64" s="6"/>
      <c r="DM64" s="74"/>
      <c r="DN64" s="120"/>
      <c r="DO64" s="121"/>
      <c r="DP64" s="6"/>
      <c r="DQ64" s="74"/>
      <c r="DR64" s="120"/>
      <c r="DS64" s="121"/>
      <c r="DT64" s="6"/>
      <c r="DU64" s="74"/>
      <c r="DV64" s="120"/>
      <c r="DW64" s="121"/>
      <c r="DX64" s="6"/>
      <c r="DY64" s="74"/>
      <c r="DZ64" s="120"/>
      <c r="EA64" s="121"/>
      <c r="EB64" s="6"/>
      <c r="EC64" s="74"/>
      <c r="ED64" s="120"/>
      <c r="EE64" s="121"/>
      <c r="EF64" s="6"/>
      <c r="EG64" s="74"/>
      <c r="EH64" s="120"/>
      <c r="EI64" s="121"/>
      <c r="EJ64" s="6"/>
      <c r="EK64" s="74"/>
      <c r="EL64" s="120"/>
      <c r="EM64" s="121"/>
    </row>
    <row r="65" spans="1:143" x14ac:dyDescent="0.2">
      <c r="A65" s="117"/>
      <c r="B65" s="118"/>
      <c r="C65" s="119"/>
      <c r="D65" s="6"/>
      <c r="E65" s="74"/>
      <c r="F65" s="120"/>
      <c r="G65" s="121"/>
      <c r="H65" s="6"/>
      <c r="I65" s="74"/>
      <c r="J65" s="120"/>
      <c r="K65" s="121"/>
      <c r="L65" s="6"/>
      <c r="M65" s="74"/>
      <c r="N65" s="120"/>
      <c r="O65" s="121"/>
      <c r="P65" s="6"/>
      <c r="Q65" s="74"/>
      <c r="R65" s="120"/>
      <c r="S65" s="121"/>
      <c r="T65" s="6"/>
      <c r="U65" s="74"/>
      <c r="V65" s="120"/>
      <c r="W65" s="121"/>
      <c r="X65" s="6"/>
      <c r="Y65" s="74"/>
      <c r="Z65" s="120"/>
      <c r="AA65" s="121"/>
      <c r="AB65" s="6"/>
      <c r="AC65" s="74"/>
      <c r="AD65" s="120"/>
      <c r="AE65" s="121"/>
      <c r="AF65" s="6"/>
      <c r="AG65" s="74"/>
      <c r="AH65" s="120"/>
      <c r="AI65" s="121"/>
      <c r="AJ65" s="6"/>
      <c r="AK65" s="74"/>
      <c r="AL65" s="120"/>
      <c r="AM65" s="121"/>
      <c r="AN65" s="6"/>
      <c r="AO65" s="74"/>
      <c r="AP65" s="120"/>
      <c r="AQ65" s="121"/>
      <c r="AR65" s="6"/>
      <c r="AS65" s="74"/>
      <c r="AT65" s="120"/>
      <c r="AU65" s="121"/>
      <c r="AV65" s="6"/>
      <c r="AW65" s="74"/>
      <c r="AX65" s="120"/>
      <c r="AY65" s="121"/>
      <c r="AZ65" s="6"/>
      <c r="BA65" s="74"/>
      <c r="BB65" s="120"/>
      <c r="BC65" s="121"/>
      <c r="BD65" s="6"/>
      <c r="BE65" s="74"/>
      <c r="BF65" s="120"/>
      <c r="BG65" s="121"/>
      <c r="BH65" s="6"/>
      <c r="BI65" s="74"/>
      <c r="BJ65" s="120"/>
      <c r="BK65" s="121"/>
      <c r="BL65" s="6"/>
      <c r="BM65" s="74"/>
      <c r="BN65" s="120"/>
      <c r="BO65" s="121"/>
      <c r="BP65" s="6"/>
      <c r="BQ65" s="74"/>
      <c r="BR65" s="120"/>
      <c r="BS65" s="121"/>
      <c r="BT65" s="6"/>
      <c r="BU65" s="74"/>
      <c r="BV65" s="120"/>
      <c r="BW65" s="121"/>
      <c r="BX65" s="6"/>
      <c r="BY65" s="74"/>
      <c r="BZ65" s="120"/>
      <c r="CA65" s="121"/>
      <c r="CB65" s="6"/>
      <c r="CC65" s="74"/>
      <c r="CD65" s="120"/>
      <c r="CE65" s="121"/>
      <c r="CF65" s="6"/>
      <c r="CG65" s="74"/>
      <c r="CH65" s="120"/>
      <c r="CI65" s="121"/>
      <c r="CJ65" s="6"/>
      <c r="CK65" s="74"/>
      <c r="CL65" s="120"/>
      <c r="CM65" s="121"/>
      <c r="CN65" s="6"/>
      <c r="CO65" s="74"/>
      <c r="CP65" s="120"/>
      <c r="CQ65" s="121"/>
      <c r="CR65" s="6"/>
      <c r="CS65" s="74"/>
      <c r="CT65" s="120"/>
      <c r="CU65" s="121"/>
      <c r="CV65" s="6"/>
      <c r="CW65" s="74"/>
      <c r="CX65" s="120"/>
      <c r="CY65" s="121"/>
      <c r="CZ65" s="6"/>
      <c r="DA65" s="74"/>
      <c r="DB65" s="120"/>
      <c r="DC65" s="121"/>
      <c r="DD65" s="6"/>
      <c r="DE65" s="74"/>
      <c r="DF65" s="120"/>
      <c r="DG65" s="121"/>
      <c r="DH65" s="6"/>
      <c r="DI65" s="74"/>
      <c r="DJ65" s="120"/>
      <c r="DK65" s="121"/>
      <c r="DL65" s="6"/>
      <c r="DM65" s="74"/>
      <c r="DN65" s="120"/>
      <c r="DO65" s="121"/>
      <c r="DP65" s="6"/>
      <c r="DQ65" s="74"/>
      <c r="DR65" s="120"/>
      <c r="DS65" s="121"/>
      <c r="DT65" s="6"/>
      <c r="DU65" s="74"/>
      <c r="DV65" s="120"/>
      <c r="DW65" s="121"/>
      <c r="DX65" s="6"/>
      <c r="DY65" s="74"/>
      <c r="DZ65" s="120"/>
      <c r="EA65" s="121"/>
      <c r="EB65" s="6"/>
      <c r="EC65" s="74"/>
      <c r="ED65" s="120"/>
      <c r="EE65" s="121"/>
      <c r="EF65" s="6"/>
      <c r="EG65" s="74"/>
      <c r="EH65" s="120"/>
      <c r="EI65" s="121"/>
      <c r="EJ65" s="6"/>
      <c r="EK65" s="74"/>
      <c r="EL65" s="120"/>
      <c r="EM65" s="121"/>
    </row>
    <row r="66" spans="1:143" x14ac:dyDescent="0.2">
      <c r="A66" s="117"/>
      <c r="B66" s="118"/>
      <c r="C66" s="119"/>
      <c r="D66" s="6"/>
      <c r="E66" s="74"/>
      <c r="F66" s="120"/>
      <c r="G66" s="121"/>
      <c r="H66" s="6"/>
      <c r="I66" s="74"/>
      <c r="J66" s="120"/>
      <c r="K66" s="121"/>
      <c r="L66" s="6"/>
      <c r="M66" s="74"/>
      <c r="N66" s="120"/>
      <c r="O66" s="121"/>
      <c r="P66" s="6"/>
      <c r="Q66" s="74"/>
      <c r="R66" s="120"/>
      <c r="S66" s="121"/>
      <c r="T66" s="6"/>
      <c r="U66" s="74"/>
      <c r="V66" s="120"/>
      <c r="W66" s="121"/>
      <c r="X66" s="6"/>
      <c r="Y66" s="74"/>
      <c r="Z66" s="120"/>
      <c r="AA66" s="121"/>
      <c r="AB66" s="6"/>
      <c r="AC66" s="74"/>
      <c r="AD66" s="120"/>
      <c r="AE66" s="121"/>
      <c r="AF66" s="6"/>
      <c r="AG66" s="74"/>
      <c r="AH66" s="120"/>
      <c r="AI66" s="121"/>
      <c r="AJ66" s="6"/>
      <c r="AK66" s="74"/>
      <c r="AL66" s="120"/>
      <c r="AM66" s="121"/>
      <c r="AN66" s="6"/>
      <c r="AO66" s="74"/>
      <c r="AP66" s="120"/>
      <c r="AQ66" s="121"/>
      <c r="AR66" s="6"/>
      <c r="AS66" s="74"/>
      <c r="AT66" s="120"/>
      <c r="AU66" s="121"/>
      <c r="AV66" s="6"/>
      <c r="AW66" s="74"/>
      <c r="AX66" s="120"/>
      <c r="AY66" s="121"/>
      <c r="AZ66" s="6"/>
      <c r="BA66" s="74"/>
      <c r="BB66" s="120"/>
      <c r="BC66" s="121"/>
      <c r="BD66" s="6"/>
      <c r="BE66" s="74"/>
      <c r="BF66" s="120"/>
      <c r="BG66" s="121"/>
      <c r="BH66" s="6"/>
      <c r="BI66" s="74"/>
      <c r="BJ66" s="120"/>
      <c r="BK66" s="121"/>
      <c r="BL66" s="6"/>
      <c r="BM66" s="74"/>
      <c r="BN66" s="120"/>
      <c r="BO66" s="121"/>
      <c r="BP66" s="6"/>
      <c r="BQ66" s="74"/>
      <c r="BR66" s="120"/>
      <c r="BS66" s="121"/>
      <c r="BT66" s="6"/>
      <c r="BU66" s="74"/>
      <c r="BV66" s="120"/>
      <c r="BW66" s="121"/>
      <c r="BX66" s="6"/>
      <c r="BY66" s="74"/>
      <c r="BZ66" s="120"/>
      <c r="CA66" s="121"/>
      <c r="CB66" s="6"/>
      <c r="CC66" s="74"/>
      <c r="CD66" s="120"/>
      <c r="CE66" s="121"/>
      <c r="CF66" s="6"/>
      <c r="CG66" s="74"/>
      <c r="CH66" s="120"/>
      <c r="CI66" s="121"/>
      <c r="CJ66" s="6"/>
      <c r="CK66" s="74"/>
      <c r="CL66" s="120"/>
      <c r="CM66" s="121"/>
      <c r="CN66" s="6"/>
      <c r="CO66" s="74"/>
      <c r="CP66" s="120"/>
      <c r="CQ66" s="121"/>
      <c r="CR66" s="6"/>
      <c r="CS66" s="74"/>
      <c r="CT66" s="120"/>
      <c r="CU66" s="121"/>
      <c r="CV66" s="6"/>
      <c r="CW66" s="74"/>
      <c r="CX66" s="120"/>
      <c r="CY66" s="121"/>
      <c r="CZ66" s="6"/>
      <c r="DA66" s="74"/>
      <c r="DB66" s="120"/>
      <c r="DC66" s="121"/>
      <c r="DD66" s="6"/>
      <c r="DE66" s="74"/>
      <c r="DF66" s="120"/>
      <c r="DG66" s="121"/>
      <c r="DH66" s="6"/>
      <c r="DI66" s="74"/>
      <c r="DJ66" s="120"/>
      <c r="DK66" s="121"/>
      <c r="DL66" s="6"/>
      <c r="DM66" s="74"/>
      <c r="DN66" s="120"/>
      <c r="DO66" s="121"/>
      <c r="DP66" s="6"/>
      <c r="DQ66" s="74"/>
      <c r="DR66" s="120"/>
      <c r="DS66" s="121"/>
      <c r="DT66" s="6"/>
      <c r="DU66" s="74"/>
      <c r="DV66" s="120"/>
      <c r="DW66" s="121"/>
      <c r="DX66" s="6"/>
      <c r="DY66" s="74"/>
      <c r="DZ66" s="120"/>
      <c r="EA66" s="121"/>
      <c r="EB66" s="6"/>
      <c r="EC66" s="74"/>
      <c r="ED66" s="120"/>
      <c r="EE66" s="121"/>
      <c r="EF66" s="6"/>
      <c r="EG66" s="74"/>
      <c r="EH66" s="120"/>
      <c r="EI66" s="121"/>
      <c r="EJ66" s="6"/>
      <c r="EK66" s="74"/>
      <c r="EL66" s="120"/>
      <c r="EM66" s="121"/>
    </row>
  </sheetData>
  <autoFilter ref="CX1:CX66" xr:uid="{B8513C95-E2D1-46C3-AE9B-AEDE5A1279D1}"/>
  <mergeCells count="71">
    <mergeCell ref="EJ3:EM3"/>
    <mergeCell ref="EJ2:EM2"/>
    <mergeCell ref="CB3:CE3"/>
    <mergeCell ref="CF3:CI3"/>
    <mergeCell ref="CJ3:CM3"/>
    <mergeCell ref="CN3:CQ3"/>
    <mergeCell ref="CR3:CU3"/>
    <mergeCell ref="CV3:CY3"/>
    <mergeCell ref="CZ3:DC3"/>
    <mergeCell ref="DD3:DG3"/>
    <mergeCell ref="DH3:DK3"/>
    <mergeCell ref="DL3:DO3"/>
    <mergeCell ref="DP3:DS3"/>
    <mergeCell ref="DT3:DW3"/>
    <mergeCell ref="DX3:EA3"/>
    <mergeCell ref="EB3:EE3"/>
    <mergeCell ref="EF3:EI3"/>
    <mergeCell ref="DP2:DS2"/>
    <mergeCell ref="DT2:DW2"/>
    <mergeCell ref="DX2:EA2"/>
    <mergeCell ref="EB2:EE2"/>
    <mergeCell ref="EF2:EI2"/>
    <mergeCell ref="CV2:CY2"/>
    <mergeCell ref="CZ2:DC2"/>
    <mergeCell ref="DD2:DG2"/>
    <mergeCell ref="DH2:DK2"/>
    <mergeCell ref="DL2:DO2"/>
    <mergeCell ref="CB2:CE2"/>
    <mergeCell ref="CF2:CI2"/>
    <mergeCell ref="CJ2:CM2"/>
    <mergeCell ref="CN2:CQ2"/>
    <mergeCell ref="CR2:CU2"/>
    <mergeCell ref="BL2:BO2"/>
    <mergeCell ref="BP2:BS2"/>
    <mergeCell ref="BT2:BW2"/>
    <mergeCell ref="BX2:CA2"/>
    <mergeCell ref="AV3:AY3"/>
    <mergeCell ref="AZ3:BC3"/>
    <mergeCell ref="BD3:BG3"/>
    <mergeCell ref="BH3:BK3"/>
    <mergeCell ref="BL3:BO3"/>
    <mergeCell ref="BP3:BS3"/>
    <mergeCell ref="BT3:BW3"/>
    <mergeCell ref="BX3:CA3"/>
    <mergeCell ref="AZ2:BC2"/>
    <mergeCell ref="BD2:BG2"/>
    <mergeCell ref="BH2:BK2"/>
    <mergeCell ref="AF3:AI3"/>
    <mergeCell ref="AJ3:AM3"/>
    <mergeCell ref="AN3:AQ3"/>
    <mergeCell ref="AR3:AU3"/>
    <mergeCell ref="AV2:AY2"/>
    <mergeCell ref="AN2:AQ2"/>
    <mergeCell ref="AR2:AU2"/>
    <mergeCell ref="AF2:AI2"/>
    <mergeCell ref="AJ2:AM2"/>
    <mergeCell ref="A1:C1"/>
    <mergeCell ref="P2:S2"/>
    <mergeCell ref="D3:G3"/>
    <mergeCell ref="X2:AA2"/>
    <mergeCell ref="AB2:AE2"/>
    <mergeCell ref="X3:AA3"/>
    <mergeCell ref="AB3:AE3"/>
    <mergeCell ref="H3:K3"/>
    <mergeCell ref="L3:O3"/>
    <mergeCell ref="P3:S3"/>
    <mergeCell ref="T3:W3"/>
    <mergeCell ref="H2:K2"/>
    <mergeCell ref="L2:O2"/>
    <mergeCell ref="D2:G2"/>
    <mergeCell ref="T2:W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Cave</vt:lpstr>
      <vt:lpstr>Chambre froide boisson</vt:lpstr>
      <vt:lpstr>Reserve seche</vt:lpstr>
      <vt:lpstr>Economat</vt:lpstr>
      <vt:lpstr>Chambre froide</vt:lpstr>
      <vt:lpstr>Chambre negative</vt:lpstr>
      <vt:lpstr>France Boissons</vt:lpstr>
      <vt:lpstr>Cledor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Elluin</dc:creator>
  <cp:lastModifiedBy>Nicolas Elluin</cp:lastModifiedBy>
  <cp:lastPrinted>2026-06-17T15:56:17Z</cp:lastPrinted>
  <dcterms:created xsi:type="dcterms:W3CDTF">2025-12-21T10:14:43Z</dcterms:created>
  <dcterms:modified xsi:type="dcterms:W3CDTF">2026-09-14T15:29:16Z</dcterms:modified>
</cp:coreProperties>
</file>